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ml.chartshapes+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ml.chartshapes+xml"/>
  <Override PartName="/xl/charts/chart9.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0.xml" ContentType="application/vnd.openxmlformats-officedocument.drawingml.chart+xml"/>
  <Override PartName="/xl/drawings/drawing16.xml" ContentType="application/vnd.openxmlformats-officedocument.drawingml.chartshapes+xml"/>
  <Override PartName="/xl/charts/chart11.xml" ContentType="application/vnd.openxmlformats-officedocument.drawingml.chart+xml"/>
  <Override PartName="/xl/drawings/drawing17.xml" ContentType="application/vnd.openxmlformats-officedocument.drawingml.chartshapes+xml"/>
  <Override PartName="/xl/charts/chart12.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drawings/drawing22.xml" ContentType="application/vnd.openxmlformats-officedocument.drawingml.chartshapes+xml"/>
  <Override PartName="/xl/charts/chart16.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7.xml" ContentType="application/vnd.openxmlformats-officedocument.drawingml.chart+xml"/>
  <Override PartName="/xl/drawings/drawing25.xml" ContentType="application/vnd.openxmlformats-officedocument.drawingml.chartshapes+xml"/>
  <Override PartName="/xl/charts/chart18.xml" ContentType="application/vnd.openxmlformats-officedocument.drawingml.chart+xml"/>
  <Override PartName="/xl/drawings/drawing26.xml" ContentType="application/vnd.openxmlformats-officedocument.drawingml.chartshapes+xml"/>
  <Override PartName="/xl/charts/chart19.xml" ContentType="application/vnd.openxmlformats-officedocument.drawingml.chart+xml"/>
  <Override PartName="/xl/drawings/drawing27.xml" ContentType="application/vnd.openxmlformats-officedocument.drawingml.chartshapes+xml"/>
  <Override PartName="/xl/charts/chart20.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21.xml" ContentType="application/vnd.openxmlformats-officedocument.drawingml.chart+xml"/>
  <Override PartName="/xl/drawings/drawing30.xml" ContentType="application/vnd.openxmlformats-officedocument.drawingml.chartshapes+xml"/>
  <Override PartName="/xl/charts/chart22.xml" ContentType="application/vnd.openxmlformats-officedocument.drawingml.chart+xml"/>
  <Override PartName="/xl/drawings/drawing31.xml" ContentType="application/vnd.openxmlformats-officedocument.drawingml.chartshapes+xml"/>
  <Override PartName="/xl/charts/chart23.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24.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25.xml" ContentType="application/vnd.openxmlformats-officedocument.drawingml.chart+xml"/>
  <Override PartName="/xl/charts/style1.xml" ContentType="application/vnd.ms-office.chartstyle+xml"/>
  <Override PartName="/xl/charts/colors1.xml" ContentType="application/vnd.ms-office.chartcolorstyle+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charts/chart29.xml" ContentType="application/vnd.openxmlformats-officedocument.drawingml.chart+xml"/>
  <Override PartName="/xl/charts/style5.xml" ContentType="application/vnd.ms-office.chartstyle+xml"/>
  <Override PartName="/xl/charts/colors5.xml" ContentType="application/vnd.ms-office.chartcolorstyle+xml"/>
  <Override PartName="/xl/charts/chart3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6.xml" ContentType="application/vnd.openxmlformats-officedocument.drawing+xml"/>
  <Override PartName="/xl/charts/chart31.xml" ContentType="application/vnd.openxmlformats-officedocument.drawingml.chart+xml"/>
  <Override PartName="/xl/drawings/drawing37.xml" ContentType="application/vnd.openxmlformats-officedocument.drawingml.chartshapes+xml"/>
  <Override PartName="/xl/charts/chart32.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33.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34.xml" ContentType="application/vnd.openxmlformats-officedocument.drawingml.chart+xml"/>
  <Override PartName="/xl/drawings/drawing42.xml" ContentType="application/vnd.openxmlformats-officedocument.drawingml.chartshapes+xml"/>
  <Override PartName="/xl/charts/chart35.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36.xml" ContentType="application/vnd.openxmlformats-officedocument.drawingml.chart+xml"/>
  <Override PartName="/xl/drawings/drawing45.xml" ContentType="application/vnd.openxmlformats-officedocument.drawingml.chartshapes+xml"/>
  <Override PartName="/xl/charts/chart37.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38.xml" ContentType="application/vnd.openxmlformats-officedocument.drawingml.chart+xml"/>
  <Override PartName="/xl/drawings/drawing48.xml" ContentType="application/vnd.openxmlformats-officedocument.drawingml.chartshapes+xml"/>
  <Override PartName="/xl/charts/chart39.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40.xml" ContentType="application/vnd.openxmlformats-officedocument.drawingml.chart+xml"/>
  <Override PartName="/xl/drawings/drawing51.xml" ContentType="application/vnd.openxmlformats-officedocument.drawingml.chartshapes+xml"/>
  <Override PartName="/xl/charts/chart41.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42.xml" ContentType="application/vnd.openxmlformats-officedocument.drawingml.chart+xml"/>
  <Override PartName="/xl/drawings/drawing54.xml" ContentType="application/vnd.openxmlformats-officedocument.drawingml.chartshapes+xml"/>
  <Override PartName="/xl/charts/chart43.xml" ContentType="application/vnd.openxmlformats-officedocument.drawingml.chart+xml"/>
  <Override PartName="/xl/drawings/drawing55.xml" ContentType="application/vnd.openxmlformats-officedocument.drawingml.chartshapes+xml"/>
  <Override PartName="/xl/charts/chart44.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45.xml" ContentType="application/vnd.openxmlformats-officedocument.drawingml.chart+xml"/>
  <Override PartName="/xl/charts/style7.xml" ContentType="application/vnd.ms-office.chartstyle+xml"/>
  <Override PartName="/xl/charts/colors7.xml" ContentType="application/vnd.ms-office.chartcolorstyle+xml"/>
  <Override PartName="/xl/charts/chart46.xml" ContentType="application/vnd.openxmlformats-officedocument.drawingml.chart+xml"/>
  <Override PartName="/xl/charts/style8.xml" ContentType="application/vnd.ms-office.chartstyle+xml"/>
  <Override PartName="/xl/charts/colors8.xml" ContentType="application/vnd.ms-office.chartcolorstyle+xml"/>
  <Override PartName="/xl/charts/chart47.xml" ContentType="application/vnd.openxmlformats-officedocument.drawingml.chart+xml"/>
  <Override PartName="/xl/charts/style9.xml" ContentType="application/vnd.ms-office.chartstyle+xml"/>
  <Override PartName="/xl/charts/colors9.xml" ContentType="application/vnd.ms-office.chartcolorstyle+xml"/>
  <Override PartName="/xl/charts/chart48.xml" ContentType="application/vnd.openxmlformats-officedocument.drawingml.chart+xml"/>
  <Override PartName="/xl/charts/style10.xml" ContentType="application/vnd.ms-office.chartstyle+xml"/>
  <Override PartName="/xl/charts/colors10.xml" ContentType="application/vnd.ms-office.chartcolorstyle+xml"/>
  <Override PartName="/xl/charts/chart49.xml" ContentType="application/vnd.openxmlformats-officedocument.drawingml.chart+xml"/>
  <Override PartName="/xl/charts/style11.xml" ContentType="application/vnd.ms-office.chartstyle+xml"/>
  <Override PartName="/xl/charts/colors11.xml" ContentType="application/vnd.ms-office.chartcolorstyle+xml"/>
  <Override PartName="/xl/charts/chart5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jeehoon_han\Dropbox\Consumption\Poverty\Poverty During Covid\"/>
    </mc:Choice>
  </mc:AlternateContent>
  <xr:revisionPtr revIDLastSave="0" documentId="13_ncr:1_{C5326446-BAB0-4237-8733-DD201AEF746A}" xr6:coauthVersionLast="47" xr6:coauthVersionMax="47" xr10:uidLastSave="{00000000-0000-0000-0000-000000000000}"/>
  <bookViews>
    <workbookView xWindow="22932" yWindow="-624" windowWidth="23256" windowHeight="12456" activeTab="14" xr2:uid="{00000000-000D-0000-FFFF-FFFF00000000}"/>
  </bookViews>
  <sheets>
    <sheet name="F1" sheetId="162" r:id="rId1"/>
    <sheet name="F2" sheetId="115" r:id="rId2"/>
    <sheet name="F3" sheetId="172" r:id="rId3"/>
    <sheet name="F4" sheetId="173" r:id="rId4"/>
    <sheet name="F5" sheetId="183" r:id="rId5"/>
    <sheet name="F6" sheetId="180" r:id="rId6"/>
    <sheet name="F7" sheetId="128" r:id="rId7"/>
    <sheet name="F8" sheetId="200" r:id="rId8"/>
    <sheet name="F9" sheetId="182" r:id="rId9"/>
    <sheet name="F10" sheetId="181" r:id="rId10"/>
    <sheet name="F11-13" sheetId="151" r:id="rId11"/>
    <sheet name="AF1" sheetId="163" r:id="rId12"/>
    <sheet name="AF2" sheetId="166" r:id="rId13"/>
    <sheet name="AF3" sheetId="204" r:id="rId14"/>
    <sheet name="AF4" sheetId="188" r:id="rId15"/>
    <sheet name="AF5" sheetId="207" r:id="rId16"/>
    <sheet name="AF6" sheetId="178" r:id="rId17"/>
    <sheet name="AF7" sheetId="158" r:id="rId18"/>
    <sheet name="AF8-10" sheetId="195" r:id="rId19"/>
    <sheet name="AT1" sheetId="175" r:id="rId20"/>
    <sheet name="AT2" sheetId="144" r:id="rId21"/>
    <sheet name="AT3" sheetId="189" r:id="rId22"/>
    <sheet name="AT4" sheetId="208" r:id="rId23"/>
  </sheets>
  <definedNames>
    <definedName name="_xlnm.Print_Area" localSheetId="11">'AF1'!$A$1:$O$65</definedName>
    <definedName name="_xlnm.Print_Area" localSheetId="12">'AF2'!$A$1:$O$38</definedName>
    <definedName name="_xlnm.Print_Area" localSheetId="13">'AF3'!$A$1:$O$65</definedName>
    <definedName name="_xlnm.Print_Area" localSheetId="14">'AF4'!$A$1:$O$65</definedName>
    <definedName name="_xlnm.Print_Area" localSheetId="15">'AF5'!$A$1:$O$65</definedName>
    <definedName name="_xlnm.Print_Area" localSheetId="16">'AF6'!$A$1:$O$59</definedName>
    <definedName name="_xlnm.Print_Area" localSheetId="17">'AF7'!$A$1:$O$69</definedName>
    <definedName name="_xlnm.Print_Area" localSheetId="18">'AF8-10'!$A$2:$P$20,'AF8-10'!$A$24:$P$42,'AF8-10'!$A$47:$P$65</definedName>
    <definedName name="_xlnm.Print_Area" localSheetId="19">'AT1'!$A$1:$F$41</definedName>
    <definedName name="_xlnm.Print_Area" localSheetId="20">'AT2'!$A$1:$L$13</definedName>
    <definedName name="_xlnm.Print_Area" localSheetId="21">'AT3'!$A$1:$I$23</definedName>
    <definedName name="_xlnm.Print_Area" localSheetId="22">'AT4'!$A$1:$E$27</definedName>
    <definedName name="_xlnm.Print_Area" localSheetId="0">'F1'!$A$1:$H$25</definedName>
    <definedName name="_xlnm.Print_Area" localSheetId="9">'F10'!$A$2:$O$33</definedName>
    <definedName name="_xlnm.Print_Area" localSheetId="10">'F11-13'!$A$2:$P$21,'F11-13'!$A$24:$P$43,'F11-13'!$A$47:$P$66</definedName>
    <definedName name="_xlnm.Print_Area" localSheetId="1">'F2'!$A$1:$O$65</definedName>
    <definedName name="_xlnm.Print_Area" localSheetId="2">'F3'!$A$1:$O$65</definedName>
    <definedName name="_xlnm.Print_Area" localSheetId="3">'F4'!$A$1:$O$65</definedName>
    <definedName name="_xlnm.Print_Area" localSheetId="4">'F5'!$A$1:$O$29</definedName>
    <definedName name="_xlnm.Print_Area" localSheetId="5">'F6'!$A$2:$H$67</definedName>
    <definedName name="_xlnm.Print_Area" localSheetId="6">'F7'!$A$2:$H$45</definedName>
    <definedName name="_xlnm.Print_Area" localSheetId="7">'F8'!$A$2:$H$84</definedName>
    <definedName name="_xlnm.Print_Area" localSheetId="8">'F9'!$A$1:$O$74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5" i="207" l="1"/>
  <c r="U15" i="207"/>
  <c r="Y15" i="207" s="1"/>
  <c r="U14" i="207"/>
  <c r="V14" i="207"/>
  <c r="T11" i="115"/>
  <c r="AD12" i="207"/>
  <c r="AC12" i="207"/>
  <c r="AB14" i="151"/>
  <c r="AA14" i="151"/>
  <c r="Y14" i="207" l="1"/>
  <c r="AE15" i="207"/>
  <c r="AE16" i="207"/>
  <c r="AE17" i="207"/>
  <c r="AE18" i="207"/>
  <c r="AE19" i="207"/>
  <c r="AE20" i="207"/>
  <c r="AE21" i="207"/>
  <c r="AE14" i="207"/>
  <c r="AC29" i="151"/>
  <c r="AB29" i="151"/>
  <c r="AE29" i="151" s="1"/>
  <c r="AA29" i="151"/>
  <c r="Z29" i="151"/>
  <c r="AC13" i="151"/>
  <c r="AF13" i="151" s="1"/>
  <c r="AB13" i="151"/>
  <c r="AE13" i="151" s="1"/>
  <c r="AA13" i="151"/>
  <c r="Z13" i="151"/>
  <c r="AD13" i="151" s="1"/>
  <c r="C20" i="208"/>
  <c r="D20" i="208"/>
  <c r="E20" i="208"/>
  <c r="C21" i="208"/>
  <c r="D21" i="208"/>
  <c r="E21" i="208"/>
  <c r="C22" i="208"/>
  <c r="D22" i="208"/>
  <c r="E22" i="208"/>
  <c r="C23" i="208"/>
  <c r="D23" i="208"/>
  <c r="E23" i="208"/>
  <c r="D19" i="208"/>
  <c r="C19" i="208"/>
  <c r="E19" i="208" s="1"/>
  <c r="E16" i="208"/>
  <c r="C13" i="208"/>
  <c r="D13" i="208"/>
  <c r="C14" i="208"/>
  <c r="E14" i="208" s="1"/>
  <c r="D14" i="208"/>
  <c r="C15" i="208"/>
  <c r="D15" i="208"/>
  <c r="C16" i="208"/>
  <c r="D16" i="208"/>
  <c r="D12" i="208"/>
  <c r="C12" i="208"/>
  <c r="E12" i="208" s="1"/>
  <c r="E9" i="208"/>
  <c r="C6" i="208"/>
  <c r="D6" i="208"/>
  <c r="C7" i="208"/>
  <c r="D7" i="208"/>
  <c r="C8" i="208"/>
  <c r="D8" i="208"/>
  <c r="C9" i="208"/>
  <c r="D9" i="208"/>
  <c r="D5" i="208"/>
  <c r="C5" i="208"/>
  <c r="AE4" i="207"/>
  <c r="AE5" i="207"/>
  <c r="AE6" i="207"/>
  <c r="AE7" i="207"/>
  <c r="AE8" i="207"/>
  <c r="AE9" i="207"/>
  <c r="AE10" i="207"/>
  <c r="AE3" i="207"/>
  <c r="D18" i="208"/>
  <c r="C18" i="208"/>
  <c r="E18" i="208" s="1"/>
  <c r="D11" i="208"/>
  <c r="C11" i="208"/>
  <c r="D4" i="208"/>
  <c r="E4" i="208"/>
  <c r="E15" i="208"/>
  <c r="E6" i="208"/>
  <c r="E5" i="208"/>
  <c r="C4" i="208"/>
  <c r="E55" i="208"/>
  <c r="E56" i="208"/>
  <c r="E57" i="208"/>
  <c r="E62" i="208" s="1"/>
  <c r="E54" i="208"/>
  <c r="D55" i="208"/>
  <c r="D56" i="208"/>
  <c r="D57" i="208"/>
  <c r="D54" i="208"/>
  <c r="C55" i="208"/>
  <c r="C56" i="208"/>
  <c r="C57" i="208"/>
  <c r="C54" i="208"/>
  <c r="D53" i="208"/>
  <c r="E53" i="208"/>
  <c r="C53" i="208"/>
  <c r="U52" i="207"/>
  <c r="W52" i="207"/>
  <c r="S52" i="207"/>
  <c r="U51" i="207"/>
  <c r="W51" i="207"/>
  <c r="S51" i="207"/>
  <c r="U46" i="207"/>
  <c r="W46" i="207"/>
  <c r="S46" i="207"/>
  <c r="U45" i="207"/>
  <c r="W45" i="207"/>
  <c r="S45" i="207"/>
  <c r="Q37" i="207"/>
  <c r="Q38" i="207" s="1"/>
  <c r="Q39" i="207" s="1"/>
  <c r="U19" i="207"/>
  <c r="W19" i="207"/>
  <c r="S19" i="207"/>
  <c r="U18" i="207"/>
  <c r="W18" i="207"/>
  <c r="S18" i="207"/>
  <c r="U13" i="207"/>
  <c r="W13" i="207"/>
  <c r="S13" i="207"/>
  <c r="U12" i="207"/>
  <c r="W12" i="207"/>
  <c r="S12" i="207"/>
  <c r="Q4" i="207"/>
  <c r="Q5" i="207" s="1"/>
  <c r="Q6" i="207" s="1"/>
  <c r="T52" i="204"/>
  <c r="S52" i="204"/>
  <c r="T51" i="204"/>
  <c r="S51" i="204"/>
  <c r="S48" i="204"/>
  <c r="S49" i="204" s="1"/>
  <c r="S47" i="204"/>
  <c r="T46" i="204"/>
  <c r="S46" i="204"/>
  <c r="T45" i="204"/>
  <c r="S45" i="204"/>
  <c r="Z43" i="204"/>
  <c r="AA43" i="204" s="1"/>
  <c r="X43" i="204"/>
  <c r="Y43" i="204" s="1"/>
  <c r="Z42" i="204"/>
  <c r="AA42" i="204" s="1"/>
  <c r="X42" i="204"/>
  <c r="Y42" i="204" s="1"/>
  <c r="Q37" i="204"/>
  <c r="Q38" i="204" s="1"/>
  <c r="Q39" i="204" s="1"/>
  <c r="T19" i="204"/>
  <c r="S19" i="204"/>
  <c r="T18" i="204"/>
  <c r="S18" i="204"/>
  <c r="T13" i="204"/>
  <c r="S13" i="204"/>
  <c r="T12" i="204"/>
  <c r="S12" i="204"/>
  <c r="AA10" i="204"/>
  <c r="Y10" i="204"/>
  <c r="X10" i="204"/>
  <c r="Z10" i="204" s="1"/>
  <c r="AA9" i="204"/>
  <c r="Y9" i="204"/>
  <c r="X9" i="204"/>
  <c r="Z9" i="204" s="1"/>
  <c r="Q4" i="204"/>
  <c r="Q5" i="204" s="1"/>
  <c r="Q6" i="204" s="1"/>
  <c r="P18" i="144"/>
  <c r="P17" i="144"/>
  <c r="T70" i="151"/>
  <c r="G24" i="175"/>
  <c r="G16" i="175"/>
  <c r="G7" i="175"/>
  <c r="G6" i="175"/>
  <c r="S47" i="115"/>
  <c r="S49" i="115"/>
  <c r="P14" i="144"/>
  <c r="P15" i="144"/>
  <c r="E12" i="144"/>
  <c r="E11" i="144"/>
  <c r="E10" i="144"/>
  <c r="E6" i="144"/>
  <c r="R14" i="144"/>
  <c r="Q14" i="144"/>
  <c r="O14" i="144"/>
  <c r="O15" i="144"/>
  <c r="B11" i="144"/>
  <c r="T15" i="144"/>
  <c r="AF29" i="151" l="1"/>
  <c r="AD29" i="151"/>
  <c r="D59" i="208"/>
  <c r="D61" i="208"/>
  <c r="E7" i="208"/>
  <c r="E8" i="208"/>
  <c r="D62" i="208"/>
  <c r="D60" i="208"/>
  <c r="E59" i="208"/>
  <c r="C59" i="208"/>
  <c r="E13" i="208"/>
  <c r="C62" i="208"/>
  <c r="C61" i="208"/>
  <c r="E61" i="208"/>
  <c r="E60" i="208"/>
  <c r="C60" i="208"/>
  <c r="E11" i="208"/>
  <c r="K9" i="175"/>
  <c r="E24" i="175" s="1"/>
  <c r="J9" i="175"/>
  <c r="I9" i="175"/>
  <c r="E7" i="175" s="1"/>
  <c r="E16" i="175"/>
  <c r="I53" i="128"/>
  <c r="I54" i="128" s="1"/>
  <c r="I55" i="128" s="1"/>
  <c r="M23" i="189" l="1"/>
  <c r="AI23" i="195"/>
  <c r="AB21" i="195"/>
  <c r="AA21" i="195"/>
  <c r="Z21" i="195"/>
  <c r="Y21" i="195"/>
  <c r="AB20" i="195"/>
  <c r="AA20" i="195"/>
  <c r="Z20" i="195"/>
  <c r="Y20" i="195"/>
  <c r="AB19" i="195"/>
  <c r="AA19" i="195"/>
  <c r="Z19" i="195"/>
  <c r="Y19" i="195"/>
  <c r="AB18" i="195"/>
  <c r="AA18" i="195"/>
  <c r="Z18" i="195"/>
  <c r="Y18" i="195"/>
  <c r="AB17" i="195"/>
  <c r="AA17" i="195"/>
  <c r="Z17" i="195"/>
  <c r="Y17" i="195"/>
  <c r="AB16" i="195"/>
  <c r="AA16" i="195"/>
  <c r="Z16" i="195"/>
  <c r="Y16" i="195"/>
  <c r="AB8" i="195"/>
  <c r="AA8" i="195"/>
  <c r="Z8" i="195"/>
  <c r="Y8" i="195"/>
  <c r="AB7" i="195"/>
  <c r="AA7" i="195"/>
  <c r="Z7" i="195"/>
  <c r="Y7" i="195"/>
  <c r="AB6" i="195"/>
  <c r="AA6" i="195"/>
  <c r="Z6" i="195"/>
  <c r="Y6" i="195"/>
  <c r="AB5" i="195"/>
  <c r="AA5" i="195"/>
  <c r="Z5" i="195"/>
  <c r="Y5" i="195"/>
  <c r="AB4" i="195"/>
  <c r="AA4" i="195"/>
  <c r="Z4" i="195"/>
  <c r="Y4" i="195"/>
  <c r="AB3" i="195"/>
  <c r="AA3" i="195"/>
  <c r="Z3" i="195"/>
  <c r="Y3" i="195"/>
  <c r="F21" i="189"/>
  <c r="E21" i="189"/>
  <c r="D21" i="189"/>
  <c r="C21" i="189"/>
  <c r="F20" i="189"/>
  <c r="I20" i="189" s="1"/>
  <c r="AL61" i="189" s="1"/>
  <c r="E20" i="189"/>
  <c r="D20" i="189"/>
  <c r="C20" i="189"/>
  <c r="F19" i="189"/>
  <c r="E19" i="189"/>
  <c r="D19" i="189"/>
  <c r="C19" i="189"/>
  <c r="F18" i="189"/>
  <c r="E18" i="189"/>
  <c r="D18" i="189"/>
  <c r="C18" i="189"/>
  <c r="F17" i="189"/>
  <c r="I17" i="189" s="1"/>
  <c r="E17" i="189"/>
  <c r="D17" i="189"/>
  <c r="C17" i="189"/>
  <c r="F16" i="189"/>
  <c r="E16" i="189"/>
  <c r="D16" i="189"/>
  <c r="C16" i="189"/>
  <c r="F8" i="189"/>
  <c r="E8" i="189"/>
  <c r="D8" i="189"/>
  <c r="C8" i="189"/>
  <c r="F7" i="189"/>
  <c r="E7" i="189"/>
  <c r="D7" i="189"/>
  <c r="C7" i="189"/>
  <c r="F6" i="189"/>
  <c r="E6" i="189"/>
  <c r="D6" i="189"/>
  <c r="C6" i="189"/>
  <c r="F5" i="189"/>
  <c r="E5" i="189"/>
  <c r="D5" i="189"/>
  <c r="C5" i="189"/>
  <c r="F4" i="189"/>
  <c r="E4" i="189"/>
  <c r="D4" i="189"/>
  <c r="C4" i="189"/>
  <c r="F3" i="189"/>
  <c r="E3" i="189"/>
  <c r="D3" i="189"/>
  <c r="C3" i="189"/>
  <c r="H20" i="189" l="1"/>
  <c r="AE8" i="195"/>
  <c r="T62" i="195" s="1"/>
  <c r="AD3" i="195"/>
  <c r="S26" i="195" s="1"/>
  <c r="AE17" i="195"/>
  <c r="AC8" i="195"/>
  <c r="AE5" i="195"/>
  <c r="AD8" i="195"/>
  <c r="AA25" i="195"/>
  <c r="AA26" i="195" s="1"/>
  <c r="G17" i="189"/>
  <c r="G20" i="189"/>
  <c r="H5" i="189"/>
  <c r="H18" i="189"/>
  <c r="G16" i="189"/>
  <c r="AL4" i="189" s="1"/>
  <c r="H16" i="189"/>
  <c r="AK26" i="189" s="1"/>
  <c r="AK33" i="189" s="1"/>
  <c r="AK37" i="189" s="1"/>
  <c r="G19" i="189"/>
  <c r="G21" i="189"/>
  <c r="H21" i="189"/>
  <c r="H19" i="189"/>
  <c r="AK27" i="189" s="1"/>
  <c r="AK29" i="189"/>
  <c r="I16" i="189"/>
  <c r="AL60" i="189" s="1"/>
  <c r="I19" i="189"/>
  <c r="H17" i="189"/>
  <c r="I18" i="189"/>
  <c r="I21" i="189"/>
  <c r="AL62" i="189" s="1"/>
  <c r="AL6" i="189"/>
  <c r="G18" i="189"/>
  <c r="AL5" i="189" s="1"/>
  <c r="E25" i="189"/>
  <c r="E26" i="189" s="1"/>
  <c r="I8" i="189"/>
  <c r="AK62" i="189" s="1"/>
  <c r="G5" i="189"/>
  <c r="AK5" i="189" s="1"/>
  <c r="H8" i="189"/>
  <c r="I5" i="189"/>
  <c r="I6" i="189"/>
  <c r="H7" i="189"/>
  <c r="I7" i="189"/>
  <c r="AK61" i="189" s="1"/>
  <c r="G8" i="189"/>
  <c r="G7" i="189"/>
  <c r="AJ28" i="189"/>
  <c r="H6" i="189"/>
  <c r="AJ27" i="189" s="1"/>
  <c r="G6" i="189"/>
  <c r="I4" i="189"/>
  <c r="G3" i="189"/>
  <c r="AK4" i="189" s="1"/>
  <c r="AK11" i="189" s="1"/>
  <c r="AK15" i="189" s="1"/>
  <c r="H3" i="189"/>
  <c r="AJ26" i="189" s="1"/>
  <c r="G4" i="189"/>
  <c r="I3" i="189"/>
  <c r="P3" i="189" s="1"/>
  <c r="H4" i="189"/>
  <c r="AC17" i="195"/>
  <c r="AD17" i="195"/>
  <c r="AC20" i="195"/>
  <c r="AC16" i="195"/>
  <c r="U4" i="195" s="1"/>
  <c r="AC5" i="195"/>
  <c r="T5" i="195" s="1"/>
  <c r="AC6" i="195"/>
  <c r="AE3" i="195"/>
  <c r="AL3" i="195" s="1"/>
  <c r="S29" i="195"/>
  <c r="T6" i="195"/>
  <c r="AC7" i="195"/>
  <c r="AD7" i="195"/>
  <c r="AE7" i="195"/>
  <c r="AL7" i="195" s="1"/>
  <c r="S28" i="195"/>
  <c r="AD6" i="195"/>
  <c r="S27" i="195" s="1"/>
  <c r="AE6" i="195"/>
  <c r="AE4" i="195"/>
  <c r="AD5" i="195"/>
  <c r="AD20" i="195"/>
  <c r="AE20" i="195"/>
  <c r="U61" i="195" s="1"/>
  <c r="AC21" i="195"/>
  <c r="AE18" i="195"/>
  <c r="AC19" i="195"/>
  <c r="AD19" i="195"/>
  <c r="T27" i="195" s="1"/>
  <c r="AE19" i="195"/>
  <c r="T29" i="195"/>
  <c r="T28" i="195"/>
  <c r="AC18" i="195"/>
  <c r="U5" i="195" s="1"/>
  <c r="AD21" i="195"/>
  <c r="AE21" i="195"/>
  <c r="U62" i="195" s="1"/>
  <c r="AD16" i="195"/>
  <c r="T26" i="195" s="1"/>
  <c r="AE16" i="195"/>
  <c r="U60" i="195" s="1"/>
  <c r="AC4" i="195"/>
  <c r="AD4" i="195"/>
  <c r="U6" i="195"/>
  <c r="AC3" i="195"/>
  <c r="T4" i="195" s="1"/>
  <c r="AD18" i="195"/>
  <c r="AK28" i="189"/>
  <c r="AK6" i="189"/>
  <c r="P8" i="189"/>
  <c r="AJ29" i="189"/>
  <c r="V52" i="188"/>
  <c r="U52" i="188"/>
  <c r="T52" i="188"/>
  <c r="S52" i="188"/>
  <c r="R52" i="188"/>
  <c r="V51" i="188"/>
  <c r="U51" i="188"/>
  <c r="T51" i="188"/>
  <c r="S51" i="188"/>
  <c r="R51" i="188"/>
  <c r="S48" i="188"/>
  <c r="S49" i="188" s="1"/>
  <c r="S47" i="188"/>
  <c r="V46" i="188"/>
  <c r="U46" i="188"/>
  <c r="T46" i="188"/>
  <c r="S46" i="188"/>
  <c r="R46" i="188"/>
  <c r="V45" i="188"/>
  <c r="U45" i="188"/>
  <c r="T45" i="188"/>
  <c r="S45" i="188"/>
  <c r="R45" i="188"/>
  <c r="Z43" i="188"/>
  <c r="AA43" i="188" s="1"/>
  <c r="X43" i="188"/>
  <c r="Y43" i="188" s="1"/>
  <c r="AA42" i="188"/>
  <c r="Z42" i="188"/>
  <c r="X42" i="188"/>
  <c r="Y42" i="188" s="1"/>
  <c r="Q37" i="188"/>
  <c r="Q38" i="188" s="1"/>
  <c r="Q39" i="188" s="1"/>
  <c r="V19" i="188"/>
  <c r="U19" i="188"/>
  <c r="T19" i="188"/>
  <c r="S19" i="188"/>
  <c r="R19" i="188"/>
  <c r="V18" i="188"/>
  <c r="U18" i="188"/>
  <c r="T18" i="188"/>
  <c r="S18" i="188"/>
  <c r="R18" i="188"/>
  <c r="V13" i="188"/>
  <c r="U13" i="188"/>
  <c r="T13" i="188"/>
  <c r="S13" i="188"/>
  <c r="R13" i="188"/>
  <c r="V12" i="188"/>
  <c r="U12" i="188"/>
  <c r="T12" i="188"/>
  <c r="S12" i="188"/>
  <c r="R12" i="188"/>
  <c r="AA10" i="188"/>
  <c r="Z10" i="188"/>
  <c r="Y10" i="188"/>
  <c r="X10" i="188"/>
  <c r="AA9" i="188"/>
  <c r="Y9" i="188"/>
  <c r="X9" i="188"/>
  <c r="Z9" i="188" s="1"/>
  <c r="Q5" i="188"/>
  <c r="Q6" i="188" s="1"/>
  <c r="Q4" i="188"/>
  <c r="E27" i="175"/>
  <c r="E19" i="175"/>
  <c r="E10" i="175"/>
  <c r="D28" i="175"/>
  <c r="D20" i="175"/>
  <c r="D11" i="175"/>
  <c r="D27" i="175"/>
  <c r="D19" i="175"/>
  <c r="D10" i="175"/>
  <c r="D26" i="175"/>
  <c r="D18" i="175"/>
  <c r="D9" i="175"/>
  <c r="C28" i="175"/>
  <c r="C26" i="175"/>
  <c r="C20" i="175"/>
  <c r="C18" i="175"/>
  <c r="C11" i="175"/>
  <c r="C9" i="175"/>
  <c r="D25" i="175"/>
  <c r="D17" i="175"/>
  <c r="D23" i="175"/>
  <c r="D24" i="175"/>
  <c r="F24" i="175" s="1"/>
  <c r="D22" i="175"/>
  <c r="D15" i="175"/>
  <c r="D16" i="175"/>
  <c r="F16" i="175" s="1"/>
  <c r="D13" i="175"/>
  <c r="D6" i="175"/>
  <c r="D7" i="175"/>
  <c r="F7" i="175" s="1"/>
  <c r="D8" i="175"/>
  <c r="D5" i="175"/>
  <c r="D4" i="175"/>
  <c r="C24" i="175"/>
  <c r="C23" i="175"/>
  <c r="C15" i="175"/>
  <c r="C6" i="175"/>
  <c r="C16" i="175"/>
  <c r="C7" i="175"/>
  <c r="E23" i="175"/>
  <c r="E25" i="175"/>
  <c r="E22" i="175"/>
  <c r="E17" i="175"/>
  <c r="E15" i="175"/>
  <c r="E14" i="175"/>
  <c r="E13" i="175"/>
  <c r="O32" i="175"/>
  <c r="P32" i="175"/>
  <c r="N32" i="175"/>
  <c r="E8" i="175"/>
  <c r="E6" i="175"/>
  <c r="E5" i="175"/>
  <c r="E4" i="175"/>
  <c r="AL11" i="189" l="1"/>
  <c r="AL15" i="189" s="1"/>
  <c r="AL12" i="189"/>
  <c r="AK32" i="189"/>
  <c r="AK36" i="189" s="1"/>
  <c r="AK34" i="189"/>
  <c r="AK38" i="189" s="1"/>
  <c r="P7" i="189"/>
  <c r="S34" i="195"/>
  <c r="S38" i="195" s="1"/>
  <c r="T34" i="195"/>
  <c r="T38" i="195" s="1"/>
  <c r="AL8" i="195"/>
  <c r="T60" i="195"/>
  <c r="T67" i="195" s="1"/>
  <c r="T71" i="195" s="1"/>
  <c r="S33" i="195"/>
  <c r="S37" i="195" s="1"/>
  <c r="S32" i="195"/>
  <c r="S36" i="195" s="1"/>
  <c r="U11" i="195"/>
  <c r="U15" i="195" s="1"/>
  <c r="T61" i="195"/>
  <c r="U12" i="195"/>
  <c r="P16" i="189"/>
  <c r="AJ32" i="189"/>
  <c r="AJ36" i="189" s="1"/>
  <c r="AJ33" i="189"/>
  <c r="AJ37" i="189" s="1"/>
  <c r="AK12" i="189"/>
  <c r="AK60" i="189"/>
  <c r="AK66" i="189" s="1"/>
  <c r="AK70" i="189" s="1"/>
  <c r="AJ34" i="189"/>
  <c r="AJ38" i="189" s="1"/>
  <c r="AL16" i="195"/>
  <c r="T32" i="195"/>
  <c r="T36" i="195" s="1"/>
  <c r="T33" i="195"/>
  <c r="T37" i="195" s="1"/>
  <c r="U67" i="195"/>
  <c r="U71" i="195" s="1"/>
  <c r="U66" i="195"/>
  <c r="U70" i="195" s="1"/>
  <c r="T12" i="195"/>
  <c r="T11" i="195"/>
  <c r="T15" i="195" s="1"/>
  <c r="AL67" i="189"/>
  <c r="AL71" i="189" s="1"/>
  <c r="AL66" i="189"/>
  <c r="AL70" i="189" s="1"/>
  <c r="F4" i="175"/>
  <c r="F10" i="175"/>
  <c r="F19" i="175"/>
  <c r="F27" i="175"/>
  <c r="F17" i="175"/>
  <c r="F13" i="175"/>
  <c r="F22" i="175"/>
  <c r="F25" i="175"/>
  <c r="F5" i="175"/>
  <c r="F23" i="175"/>
  <c r="F6" i="175"/>
  <c r="F8" i="175"/>
  <c r="G12" i="175"/>
  <c r="F15" i="175"/>
  <c r="U13" i="182"/>
  <c r="T13" i="182"/>
  <c r="S13" i="182"/>
  <c r="R13" i="182"/>
  <c r="U12" i="182"/>
  <c r="T12" i="182"/>
  <c r="S12" i="182"/>
  <c r="R12" i="182"/>
  <c r="U11" i="182"/>
  <c r="T11" i="182"/>
  <c r="S11" i="182"/>
  <c r="R11" i="182"/>
  <c r="R16" i="182" s="1"/>
  <c r="U47" i="182"/>
  <c r="T47" i="182"/>
  <c r="S47" i="182"/>
  <c r="R47" i="182"/>
  <c r="U46" i="182"/>
  <c r="T46" i="182"/>
  <c r="S46" i="182"/>
  <c r="R46" i="182"/>
  <c r="U45" i="182"/>
  <c r="T45" i="182"/>
  <c r="S45" i="182"/>
  <c r="R45" i="182"/>
  <c r="R50" i="182" s="1"/>
  <c r="T66" i="195" l="1"/>
  <c r="T70" i="195" s="1"/>
  <c r="AK67" i="189"/>
  <c r="AK71" i="189" s="1"/>
  <c r="V12" i="115"/>
  <c r="C6" i="144"/>
  <c r="C7" i="144"/>
  <c r="C8" i="144"/>
  <c r="C9" i="144"/>
  <c r="C10" i="144"/>
  <c r="C11" i="144"/>
  <c r="C12" i="144"/>
  <c r="C5" i="144"/>
  <c r="B5" i="144"/>
  <c r="B6" i="144"/>
  <c r="B7" i="144"/>
  <c r="B8" i="144"/>
  <c r="B9" i="144"/>
  <c r="B10" i="144"/>
  <c r="B12" i="144"/>
  <c r="I4" i="144"/>
  <c r="J4" i="144" s="1"/>
  <c r="L4" i="144"/>
  <c r="F4" i="144"/>
  <c r="C4" i="144"/>
  <c r="S19" i="181" l="1"/>
  <c r="U97" i="182"/>
  <c r="T97" i="182"/>
  <c r="S97" i="182"/>
  <c r="R97" i="182"/>
  <c r="R101" i="182" s="1"/>
  <c r="U96" i="182"/>
  <c r="T96" i="182"/>
  <c r="S96" i="182"/>
  <c r="R96" i="182"/>
  <c r="U47" i="158"/>
  <c r="T47" i="158"/>
  <c r="S47" i="158"/>
  <c r="R47" i="158"/>
  <c r="U46" i="158"/>
  <c r="T46" i="158"/>
  <c r="S46" i="158"/>
  <c r="R46" i="158"/>
  <c r="U45" i="158"/>
  <c r="T45" i="158"/>
  <c r="S45" i="158"/>
  <c r="R45" i="158"/>
  <c r="R50" i="158" s="1"/>
  <c r="U16" i="181"/>
  <c r="T16" i="181"/>
  <c r="S16" i="181"/>
  <c r="R16" i="181"/>
  <c r="V16" i="181" s="1"/>
  <c r="T13" i="181"/>
  <c r="S13" i="181"/>
  <c r="R13" i="181"/>
  <c r="AC25" i="151"/>
  <c r="AB25" i="151"/>
  <c r="AA25" i="151"/>
  <c r="Z25" i="151"/>
  <c r="AC24" i="151"/>
  <c r="AB24" i="151"/>
  <c r="AA24" i="151"/>
  <c r="Z24" i="151"/>
  <c r="AC23" i="151"/>
  <c r="AB23" i="151"/>
  <c r="AA23" i="151"/>
  <c r="Z23" i="151"/>
  <c r="AC22" i="151"/>
  <c r="AB22" i="151"/>
  <c r="AA22" i="151"/>
  <c r="Z22" i="151"/>
  <c r="AC21" i="151"/>
  <c r="AB21" i="151"/>
  <c r="AA21" i="151"/>
  <c r="AE21" i="151" s="1"/>
  <c r="T27" i="151" s="1"/>
  <c r="Z21" i="151"/>
  <c r="AC20" i="151"/>
  <c r="AB20" i="151"/>
  <c r="AA20" i="151"/>
  <c r="Z20" i="151"/>
  <c r="AC19" i="151"/>
  <c r="AB19" i="151"/>
  <c r="AA19" i="151"/>
  <c r="Z19" i="151"/>
  <c r="AC18" i="151"/>
  <c r="AB18" i="151"/>
  <c r="AA18" i="151"/>
  <c r="Z18" i="151"/>
  <c r="Z4" i="151"/>
  <c r="AA4" i="151"/>
  <c r="AB4" i="151"/>
  <c r="AC4" i="151"/>
  <c r="P9" i="175"/>
  <c r="O9" i="175"/>
  <c r="D14" i="175"/>
  <c r="F14" i="175" s="1"/>
  <c r="U14" i="166"/>
  <c r="T14" i="166"/>
  <c r="S14" i="166"/>
  <c r="R14" i="166"/>
  <c r="V13" i="166"/>
  <c r="U13" i="166"/>
  <c r="T13" i="166"/>
  <c r="S13" i="166"/>
  <c r="R13" i="166"/>
  <c r="U11" i="158"/>
  <c r="T11" i="158"/>
  <c r="S11" i="158"/>
  <c r="R11" i="158"/>
  <c r="R16" i="158" s="1"/>
  <c r="V15" i="144"/>
  <c r="U15" i="144"/>
  <c r="R15" i="144"/>
  <c r="Q15" i="144"/>
  <c r="Y10" i="115"/>
  <c r="Y9" i="115"/>
  <c r="X9" i="115"/>
  <c r="Z9" i="115" s="1"/>
  <c r="AA10" i="115"/>
  <c r="AA9" i="115"/>
  <c r="T19" i="115"/>
  <c r="U6" i="151" l="1"/>
  <c r="T29" i="151"/>
  <c r="T28" i="151"/>
  <c r="AE18" i="151"/>
  <c r="T26" i="151" s="1"/>
  <c r="S99" i="182"/>
  <c r="T99" i="182"/>
  <c r="U99" i="182"/>
  <c r="R99" i="182"/>
  <c r="R100" i="182"/>
  <c r="S101" i="182"/>
  <c r="T101" i="182"/>
  <c r="U101" i="182"/>
  <c r="AF22" i="151"/>
  <c r="U61" i="151" s="1"/>
  <c r="AE23" i="151"/>
  <c r="AF23" i="151"/>
  <c r="U62" i="151" s="1"/>
  <c r="AF18" i="151"/>
  <c r="AD25" i="151"/>
  <c r="AE25" i="151"/>
  <c r="AF25" i="151"/>
  <c r="AD23" i="151"/>
  <c r="AD18" i="151"/>
  <c r="U4" i="151" s="1"/>
  <c r="AF19" i="151"/>
  <c r="AD20" i="151"/>
  <c r="U5" i="151" s="1"/>
  <c r="S100" i="182"/>
  <c r="T100" i="182"/>
  <c r="U100" i="182"/>
  <c r="X16" i="181"/>
  <c r="W16" i="181"/>
  <c r="AD24" i="151"/>
  <c r="AE19" i="151"/>
  <c r="AE22" i="151"/>
  <c r="AD19" i="151"/>
  <c r="AF24" i="151"/>
  <c r="AF20" i="151"/>
  <c r="AF21" i="151"/>
  <c r="AE24" i="151"/>
  <c r="AD22" i="151"/>
  <c r="AE20" i="151"/>
  <c r="AD21" i="151"/>
  <c r="AD4" i="151"/>
  <c r="AF4" i="151"/>
  <c r="AE4" i="151"/>
  <c r="S52" i="173"/>
  <c r="R52" i="173"/>
  <c r="S51" i="173"/>
  <c r="R51" i="173"/>
  <c r="R48" i="173"/>
  <c r="R49" i="173" s="1"/>
  <c r="R47" i="173"/>
  <c r="S46" i="173"/>
  <c r="R46" i="173"/>
  <c r="S45" i="173"/>
  <c r="R45" i="173"/>
  <c r="W43" i="173"/>
  <c r="X43" i="173" s="1"/>
  <c r="U43" i="173"/>
  <c r="V43" i="173" s="1"/>
  <c r="W42" i="173"/>
  <c r="X42" i="173" s="1"/>
  <c r="U42" i="173"/>
  <c r="V42" i="173" s="1"/>
  <c r="Q37" i="173"/>
  <c r="Q38" i="173" s="1"/>
  <c r="Q39" i="173" s="1"/>
  <c r="S19" i="173"/>
  <c r="R19" i="173"/>
  <c r="S18" i="173"/>
  <c r="R18" i="173"/>
  <c r="S13" i="173"/>
  <c r="R13" i="173"/>
  <c r="S12" i="173"/>
  <c r="R12" i="173"/>
  <c r="U10" i="173"/>
  <c r="W10" i="173" s="1"/>
  <c r="U9" i="173"/>
  <c r="W9" i="173" s="1"/>
  <c r="Q4" i="173"/>
  <c r="Q5" i="173" s="1"/>
  <c r="Q6" i="173" s="1"/>
  <c r="S52" i="172"/>
  <c r="R52" i="172"/>
  <c r="S51" i="172"/>
  <c r="R51" i="172"/>
  <c r="R48" i="172"/>
  <c r="R49" i="172" s="1"/>
  <c r="R47" i="172"/>
  <c r="S46" i="172"/>
  <c r="R46" i="172"/>
  <c r="S45" i="172"/>
  <c r="R45" i="172"/>
  <c r="W43" i="172"/>
  <c r="X43" i="172" s="1"/>
  <c r="U43" i="172"/>
  <c r="V43" i="172" s="1"/>
  <c r="W42" i="172"/>
  <c r="X42" i="172" s="1"/>
  <c r="U42" i="172"/>
  <c r="V42" i="172" s="1"/>
  <c r="Q37" i="172"/>
  <c r="Q38" i="172" s="1"/>
  <c r="Q39" i="172" s="1"/>
  <c r="S19" i="172"/>
  <c r="R19" i="172"/>
  <c r="S18" i="172"/>
  <c r="R18" i="172"/>
  <c r="S13" i="172"/>
  <c r="R13" i="172"/>
  <c r="S12" i="172"/>
  <c r="R12" i="172"/>
  <c r="U10" i="172"/>
  <c r="W10" i="172" s="1"/>
  <c r="U9" i="172"/>
  <c r="W9" i="172" s="1"/>
  <c r="Q4" i="172"/>
  <c r="Q5" i="172" s="1"/>
  <c r="Q6" i="172" s="1"/>
  <c r="U60" i="151" l="1"/>
  <c r="U66" i="151" s="1"/>
  <c r="AM16" i="151"/>
  <c r="T32" i="151"/>
  <c r="T36" i="151" s="1"/>
  <c r="T34" i="151"/>
  <c r="T33" i="151"/>
  <c r="S12" i="166"/>
  <c r="T12" i="166"/>
  <c r="U12" i="166"/>
  <c r="R12" i="166"/>
  <c r="U83" i="158"/>
  <c r="T83" i="158"/>
  <c r="S83" i="158"/>
  <c r="R83" i="158"/>
  <c r="U82" i="158"/>
  <c r="U85" i="158" s="1"/>
  <c r="T82" i="158"/>
  <c r="T85" i="158" s="1"/>
  <c r="S82" i="158"/>
  <c r="S85" i="158" s="1"/>
  <c r="R82" i="158"/>
  <c r="R85" i="158" s="1"/>
  <c r="U13" i="158"/>
  <c r="T13" i="158"/>
  <c r="S13" i="158"/>
  <c r="R13" i="158"/>
  <c r="R12" i="158"/>
  <c r="Z42" i="115"/>
  <c r="AA42" i="115"/>
  <c r="Z43" i="115"/>
  <c r="AA43" i="115" s="1"/>
  <c r="X42" i="115"/>
  <c r="Y42" i="115" s="1"/>
  <c r="X43" i="115"/>
  <c r="Y43" i="115" s="1"/>
  <c r="X10" i="115"/>
  <c r="Z10" i="115" s="1"/>
  <c r="S51" i="115"/>
  <c r="S48" i="115"/>
  <c r="R52" i="115"/>
  <c r="R51" i="115"/>
  <c r="V52" i="115"/>
  <c r="U52" i="115"/>
  <c r="T52" i="115"/>
  <c r="S52" i="115"/>
  <c r="V51" i="115"/>
  <c r="U51" i="115"/>
  <c r="T51" i="115"/>
  <c r="V19" i="115"/>
  <c r="U19" i="115"/>
  <c r="S19" i="115"/>
  <c r="V18" i="115"/>
  <c r="U18" i="115"/>
  <c r="T18" i="115"/>
  <c r="S18" i="115"/>
  <c r="R19" i="115"/>
  <c r="R18" i="115"/>
  <c r="T13" i="115"/>
  <c r="V46" i="115"/>
  <c r="U46" i="115"/>
  <c r="T46" i="115"/>
  <c r="S46" i="115"/>
  <c r="R46" i="115"/>
  <c r="V13" i="115"/>
  <c r="U13" i="115"/>
  <c r="S13" i="115"/>
  <c r="R13" i="115"/>
  <c r="R45" i="115"/>
  <c r="V45" i="115"/>
  <c r="U45" i="115"/>
  <c r="T45" i="115"/>
  <c r="S45" i="115"/>
  <c r="R12" i="115"/>
  <c r="U12" i="115"/>
  <c r="T12" i="115"/>
  <c r="S12" i="115"/>
  <c r="U12" i="158"/>
  <c r="T12" i="158"/>
  <c r="S12" i="158"/>
  <c r="AC10" i="166"/>
  <c r="V10" i="166" s="1"/>
  <c r="V14" i="166" s="1"/>
  <c r="U10" i="166"/>
  <c r="T10" i="166"/>
  <c r="AI45" i="166" s="1"/>
  <c r="S10" i="166"/>
  <c r="R10" i="166"/>
  <c r="AC9" i="166"/>
  <c r="V9" i="166" s="1"/>
  <c r="U9" i="166"/>
  <c r="T9" i="166"/>
  <c r="AI44" i="166" s="1"/>
  <c r="S9" i="166"/>
  <c r="R9" i="166"/>
  <c r="AC8" i="166"/>
  <c r="V8" i="166" s="1"/>
  <c r="U8" i="166"/>
  <c r="T8" i="166"/>
  <c r="AI43" i="166" s="1"/>
  <c r="S8" i="166"/>
  <c r="R8" i="166"/>
  <c r="AC7" i="166"/>
  <c r="V7" i="166" s="1"/>
  <c r="U7" i="166"/>
  <c r="T7" i="166"/>
  <c r="AI42" i="166" s="1"/>
  <c r="S7" i="166"/>
  <c r="R7" i="166"/>
  <c r="AI41" i="166"/>
  <c r="AC6" i="166"/>
  <c r="V6" i="166" s="1"/>
  <c r="U6" i="166"/>
  <c r="T6" i="166"/>
  <c r="S6" i="166"/>
  <c r="R6" i="166"/>
  <c r="AC5" i="166"/>
  <c r="V5" i="166" s="1"/>
  <c r="U5" i="166"/>
  <c r="T5" i="166"/>
  <c r="AI40" i="166" s="1"/>
  <c r="S5" i="166"/>
  <c r="R5" i="166"/>
  <c r="AI39" i="166"/>
  <c r="AC4" i="166"/>
  <c r="V4" i="166" s="1"/>
  <c r="U4" i="166"/>
  <c r="T4" i="166"/>
  <c r="S4" i="166"/>
  <c r="R4" i="166"/>
  <c r="AI38" i="166"/>
  <c r="AC3" i="166"/>
  <c r="AI37" i="166"/>
  <c r="AI36" i="166"/>
  <c r="AI35" i="166"/>
  <c r="AI34" i="166"/>
  <c r="AI33" i="166"/>
  <c r="AI32" i="166"/>
  <c r="AI31" i="166"/>
  <c r="AI30" i="166"/>
  <c r="AI29" i="166"/>
  <c r="AI28" i="166"/>
  <c r="AI27" i="166"/>
  <c r="AI26" i="166"/>
  <c r="AI25" i="166"/>
  <c r="AI24" i="166"/>
  <c r="AI23" i="166"/>
  <c r="AI22" i="166"/>
  <c r="AI21" i="166"/>
  <c r="AI20" i="166"/>
  <c r="AI19" i="166"/>
  <c r="AI18" i="166"/>
  <c r="AI17" i="166"/>
  <c r="AI16" i="166"/>
  <c r="AI15" i="166"/>
  <c r="AI14" i="166"/>
  <c r="AI13" i="166"/>
  <c r="AI12" i="166"/>
  <c r="AI11" i="166"/>
  <c r="AI10" i="166"/>
  <c r="AI9" i="166"/>
  <c r="AI8" i="166"/>
  <c r="AI7" i="166"/>
  <c r="AI6" i="166"/>
  <c r="AI5" i="166"/>
  <c r="AI4" i="166"/>
  <c r="AI3" i="166"/>
  <c r="V12" i="166" l="1"/>
  <c r="U32" i="151"/>
  <c r="T37" i="151"/>
  <c r="U33" i="151"/>
  <c r="T38" i="151"/>
  <c r="U34" i="151"/>
  <c r="U67" i="151"/>
  <c r="U71" i="151" s="1"/>
  <c r="U70" i="151"/>
  <c r="U11" i="151"/>
  <c r="U15" i="151" s="1"/>
  <c r="U12" i="151"/>
  <c r="R87" i="158"/>
  <c r="R86" i="158"/>
  <c r="S87" i="158"/>
  <c r="S86" i="158"/>
  <c r="T87" i="158"/>
  <c r="T86" i="158"/>
  <c r="U87" i="158"/>
  <c r="U86" i="158"/>
  <c r="Q37" i="163"/>
  <c r="Q38" i="163" s="1"/>
  <c r="Q39" i="163" s="1"/>
  <c r="Q4" i="163"/>
  <c r="Q5" i="163" s="1"/>
  <c r="Q6" i="163" s="1"/>
  <c r="K43" i="162"/>
  <c r="K42" i="162"/>
  <c r="K41" i="162"/>
  <c r="K40" i="162"/>
  <c r="K39" i="162"/>
  <c r="K38" i="162"/>
  <c r="K37" i="162"/>
  <c r="K36" i="162"/>
  <c r="K35" i="162"/>
  <c r="K34" i="162"/>
  <c r="K33" i="162"/>
  <c r="K32" i="162"/>
  <c r="S43" i="162"/>
  <c r="K31" i="162"/>
  <c r="K30" i="162"/>
  <c r="K29" i="162"/>
  <c r="K28" i="162"/>
  <c r="K27" i="162"/>
  <c r="K26" i="162"/>
  <c r="S37" i="162"/>
  <c r="K25" i="162"/>
  <c r="K24" i="162"/>
  <c r="K23" i="162"/>
  <c r="K22" i="162"/>
  <c r="K21" i="162"/>
  <c r="K20" i="162"/>
  <c r="K19" i="162"/>
  <c r="K18" i="162"/>
  <c r="K17" i="162"/>
  <c r="K16" i="162"/>
  <c r="K15" i="162"/>
  <c r="K14" i="162"/>
  <c r="K13" i="162"/>
  <c r="K12" i="162"/>
  <c r="K11" i="162"/>
  <c r="K10" i="162"/>
  <c r="K9" i="162"/>
  <c r="K8" i="162"/>
  <c r="K7" i="162"/>
  <c r="K6" i="162"/>
  <c r="K5" i="162"/>
  <c r="K4" i="162"/>
  <c r="K3" i="162"/>
  <c r="K2" i="162"/>
  <c r="Q37" i="115" l="1"/>
  <c r="Q38" i="115" s="1"/>
  <c r="Q39" i="115" s="1"/>
  <c r="AC10" i="151"/>
  <c r="AB10" i="151"/>
  <c r="AA10" i="151"/>
  <c r="Z10" i="151"/>
  <c r="AC9" i="151"/>
  <c r="AB9" i="151"/>
  <c r="AA9" i="151"/>
  <c r="Z9" i="151"/>
  <c r="AC8" i="151"/>
  <c r="AB8" i="151"/>
  <c r="AA8" i="151"/>
  <c r="Z8" i="151"/>
  <c r="AC7" i="151"/>
  <c r="AB7" i="151"/>
  <c r="AA7" i="151"/>
  <c r="Z7" i="151"/>
  <c r="AC6" i="151"/>
  <c r="AB6" i="151"/>
  <c r="AA6" i="151"/>
  <c r="Z6" i="151"/>
  <c r="AC5" i="151"/>
  <c r="AB5" i="151"/>
  <c r="AA5" i="151"/>
  <c r="Z5" i="151"/>
  <c r="AC3" i="151"/>
  <c r="AB3" i="151"/>
  <c r="AA3" i="151"/>
  <c r="S29" i="151" s="1"/>
  <c r="Z3" i="151"/>
  <c r="T6" i="151" s="1"/>
  <c r="S28" i="151" l="1"/>
  <c r="AD3" i="151"/>
  <c r="T4" i="151" s="1"/>
  <c r="AD7" i="151"/>
  <c r="AD10" i="151"/>
  <c r="AD6" i="151"/>
  <c r="AD9" i="151"/>
  <c r="AD8" i="151"/>
  <c r="AD5" i="151"/>
  <c r="T5" i="151" s="1"/>
  <c r="AE3" i="151"/>
  <c r="S26" i="151" s="1"/>
  <c r="AE7" i="151"/>
  <c r="AE10" i="151"/>
  <c r="AF3" i="151"/>
  <c r="AM3" i="151" s="1"/>
  <c r="AE6" i="151"/>
  <c r="S27" i="151" s="1"/>
  <c r="AE9" i="151"/>
  <c r="AE5" i="151"/>
  <c r="AF8" i="151"/>
  <c r="T62" i="151" s="1"/>
  <c r="AF5" i="151"/>
  <c r="AE8" i="151"/>
  <c r="AF6" i="151"/>
  <c r="AF9" i="151"/>
  <c r="AF7" i="151"/>
  <c r="AF10" i="151"/>
  <c r="S32" i="151" l="1"/>
  <c r="T60" i="151"/>
  <c r="AM8" i="151"/>
  <c r="T61" i="151"/>
  <c r="AM7" i="151"/>
  <c r="T12" i="151"/>
  <c r="T66" i="151" l="1"/>
  <c r="T67" i="151"/>
  <c r="T71" i="151" s="1"/>
  <c r="S34" i="151"/>
  <c r="S38" i="151" s="1"/>
  <c r="S33" i="151"/>
  <c r="S37" i="151" s="1"/>
  <c r="S36" i="151"/>
  <c r="T11" i="151"/>
  <c r="T15" i="151" s="1"/>
  <c r="F11" i="144" l="1"/>
  <c r="H11" i="144"/>
  <c r="I11" i="144"/>
  <c r="K11" i="144"/>
  <c r="L11" i="144"/>
  <c r="F12" i="144"/>
  <c r="H12" i="144"/>
  <c r="I12" i="144"/>
  <c r="K12" i="144"/>
  <c r="L12" i="144"/>
  <c r="L10" i="144"/>
  <c r="K10" i="144"/>
  <c r="I10" i="144"/>
  <c r="H10" i="144"/>
  <c r="F10" i="144"/>
  <c r="L9" i="144"/>
  <c r="K9" i="144"/>
  <c r="I9" i="144"/>
  <c r="H9" i="144"/>
  <c r="F9" i="144"/>
  <c r="E9" i="144"/>
  <c r="L8" i="144"/>
  <c r="K8" i="144"/>
  <c r="I8" i="144"/>
  <c r="H8" i="144"/>
  <c r="F8" i="144"/>
  <c r="E8" i="144"/>
  <c r="L7" i="144"/>
  <c r="K7" i="144"/>
  <c r="I7" i="144"/>
  <c r="H7" i="144"/>
  <c r="F7" i="144"/>
  <c r="E7" i="144"/>
  <c r="L6" i="144"/>
  <c r="K6" i="144"/>
  <c r="I6" i="144"/>
  <c r="H6" i="144"/>
  <c r="F6" i="144"/>
  <c r="L5" i="144"/>
  <c r="K5" i="144"/>
  <c r="I5" i="144"/>
  <c r="H5" i="144"/>
  <c r="F5" i="144"/>
  <c r="E5" i="144"/>
  <c r="Q4" i="115" l="1"/>
  <c r="Q5" i="115" s="1"/>
  <c r="Q6" i="115" s="1"/>
</calcChain>
</file>

<file path=xl/sharedStrings.xml><?xml version="1.0" encoding="utf-8"?>
<sst xmlns="http://schemas.openxmlformats.org/spreadsheetml/2006/main" count="1023" uniqueCount="363">
  <si>
    <t>year</t>
  </si>
  <si>
    <t>Consumption</t>
  </si>
  <si>
    <t>pov_cpiu_7</t>
  </si>
  <si>
    <t>qyear</t>
  </si>
  <si>
    <t>2019Q1</t>
  </si>
  <si>
    <t>2019Q2</t>
  </si>
  <si>
    <t>2019Q3</t>
  </si>
  <si>
    <t>2019Q4</t>
  </si>
  <si>
    <t>2020Q1</t>
  </si>
  <si>
    <t>2020Q2</t>
  </si>
  <si>
    <t>2020Q3</t>
  </si>
  <si>
    <t>2020Q4</t>
  </si>
  <si>
    <t>2021Q1</t>
  </si>
  <si>
    <t>2021Q2</t>
  </si>
  <si>
    <t>2021Q3</t>
  </si>
  <si>
    <t>2021Q4</t>
  </si>
  <si>
    <t>2022Q1</t>
  </si>
  <si>
    <t>2022Q2</t>
  </si>
  <si>
    <t>2022Q3</t>
  </si>
  <si>
    <t>2022Q4</t>
  </si>
  <si>
    <t>2015Q1</t>
  </si>
  <si>
    <t>2015Q2</t>
  </si>
  <si>
    <t>2015Q3</t>
  </si>
  <si>
    <t>2015Q4</t>
  </si>
  <si>
    <t>2016Q1</t>
  </si>
  <si>
    <t>2016Q2</t>
  </si>
  <si>
    <t>2016Q3</t>
  </si>
  <si>
    <t>2016Q4</t>
  </si>
  <si>
    <t>2017Q1</t>
  </si>
  <si>
    <t>2017Q2</t>
  </si>
  <si>
    <t>2017Q3</t>
  </si>
  <si>
    <t>2017Q4</t>
  </si>
  <si>
    <t>2018Q1</t>
  </si>
  <si>
    <t>2018Q2</t>
  </si>
  <si>
    <t>2018Q3</t>
  </si>
  <si>
    <t>2018Q4</t>
  </si>
  <si>
    <t>Data from Template data for poverty dashboard_2022 (Column 0, 97, 113, 129)</t>
  </si>
  <si>
    <t>Year</t>
  </si>
  <si>
    <t>CPI-U</t>
  </si>
  <si>
    <t xml:space="preserve"> </t>
  </si>
  <si>
    <t>Under 18</t>
  </si>
  <si>
    <t>18-64</t>
  </si>
  <si>
    <t>65+</t>
  </si>
  <si>
    <t>Can't pay all bills this month</t>
  </si>
  <si>
    <t xml:space="preserve">Official Income Poverty </t>
  </si>
  <si>
    <t>2021-2020</t>
  </si>
  <si>
    <t>2022-2021</t>
  </si>
  <si>
    <t>Replace the expanded CTC w/ the original CTC</t>
  </si>
  <si>
    <t>Excluding all EIPs</t>
  </si>
  <si>
    <t>Extend expanded CTC to 2022</t>
  </si>
  <si>
    <t>Consumption Poverty</t>
  </si>
  <si>
    <t>Extend EIPs 2 and 3 to 2022</t>
  </si>
  <si>
    <t>Survey Fielded</t>
  </si>
  <si>
    <t>Not doing well financially these days</t>
  </si>
  <si>
    <t>November </t>
  </si>
  <si>
    <t>October </t>
  </si>
  <si>
    <t>October - November</t>
  </si>
  <si>
    <t>November and December</t>
  </si>
  <si>
    <t>No emergency fund to cover 3 months of expenses</t>
  </si>
  <si>
    <t>Obs</t>
  </si>
  <si>
    <t>No means (using savings, borrowing, selling assets) to cover 3 months of expenses in an emergency</t>
  </si>
  <si>
    <t>Low Food Security</t>
  </si>
  <si>
    <t xml:space="preserve">October </t>
  </si>
  <si>
    <t xml:space="preserve">October - November </t>
  </si>
  <si>
    <t>Income - Increased</t>
  </si>
  <si>
    <t>Spending - Increased</t>
  </si>
  <si>
    <t>Income - Decreased</t>
  </si>
  <si>
    <t>Income - About the same</t>
  </si>
  <si>
    <t>Spending - Decreased</t>
  </si>
  <si>
    <t>Spending - About the same</t>
  </si>
  <si>
    <t>year-month</t>
  </si>
  <si>
    <t>Jan</t>
  </si>
  <si>
    <t>Feb</t>
  </si>
  <si>
    <t>Mar</t>
  </si>
  <si>
    <t>Apr</t>
  </si>
  <si>
    <t>May</t>
  </si>
  <si>
    <t>June</t>
  </si>
  <si>
    <t>July</t>
  </si>
  <si>
    <t>Aug</t>
  </si>
  <si>
    <t>Sep</t>
  </si>
  <si>
    <t>Oct</t>
  </si>
  <si>
    <t>Nov</t>
  </si>
  <si>
    <t>Dec</t>
  </si>
  <si>
    <t>Jun</t>
  </si>
  <si>
    <t>Jul</t>
  </si>
  <si>
    <t>21 avg</t>
  </si>
  <si>
    <t>22 avg</t>
  </si>
  <si>
    <t>Policies</t>
  </si>
  <si>
    <t>EIP1 sent</t>
  </si>
  <si>
    <t>EIP2 sent</t>
  </si>
  <si>
    <t>EIP3 sent</t>
  </si>
  <si>
    <t>Event height</t>
  </si>
  <si>
    <t>SPM</t>
  </si>
  <si>
    <t>Supplemental Poverty Measure</t>
  </si>
  <si>
    <t xml:space="preserve">All Individauls </t>
  </si>
  <si>
    <t>Results from "C:\Users\worri\Dropbox\Poverty\Stata\price_indices22_JH.xlsx"</t>
  </si>
  <si>
    <t>Data from "https://fred.stlouisfed.org/series/SUUR0000SA0#0"</t>
  </si>
  <si>
    <t>Data from "https://www.census.gov/data/tables/time-series/demo/income-poverty/historical-poverty-thresholds.html"</t>
  </si>
  <si>
    <t>cpi-u-rs adj</t>
  </si>
  <si>
    <t>cpi-u-rs</t>
  </si>
  <si>
    <t>cpiu</t>
  </si>
  <si>
    <t>pce</t>
  </si>
  <si>
    <t>c-cpiu assuming c-cpiu=cpiu-rs-adj until 1999</t>
  </si>
  <si>
    <t>C-cpiu org. (The annal average of Historical Chained Consumer Price Index from https://www.bls.gov/cpi/data.htm)</t>
  </si>
  <si>
    <t>Actual Poverty Threshold</t>
  </si>
  <si>
    <t>Diifference</t>
  </si>
  <si>
    <t>Bias-corrected CPI-U-RS</t>
  </si>
  <si>
    <t>CPI-U-RS</t>
  </si>
  <si>
    <t>PCE</t>
  </si>
  <si>
    <t>Chained-CPI-U</t>
  </si>
  <si>
    <t>Advance CTC sent</t>
  </si>
  <si>
    <t>CE Income Poverty</t>
  </si>
  <si>
    <t>2019-2015</t>
  </si>
  <si>
    <t>2022-2020</t>
  </si>
  <si>
    <t>percentage change</t>
  </si>
  <si>
    <t>yr-to-yr  change</t>
  </si>
  <si>
    <t>percent</t>
  </si>
  <si>
    <t>at inc</t>
  </si>
  <si>
    <t>cons</t>
  </si>
  <si>
    <t>22-21</t>
  </si>
  <si>
    <t>level</t>
  </si>
  <si>
    <t>%</t>
  </si>
  <si>
    <t>Diff-in-diff: kids - no-kids</t>
  </si>
  <si>
    <t>% chg of %</t>
  </si>
  <si>
    <t>level chg of %</t>
  </si>
  <si>
    <t>diff</t>
  </si>
  <si>
    <t>%diff</t>
  </si>
  <si>
    <t>kids</t>
  </si>
  <si>
    <t>nokids</t>
  </si>
  <si>
    <t>Growth 2015-2022</t>
  </si>
  <si>
    <t>Consumption, 18-64</t>
  </si>
  <si>
    <t xml:space="preserve">Consumption, 0-17 </t>
  </si>
  <si>
    <t xml:space="preserve">Consumption, 65+ </t>
  </si>
  <si>
    <t>---</t>
  </si>
  <si>
    <t>-----------------</t>
  </si>
  <si>
    <t>----------</t>
  </si>
  <si>
    <t>Percentiles</t>
  </si>
  <si>
    <t>Smallest</t>
  </si>
  <si>
    <t>Sum of wgt.</t>
  </si>
  <si>
    <t>Mean</t>
  </si>
  <si>
    <t>Largest</t>
  </si>
  <si>
    <t>Std. dev.</t>
  </si>
  <si>
    <t>Variance</t>
  </si>
  <si>
    <t>Skewness</t>
  </si>
  <si>
    <t>Kurtosis</t>
  </si>
  <si>
    <t>----------------</t>
  </si>
  <si>
    <t>-------------------</t>
  </si>
  <si>
    <t>------------</t>
  </si>
  <si>
    <t>-----------</t>
  </si>
  <si>
    <t>--------------</t>
  </si>
  <si>
    <t xml:space="preserve">bottom 13.5% </t>
  </si>
  <si>
    <t>Income in 2015</t>
  </si>
  <si>
    <t>Consumption in 2015</t>
  </si>
  <si>
    <t>21-22</t>
  </si>
  <si>
    <t>20-19</t>
  </si>
  <si>
    <t>Growth 2020-2021</t>
  </si>
  <si>
    <t>Growth 2021-2022</t>
  </si>
  <si>
    <t>EIP1</t>
  </si>
  <si>
    <t>EIP2</t>
  </si>
  <si>
    <t>EIP3</t>
  </si>
  <si>
    <t>UI</t>
  </si>
  <si>
    <t>CTC*</t>
  </si>
  <si>
    <t>Increased</t>
  </si>
  <si>
    <t>Decreased</t>
  </si>
  <si>
    <t>Same</t>
  </si>
  <si>
    <t>Families w/ Children</t>
  </si>
  <si>
    <t>Full sample</t>
  </si>
  <si>
    <t>SNAP</t>
  </si>
  <si>
    <t>Housing Subsidy</t>
  </si>
  <si>
    <t>p50_assets</t>
  </si>
  <si>
    <t>p50_assets1</t>
  </si>
  <si>
    <t>HUD</t>
  </si>
  <si>
    <t>ERA2</t>
  </si>
  <si>
    <t>ERA1</t>
  </si>
  <si>
    <t>Total</t>
  </si>
  <si>
    <t>Housing Subsidy Breakdown</t>
  </si>
  <si>
    <t>UI CPS</t>
  </si>
  <si>
    <t>UI Admin</t>
  </si>
  <si>
    <t>pov_urs_adj_21</t>
  </si>
  <si>
    <t>pov_urs_adj_41</t>
  </si>
  <si>
    <t>pov_urs_adj_51</t>
  </si>
  <si>
    <t>pov_urs_adj_61</t>
  </si>
  <si>
    <t>pov_urs_adj_71</t>
  </si>
  <si>
    <t>Exclude all UI</t>
  </si>
  <si>
    <t>pov_urs_adj_21 (UI=0)</t>
  </si>
  <si>
    <t>2020-2019</t>
  </si>
  <si>
    <t>pov_urs_adj_20</t>
  </si>
  <si>
    <t>pov_urs_adj_20 (UI=0)</t>
  </si>
  <si>
    <t>pov_urs_adj_40</t>
  </si>
  <si>
    <t>pov_urs_adj_50</t>
  </si>
  <si>
    <t>pov_urs_adj_60</t>
  </si>
  <si>
    <t>pov_urs_adj_70</t>
  </si>
  <si>
    <t>Household food insecurity</t>
  </si>
  <si>
    <t>All Households</t>
  </si>
  <si>
    <t>Households without Children</t>
  </si>
  <si>
    <t>Households with Children</t>
  </si>
  <si>
    <t>Families with Children</t>
  </si>
  <si>
    <t>All Families</t>
  </si>
  <si>
    <t>All Adults</t>
  </si>
  <si>
    <t xml:space="preserve">Parents with Children </t>
  </si>
  <si>
    <t>All Adults, HS Degree or Less</t>
  </si>
  <si>
    <t>Parents</t>
  </si>
  <si>
    <t>Parents with HS Degree or Less</t>
  </si>
  <si>
    <t>Non-Parents</t>
  </si>
  <si>
    <t>Non-Parents with HS Degree or Less</t>
  </si>
  <si>
    <t>FPUC ($600)</t>
  </si>
  <si>
    <t>FPUC ($300)</t>
  </si>
  <si>
    <t>PUA/PEUC</t>
  </si>
  <si>
    <t>All</t>
  </si>
  <si>
    <t>Children</t>
  </si>
  <si>
    <t>Baseline</t>
  </si>
  <si>
    <t>Excluding EIP 1</t>
  </si>
  <si>
    <t>Excluding UI</t>
  </si>
  <si>
    <t>Difference</t>
  </si>
  <si>
    <t>2020-2021</t>
  </si>
  <si>
    <t>2021-2022</t>
  </si>
  <si>
    <t>2019-2020</t>
  </si>
  <si>
    <t>Diff-in-diff</t>
  </si>
  <si>
    <t>Pct. Diff</t>
  </si>
  <si>
    <t>Consumption, All individuals</t>
  </si>
  <si>
    <t>Disposable Income, All individuals</t>
  </si>
  <si>
    <t>Disposable Income, 0-17</t>
  </si>
  <si>
    <t xml:space="preserve">Disposable Income, 18-64 </t>
  </si>
  <si>
    <t xml:space="preserve">Disposable Income,  65+ </t>
  </si>
  <si>
    <t>Disposable Income</t>
  </si>
  <si>
    <t>Appendix Table 3. Disposable Income Poverty Rates with and without UI, EIPs, or CTC</t>
  </si>
  <si>
    <t>Disposable Income Poverty</t>
  </si>
  <si>
    <t>Disposable Income Poverty (when EIPs and CTC received)</t>
  </si>
  <si>
    <t xml:space="preserve">Notes: The changes in the first two groups of bars represent increases in poverty, while the third set represents reductions in poverty, but they are all shown as negative to make their relative magnitudes easier to see. The changes reported on the left show the effect on Disposable Income poverty of either excluding the first EIP or UI. The changes reported on the middle show the effect on Disposable Income poverty of either replacing the expanded CTC with the original CTC, excluding the second and third round of EIPs, or excluding UI. The changes reported on the right show the effect on Disposable Income poverty of extending into 2022 either the expanded CTC or the second and third round of EIPs. For these simulations we use as our baseline poverty measure Disposable Income reallocating EIPs and the CTC to when they were received (row 2 of Appendix Table 3). </t>
  </si>
  <si>
    <t>Appendix Table 4. Disposable Income Child Poverty Rates with and without UI, EIPs, or CTC</t>
  </si>
  <si>
    <t xml:space="preserve">Notes: The changes in the first two groups of bars represent increases in poverty, while the third set represents reductions in poverty, but they are all shown as negative to make their relative magnitudes easier to see. The changes reported on the left show the effect on Disposable Income poverty of either excluding the first EIP or UI. The changes reported on the middle show the effect on Disposable Income poverty of either replacing the expanded CTC with the original CTC, excluding the second and third round of EIPs, or excluding UI. The changes reported on the right show the effect on Disposable Income poverty of extending into 2022 either the expanded CTC or the second and third round of EIPs. For these simulations we use as our baseline poverty measure Disposable Income reallocating EIPs and the CTC to when they were received (row 2 of Appendix Table 4). </t>
  </si>
  <si>
    <t xml:space="preserve">Disposable Income Poverty </t>
  </si>
  <si>
    <t>No means to cover 3 months of expenses in an emergency</t>
  </si>
  <si>
    <t>Low-educated Adults</t>
  </si>
  <si>
    <t>Replacing Expanded CTC w/ Original CTC</t>
  </si>
  <si>
    <t>Excluding EIPs 2 and 3</t>
  </si>
  <si>
    <t>Extending Expanded CTC into 2022</t>
  </si>
  <si>
    <t>Extending EIPs 2 and 3 into 2022</t>
  </si>
  <si>
    <t>Program</t>
  </si>
  <si>
    <t>Payments from Administrative Data</t>
  </si>
  <si>
    <t>CTC</t>
  </si>
  <si>
    <t>CPS Reported Amount</t>
  </si>
  <si>
    <t>EIPs 2&amp;3</t>
  </si>
  <si>
    <t>Reported SNAP</t>
  </si>
  <si>
    <t>Reported UI</t>
  </si>
  <si>
    <t>Imputed payments</t>
  </si>
  <si>
    <t>UI payments from CPS and Admin. 2015-2019</t>
  </si>
  <si>
    <t>Notes: See notes to Figure 2a for details of how poverty measures are defined. The Disposable Income poverty in row 2 is used as the baseline poverty rate for simulations in rows 2-6.</t>
  </si>
  <si>
    <t>Imputed Amount if Imputed</t>
  </si>
  <si>
    <t>Imputed as % of Administrative Total</t>
  </si>
  <si>
    <t>WIC</t>
  </si>
  <si>
    <t>LIHEAP</t>
  </si>
  <si>
    <t>Reported LIHEAP</t>
  </si>
  <si>
    <t xml:space="preserve">School Meal </t>
  </si>
  <si>
    <t>Reported School Meals</t>
  </si>
  <si>
    <t>pov_urs_adj_22</t>
  </si>
  <si>
    <t>pov_urs_adj_23</t>
  </si>
  <si>
    <t>SPM WIC</t>
  </si>
  <si>
    <t>EIP 1</t>
  </si>
  <si>
    <t>Expenditure Poverty</t>
  </si>
  <si>
    <t>Notes: This figure shows the 2015 official poverty threshold for a family of two adults and two children, which is then adjusted over time using various price indices. Historical official poverty thresholds by family size and number of children are available at https://www.census.gov/data/tables/time-series/demo/income-poverty/historical-poverty-thresholds.html.</t>
  </si>
  <si>
    <t>CTC in 2021 includes the advance CTC payment. Sources of Administrative Data: EIP: https://www.irs.gov/statistics/soi-tax-stats-coronavirus-aid-relief-and-economic-security-act-cares-act-statistics#EIP3. CTC: 1) 2020-2021 data: https://www.irs.gov/statistics/soi-tax-stats-historic-table-2, 2) Advance CTC payments in 2021: https://www.irs.gov/statistics/soi-tax-stats-advance-child-tax-credit-payments-in-2021, 3) 2022 data:  https://www.irs.gov/statistics/filing-season-statistics (Mid-November Filing Season Statistics by AGI). UI: Daily Treasury Statement, https://www.pandemicoversight.gov/news/articles/how-much-money-did-pandemic-unemployment-programs-pay-out. SNAP: https://www.fns.usda.gov/pd/supplemental-nutrition-assistance-program-snap. Housing Subsidy: HUD programs: https://www.huduser.gov/portal/datasets/assthsg.html (#units*Average HUD Expenditure per month*12). ERA programs: https://home.treasury.gov/policy-issues/coronavirus/assistance-for-state-local-and-tribal-governments/emergency-rental-assistance-program, ERA1 &amp; ERA2 Quarterly Demographic Data for Q1 2021 through Q4 2022. School Meal: https://www.fns.usda.gov/pd/child-nutrition-tables. WIC: https://www.fns.usda.gov/pd/wic-program. LIHEAP: https://www.acf.hhs.gov/ocs/fact-sheet/liheap-fact-sheet</t>
  </si>
  <si>
    <t>Notes: Panel A shows the actual change in income poverty (1st and 2nd bars) and the counterfactual change in income poverty if the expanded CTC were replaced with the original CTC (3rd and 4th bars), if EIPs 2 and 3 were excluded (5th and 6th bars), or if UI were excluded (7th and 8th bars). Panel B shows the relative changes in income poverty under these counterfactual policies compared to the actual policies.</t>
  </si>
  <si>
    <t>Notes: Panel A shows the actual change in income poverty (left bars) and the counterfactual change in income poverty if the expanded CTC (middle bars) or EIPs 2 and 3 (right bars) had been extended into 2022. Panel B shows the relative changes in income poverty under these counterfactual policies compared to the actual policies.</t>
  </si>
  <si>
    <t>Notes: Deep poverty is defined as having resources below 50 percent of the poverty threshold. The 2015 poverty threshold is set to the value that produces a poverty rate equal to the official poverty rate of 13.5 percent for the full sample. These thresholds are then adjusted over time using the Bias-Corrected CPI-U-RS. See notes to Figure 2 for additional details.</t>
  </si>
  <si>
    <t>Notes: Near poverty is defined as having resources below 150 percent of the poverty threshold. The 2015 poverty threshold is set to the value that produces a poverty rate equal to the official poverty rate of 13.5 percent for the full sample. These thresholds are then adjusted over time using the Bias-Corrected CPI-U-RS. See notes to Figure 2 for additional details.</t>
  </si>
  <si>
    <t>Notes: Panel A shows the actual change in income poverty (left bars) and the counterfactual change in income poverty if the first EIP (middle bars) were excluded, or if UI (right bars) were excluded. Panel B shows the relative changes in income poverty under these counterfactual policies compared to the actual policies.</t>
  </si>
  <si>
    <t>Notes: This figure shows the fraction of adults with a high school degree or less (Panel A) and parents with children who have a high school degree or less (Panel B) who experienced financial hardships. Individuals are classified as "not doing well financially" if they responded with 1) "Finding it difficult to get by" or 2) "Just getting by" to the question, "Overall, which one of the following best describes how well you are managing financially these days?" Individuals are classified as "No emergency fund to cover 3 months of expenses" if they answered "No" to the question, "Have you set aside emergency or rainy day funds that would cover your expenses for 3 months in case of sickness, job loss, economic downturn, or other emergencies?" Individuals are classified as "No means to cover 3 months of expenses in an emergency" if they answered "No" to the question, "If you were to lose your main source of income (e.g., job, government benefits), could you cover your expenses for 3 months by borrowing money, using savings, selling assets, or borrowing from friends/family?" Individuals are classified as "Can't pay all bills this month" if they answered "Can’t pay some bills" to the question, "Which best describes your ability to pay all of your bills in full this month?"</t>
  </si>
  <si>
    <t>Notes: This figure shows the fraction of adults with a high school diploma or less who reported that their monthly income or spending had decreased, increased, or stayed about the same compared to the previous year. The data are from the SHED.</t>
  </si>
  <si>
    <t>Notes: This figure shows the fraction of households that are food insecure. Households with children are classified as food insecure if they respond affirmatively to 3 or more of 18 food insecurity questions, while households without children are classified as food insecure if they respond affirmatively to 3 or more of 10 food questions. The data are from the CPS Food Security Supplement.</t>
  </si>
  <si>
    <t>Notes: This figure shows disposable income poverty rates and the SPM rates for all individuals (Panel A) and for children (Panel B). For the disposable income poverty measure, the 2015 poverty threshold is set to the value that produces a poverty rate equal to the official poverty rate of 13.5 percent for the full sample. These thresholds are then adjusted over time using the Bias-Corrected CPI-U-RS. See notes to Figure 2 for additional details. SPM rates can be found in Table B-2 of https://www.census.gov/library/publications/2023/demo/p60-280.html.</t>
  </si>
  <si>
    <t>Notes: This figure shows expenditure and consumption poverty rates for all individuals (Panel A) and for children (Panel B). The 2015 poverty threshold is set to the value that produces a poverty rate equal to the official poverty rate of 13.5 percent for the full sample. These thresholds are then adjusted over time using the Bias-Corrected CPI-U-RS. See notes to Figure 2 for additional details.</t>
  </si>
  <si>
    <t>Notes: This table reports consumption and disposable income poverty rates for the full sample and by age group between 2015 and 2022. The poverty thresholds are anchored in 2015 for the full sample. See notes to Figure 2 for additional details.</t>
  </si>
  <si>
    <t>Appendix Table 3a. Income Poverty Rates Under Different Policy Scenarios</t>
  </si>
  <si>
    <t>Appendix Table 3b. Income Child Poverty Rates Under Different Policy Scenarios</t>
  </si>
  <si>
    <t>Notes: Official Income Poverty follows the U.S. Census definition of income poverty using official thresholds. For measures other than the official one, the 2015 threshold is set to the value that produces a poverty rate equal to the official 2015 poverty rate of 13.5 percent for the full sample. These thresholds are then adjusted over time using the Bias-Corrected CPI-U-RS, which subtracts 0.8 percentage points from the growth in the CPI-U-RS each year from 2015 to 2022. Poverty status is determined at the family level and then person-weighted. Disposable income includes taxes and credits (calculated using TAXSIM) as well as the value of noncash benefits such as SNAP, WIC, school lunch, energy assistance, and housing subsidies. Consumption data are from the CE, and income data are from the CPS-ASEC.</t>
  </si>
  <si>
    <t>Appendix Table 1. Reported, Administrative and Imputed Transfer Amounts</t>
  </si>
  <si>
    <t>Appendix Table 2: Consumption and Income Poverty Rates, 2015-2022, Thresholds Anchored in 2015</t>
  </si>
  <si>
    <t>ppts</t>
  </si>
  <si>
    <t>% chg</t>
  </si>
  <si>
    <t xml:space="preserve">Appendix Table 4a. Income Poverty Rates Under Different Policy Scenarios, Using Year Accrued </t>
  </si>
  <si>
    <t>Appendix Table 4b. Income Child Poverty Rates Under Different Policy Scenarios, Using Year Accrued</t>
  </si>
  <si>
    <t>Notes: This table replicates Appendix Table 3a but using year accrued for CTC and EIP2, instead year received.</t>
  </si>
  <si>
    <t>Notes: This table replicates Appendix Table 3b but using year accrued for CTC and EIP2, instead year received.</t>
  </si>
  <si>
    <t>Notes: This table reports the total nominal value of major cash and non-cash transfer benefits for 2020–2022, including those reported in the CPS, those from administrative data, and those we impute in our measure of disposable income. See Method Appendix for details on how we impute benefits. CTC in 2021 includes the advance CTC payment. Sources of Administrative Data: EIP: https://www.irs.gov/statistics/soi-tax-stats-coronavirus-aid-relief-and-economic-security-act-cares-act-statistics#EIP3. CTC: 1) 2020-2021 data: https://www.irs.gov/statistics/soi-tax-stats-historic-table-2, 2) Advance CTC payments in 2021: https://www.irs.gov/statistics/soi-tax-stats-advance-child-tax-credit-payments-in-2021, 3) 2022 data:  https://www.irs.gov/statistics/filing-season-statistics (Mid-November Filing Season Statistics by AGI). UI: Daily Treasury Statement, https://www.pandemicoversight.gov/news/articles/how-much-money-did-pandemic-unemployment-programs-pay-out. SNAP: https://www.fns.usda.gov/pd/supplemental-nutrition-assistance-program-snap. Housing Subsidy: https://www.huduser.gov/portal/datasets/assthsg.html (#units*Average HUD Expenditure per month*12). School Meal: https://www.fns.usda.gov/pd/child-nutrition-tables. WIC: https://www.fns.usda.gov/pd/wic-program. LIHEAP: https://www.acf.hhs.gov/ocs/fact-sheet/liheap-fact-sheet</t>
  </si>
  <si>
    <t>2nd Half of Expanded CTC Sent</t>
  </si>
  <si>
    <t>Notes: This figure shows key dates for the COVID-19 pandemic-related transfer policies, including stimulus payments (EIPs), tax credits (Advance CTC), and unemployment programs (FPUC/PUA/PEUC). Although some EIP1s were paid out after May 2020, the vast majority were distributed in April and May 2020. Similarly, the majority of EIP3s were paid out in March and April 2021 (Parker et al., 2022). In 2022, tax filers could receive the expanded CTC no earlier than February 15, and the deadline for filing tax returns was April 18.</t>
  </si>
  <si>
    <t>75th</t>
  </si>
  <si>
    <t>90th</t>
  </si>
  <si>
    <t>Notes: This figure shows the fraction of all adults (Panel A) and parents living with their own children (Panel B) who reported that their monthly income or spending had decreased, increased, or stayed about the same compared to the previous year. The data are from the SHED.</t>
  </si>
  <si>
    <t>Notes: This figure shows the fraction of all adults (Panel A) and parents living with their own children (Panel B) who experienced financial hardships. See notes to Figure 9 for additional details.</t>
  </si>
  <si>
    <t>pov_near_20</t>
  </si>
  <si>
    <t>pov_near_21</t>
  </si>
  <si>
    <t>pov_urs_adj_30</t>
  </si>
  <si>
    <t>pov_urs_adj_31</t>
  </si>
  <si>
    <t>pov_urs_adj_20 (replace UI=0)</t>
  </si>
  <si>
    <t>pov_urs_adj_21 (replace UI=0)</t>
  </si>
  <si>
    <t xml:space="preserve">Notes: This figure shows the fraction of families with consumption between 50 and 150 percent of the poverty threshold who reported that their current liquid assets increased, stayed the same, or decreased relative to the previous year. The poverty thresholds are set to the value used in Figure 6. The data are from the CE. </t>
  </si>
  <si>
    <t>VOX Figure 3</t>
  </si>
  <si>
    <t>Imputed SNAP</t>
  </si>
  <si>
    <t>Fiscal Year</t>
  </si>
  <si>
    <t>2015</t>
  </si>
  <si>
    <t>2016</t>
  </si>
  <si>
    <t>2017</t>
  </si>
  <si>
    <t>2018</t>
  </si>
  <si>
    <t>2019</t>
  </si>
  <si>
    <t>2020</t>
  </si>
  <si>
    <t>2021</t>
  </si>
  <si>
    <t>2022</t>
  </si>
  <si>
    <t>SNAP benefits</t>
  </si>
  <si>
    <t>Imputed</t>
  </si>
  <si>
    <t>Admin</t>
  </si>
  <si>
    <t>Notes: This figure replicates Figure 11 but counts the CTC and EIPs as income in the year they are accrued, rather than in the year they are received.</t>
  </si>
  <si>
    <t>Notes: This figure replicates Figure 12 but counts the CTC and EIPs as income in the year they are accrued, rather than in the year they are received.</t>
  </si>
  <si>
    <t>Notes: This figure replicates Figure 13 but counts the CTC and EIPs as income in the year they are accrued, rather than in the year they are received.</t>
  </si>
  <si>
    <t>Notes: This table reports the underlying numbers behind Figures 11a-13a. The disposable income poverty rate (row 1) is used as the baseline for policy simulations in rows 2-6.</t>
  </si>
  <si>
    <t>Notes: This table reports the underlying numbers behind Figures 11b-13b. The disposable income poverty rate (row 1) is used as the baseline for policy simulations in rows 2-6.</t>
  </si>
  <si>
    <t>pov_ccpi_6</t>
  </si>
  <si>
    <t>Consumption Poverty (Bias-Corrected CPI-U-RS)</t>
  </si>
  <si>
    <t>Consumption Poverty (Chained CPI)</t>
  </si>
  <si>
    <t>Q1</t>
  </si>
  <si>
    <t>Q2</t>
  </si>
  <si>
    <t>Q3</t>
  </si>
  <si>
    <t>Q4</t>
  </si>
  <si>
    <t>Appendix Table 1. Imputed UI Amounts by Income Quartile</t>
  </si>
  <si>
    <t>Income quartile based on pre-tax income</t>
  </si>
  <si>
    <t>ref_year</t>
  </si>
  <si>
    <t>agg_UI_byq</t>
  </si>
  <si>
    <t>agg_ui_byq</t>
  </si>
  <si>
    <t>Imputed UI</t>
  </si>
  <si>
    <t>Total payments</t>
  </si>
  <si>
    <t>% Total</t>
  </si>
  <si>
    <t>reported</t>
  </si>
  <si>
    <t>Imputed - Reported</t>
  </si>
  <si>
    <t>C+S</t>
  </si>
  <si>
    <t>C+S-D</t>
  </si>
  <si>
    <t>Median</t>
  </si>
  <si>
    <t>Number of observations</t>
  </si>
  <si>
    <t>C</t>
  </si>
  <si>
    <t>has_debt</t>
  </si>
  <si>
    <t>has_debt1</t>
  </si>
  <si>
    <t>tot_debt</t>
  </si>
  <si>
    <t>tot_debt1</t>
  </si>
  <si>
    <t>p90_tot_debt</t>
  </si>
  <si>
    <t>p90_tot_debt1</t>
  </si>
  <si>
    <t>quint_inc</t>
  </si>
  <si>
    <t>Q5</t>
  </si>
  <si>
    <t>Disposable Income Poverty with Reported UI</t>
  </si>
  <si>
    <t>final interview samsple</t>
  </si>
  <si>
    <t xml:space="preserve">Annual Consumption + Net Saving </t>
  </si>
  <si>
    <t>Annual Consumption (sample for "Annual Consumption + Net Saving")</t>
  </si>
  <si>
    <t xml:space="preserve">Notes: Panels A–C show the median, 75th, and 90th percentiles of total assets for families with consumption between 50 and 150 percent of the poverty threshold. The 2015Q1 threshold is set to match the official 2015 poverty rate (13.5%) for the full sample, and is adjusted over time using the Bias-Corrected CPI-U-RS.. Total assets are calculated as the sum of the values of all checking, savings, and money market accounts, certificates of deposit (CDs), directly-held stocks, bonds, and mutual funds. The data are from the CE. Asset information is collected only in the fifth interview of the CE. The quarter reflects the survey month for the data.
</t>
  </si>
  <si>
    <t xml:space="preserve">Appendix Table 4. Imputed vs. Reported UI Amounts by Income Quintile </t>
  </si>
  <si>
    <t>Consumption Poverty (full sample)</t>
  </si>
  <si>
    <t>Consumption + Net Saving Poverty (restricted sample)</t>
  </si>
  <si>
    <t>Consumption Poverty (restricted sample)</t>
  </si>
  <si>
    <t xml:space="preserve">Notes: Panels A and B show the 75th and 90th percentiles of non-mortgage debt, respectively. Panel C shows the share of families with any non-mortgage debt, and Panel D shows the median non-mortgage debt among indebted families. All samples include families with consumption between 50 and 150 percent of the poverty threshold. The poverty thresholds are set to the value used in Figure 6. The debt includes the total amount owed on all credit cards as well as other non-mortgage debt such as medical loans or personal loan, but does not include student loans. The data are from the CE. 
</t>
  </si>
  <si>
    <t>Notes: This figure shows consumption poverty rates for all individuals (Panel A) and for children (Panel B) using two different price indices. The blue series uses the Chained CPI to adjust the poverty threshold over time, while the red series uses the bias-corrected CPI-U-RS to adjust the poverty threshold over time. See notes to Figure 2 for additional details.</t>
  </si>
  <si>
    <t>Notes: This figure shows consumption poverty rates for all individuals (Panel A) and children (Panel B), for the full sample (green series) and the restricted sample with observed assets and debts (yellow series). It also shows consumption + net saving poverty for the restricted sample (blue series).</t>
  </si>
  <si>
    <t>Note: This table compares total UI amounts (in billions of dollars) imputed in our measure of disposable income with those reported in the CPS ASEC for 2020–2022, by income quintile. Quintiles are defined based on pre-tax income excluding UI.</t>
  </si>
  <si>
    <t>Year 2020</t>
  </si>
  <si>
    <t>Year 2021</t>
  </si>
  <si>
    <t>Year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</si>
</sst>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00"/>
    <numFmt numFmtId="165" formatCode="\(#\)"/>
    <numFmt numFmtId="166" formatCode="_(?0.0_);\(?0.0\);_(?0.0_)"/>
    <numFmt numFmtId="167" formatCode="0.0"/>
    <numFmt numFmtId="168" formatCode="_-0.000;\-0.000"/>
    <numFmt numFmtId="169" formatCode="0.0%"/>
    <numFmt numFmtId="170" formatCode="\(0.0\)"/>
    <numFmt numFmtId="171" formatCode="[$-409]mmm\-yy;@"/>
    <numFmt numFmtId="172" formatCode="##0.0"/>
    <numFmt numFmtId="173" formatCode="#,##0.0"/>
    <numFmt numFmtId="174" formatCode="0.000%"/>
    <numFmt numFmtId="175" formatCode="0.000000000000000%"/>
  </numFmts>
  <fonts count="5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Calibri"/>
      <family val="2"/>
      <scheme val="minor"/>
    </font>
    <font>
      <sz val="10"/>
      <color theme="3" tint="0.59999389629810485"/>
      <name val="Arial"/>
      <family val="2"/>
    </font>
    <font>
      <sz val="12"/>
      <color theme="1"/>
      <name val="Calibri"/>
      <family val="2"/>
      <scheme val="minor"/>
    </font>
    <font>
      <sz val="10"/>
      <color theme="1"/>
      <name val="Arial"/>
      <family val="2"/>
    </font>
    <font>
      <sz val="10"/>
      <color rgb="FFFF0000"/>
      <name val="Arial"/>
      <family val="2"/>
    </font>
    <font>
      <sz val="8"/>
      <name val="Arial"/>
      <family val="2"/>
    </font>
    <font>
      <sz val="11"/>
      <name val="Calibri"/>
      <family val="2"/>
      <scheme val="minor"/>
    </font>
    <font>
      <u/>
      <sz val="11"/>
      <color theme="10"/>
      <name val="Calibri"/>
      <family val="2"/>
      <scheme val="minor"/>
    </font>
    <font>
      <sz val="11"/>
      <color theme="1"/>
      <name val="Calibri"/>
      <family val="2"/>
    </font>
    <font>
      <sz val="8"/>
      <color theme="1"/>
      <name val="Arial"/>
      <family val="2"/>
    </font>
    <font>
      <b/>
      <sz val="11"/>
      <color theme="1"/>
      <name val="Calibri"/>
      <family val="2"/>
      <scheme val="minor"/>
    </font>
    <font>
      <b/>
      <sz val="10"/>
      <color indexed="8"/>
      <name val="Arial"/>
      <family val="2"/>
    </font>
    <font>
      <sz val="10"/>
      <color indexed="8"/>
      <name val="Arial"/>
      <family val="2"/>
    </font>
    <font>
      <sz val="8"/>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rgb="FFFFFF00"/>
        <bgColor indexed="64"/>
      </patternFill>
    </fill>
    <fill>
      <patternFill patternType="solid">
        <fgColor indexed="9"/>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double">
        <color auto="1"/>
      </top>
      <bottom style="thin">
        <color auto="1"/>
      </bottom>
      <diagonal/>
    </border>
    <border>
      <left style="thin">
        <color rgb="FFAAC1D9"/>
      </left>
      <right style="thin">
        <color rgb="FFAAC1D9"/>
      </right>
      <top style="thin">
        <color rgb="FFAAC1D9"/>
      </top>
      <bottom style="thin">
        <color rgb="FFAAC1D9"/>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auto="1"/>
      </top>
      <bottom/>
      <diagonal/>
    </border>
    <border>
      <left/>
      <right/>
      <top style="double">
        <color auto="1"/>
      </top>
      <bottom/>
      <diagonal/>
    </border>
    <border>
      <left/>
      <right/>
      <top/>
      <bottom style="thin">
        <color auto="1"/>
      </bottom>
      <diagonal/>
    </border>
  </borders>
  <cellStyleXfs count="58">
    <xf numFmtId="0" fontId="0" fillId="0" borderId="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8" fillId="12"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29" fillId="3" borderId="0" applyNumberFormat="0" applyBorder="0" applyAlignment="0" applyProtection="0"/>
    <xf numFmtId="0" fontId="30" fillId="20" borderId="1" applyNumberFormat="0" applyAlignment="0" applyProtection="0"/>
    <xf numFmtId="0" fontId="31" fillId="21" borderId="2" applyNumberFormat="0" applyAlignment="0" applyProtection="0"/>
    <xf numFmtId="43" fontId="44" fillId="0" borderId="0" applyFont="0" applyFill="0" applyBorder="0" applyAlignment="0" applyProtection="0"/>
    <xf numFmtId="0" fontId="32" fillId="0" borderId="0" applyNumberFormat="0" applyFill="0" applyBorder="0" applyAlignment="0" applyProtection="0"/>
    <xf numFmtId="0" fontId="33" fillId="4" borderId="0" applyNumberFormat="0" applyBorder="0" applyAlignment="0" applyProtection="0"/>
    <xf numFmtId="0" fontId="34" fillId="0" borderId="3" applyNumberFormat="0" applyFill="0" applyAlignment="0" applyProtection="0"/>
    <xf numFmtId="0" fontId="35" fillId="0" borderId="4" applyNumberFormat="0" applyFill="0" applyAlignment="0" applyProtection="0"/>
    <xf numFmtId="0" fontId="36" fillId="0" borderId="5" applyNumberFormat="0" applyFill="0" applyAlignment="0" applyProtection="0"/>
    <xf numFmtId="0" fontId="36" fillId="0" borderId="0" applyNumberFormat="0" applyFill="0" applyBorder="0" applyAlignment="0" applyProtection="0"/>
    <xf numFmtId="0" fontId="37" fillId="7" borderId="1" applyNumberFormat="0" applyAlignment="0" applyProtection="0"/>
    <xf numFmtId="0" fontId="38" fillId="0" borderId="6" applyNumberFormat="0" applyFill="0" applyAlignment="0" applyProtection="0"/>
    <xf numFmtId="0" fontId="39" fillId="22" borderId="0" applyNumberFormat="0" applyBorder="0" applyAlignment="0" applyProtection="0"/>
    <xf numFmtId="0" fontId="44" fillId="0" borderId="0"/>
    <xf numFmtId="0" fontId="24" fillId="0" borderId="0"/>
    <xf numFmtId="0" fontId="23" fillId="23" borderId="7" applyNumberFormat="0" applyFont="0" applyAlignment="0" applyProtection="0"/>
    <xf numFmtId="0" fontId="40" fillId="20" borderId="8" applyNumberFormat="0" applyAlignment="0" applyProtection="0"/>
    <xf numFmtId="9" fontId="24" fillId="0" borderId="0" applyFont="0" applyFill="0" applyBorder="0" applyAlignment="0" applyProtection="0"/>
    <xf numFmtId="0" fontId="41" fillId="0" borderId="0" applyNumberFormat="0" applyFill="0" applyBorder="0" applyAlignment="0" applyProtection="0"/>
    <xf numFmtId="0" fontId="42" fillId="0" borderId="9" applyNumberFormat="0" applyFill="0" applyAlignment="0" applyProtection="0"/>
    <xf numFmtId="0" fontId="43" fillId="0" borderId="0" applyNumberFormat="0" applyFill="0" applyBorder="0" applyAlignment="0" applyProtection="0"/>
    <xf numFmtId="43" fontId="23" fillId="0" borderId="0" applyFont="0" applyFill="0" applyBorder="0" applyAlignment="0" applyProtection="0"/>
    <xf numFmtId="9" fontId="23" fillId="0" borderId="0" applyFont="0" applyFill="0" applyBorder="0" applyAlignment="0" applyProtection="0"/>
    <xf numFmtId="0" fontId="22" fillId="0" borderId="0"/>
    <xf numFmtId="9" fontId="22" fillId="0" borderId="0" applyFont="0" applyFill="0" applyBorder="0" applyAlignment="0" applyProtection="0"/>
    <xf numFmtId="0" fontId="24" fillId="0" borderId="0"/>
    <xf numFmtId="0" fontId="24" fillId="0" borderId="0"/>
    <xf numFmtId="0" fontId="18" fillId="0" borderId="0"/>
    <xf numFmtId="9" fontId="18" fillId="0" borderId="0" applyFont="0" applyFill="0" applyBorder="0" applyAlignment="0" applyProtection="0"/>
    <xf numFmtId="43" fontId="18" fillId="0" borderId="0" applyFont="0" applyFill="0" applyBorder="0" applyAlignment="0" applyProtection="0"/>
    <xf numFmtId="0" fontId="51" fillId="0" borderId="0" applyNumberFormat="0" applyFill="0" applyBorder="0" applyAlignment="0" applyProtection="0"/>
    <xf numFmtId="43" fontId="23" fillId="0" borderId="0" applyFont="0" applyFill="0" applyBorder="0" applyAlignment="0" applyProtection="0"/>
    <xf numFmtId="0" fontId="1" fillId="0" borderId="0"/>
  </cellStyleXfs>
  <cellXfs count="176">
    <xf numFmtId="0" fontId="0" fillId="0" borderId="0" xfId="0"/>
    <xf numFmtId="0" fontId="0" fillId="0" borderId="0" xfId="0" applyAlignment="1">
      <alignment horizontal="left"/>
    </xf>
    <xf numFmtId="0" fontId="45" fillId="0" borderId="0" xfId="0" applyFont="1"/>
    <xf numFmtId="0" fontId="26" fillId="0" borderId="0" xfId="0" applyFont="1"/>
    <xf numFmtId="0" fontId="0" fillId="0" borderId="0" xfId="0" applyAlignment="1">
      <alignment horizontal="center"/>
    </xf>
    <xf numFmtId="0" fontId="0" fillId="0" borderId="0" xfId="0" applyAlignment="1">
      <alignment wrapText="1"/>
    </xf>
    <xf numFmtId="0" fontId="0" fillId="0" borderId="0" xfId="0" applyAlignment="1">
      <alignment vertical="top" wrapText="1"/>
    </xf>
    <xf numFmtId="0" fontId="46" fillId="0" borderId="0" xfId="0" applyFont="1" applyAlignment="1">
      <alignment horizontal="center" vertical="center"/>
    </xf>
    <xf numFmtId="0" fontId="46" fillId="0" borderId="0" xfId="0" applyFont="1" applyAlignment="1">
      <alignment horizontal="center"/>
    </xf>
    <xf numFmtId="0" fontId="24" fillId="0" borderId="0" xfId="0" applyFont="1"/>
    <xf numFmtId="165" fontId="0" fillId="0" borderId="11" xfId="0" applyNumberFormat="1" applyBorder="1" applyAlignment="1">
      <alignment horizontal="center" wrapText="1"/>
    </xf>
    <xf numFmtId="0" fontId="0" fillId="0" borderId="11" xfId="0" applyBorder="1"/>
    <xf numFmtId="3" fontId="0" fillId="0" borderId="0" xfId="0" applyNumberFormat="1" applyAlignment="1">
      <alignment horizontal="center" vertical="center"/>
    </xf>
    <xf numFmtId="164" fontId="0" fillId="0" borderId="0" xfId="0" applyNumberFormat="1"/>
    <xf numFmtId="0" fontId="24" fillId="0" borderId="10" xfId="0" applyFont="1" applyBorder="1" applyAlignment="1">
      <alignment horizontal="centerContinuous"/>
    </xf>
    <xf numFmtId="0" fontId="0" fillId="0" borderId="10" xfId="0" applyBorder="1" applyAlignment="1">
      <alignment horizontal="centerContinuous"/>
    </xf>
    <xf numFmtId="0" fontId="0" fillId="0" borderId="0" xfId="0" applyAlignment="1">
      <alignment horizontal="centerContinuous"/>
    </xf>
    <xf numFmtId="0" fontId="0" fillId="0" borderId="10" xfId="0" applyBorder="1" applyAlignment="1">
      <alignment horizontal="center" wrapText="1"/>
    </xf>
    <xf numFmtId="0" fontId="0" fillId="0" borderId="0" xfId="0" applyAlignment="1">
      <alignment horizontal="center" wrapText="1"/>
    </xf>
    <xf numFmtId="0" fontId="0" fillId="0" borderId="10" xfId="0" applyBorder="1"/>
    <xf numFmtId="0" fontId="0" fillId="0" borderId="0" xfId="0" applyAlignment="1">
      <alignment horizontal="center" vertical="center"/>
    </xf>
    <xf numFmtId="166" fontId="23" fillId="0" borderId="0" xfId="0" applyNumberFormat="1" applyFont="1" applyAlignment="1">
      <alignment horizontal="center"/>
    </xf>
    <xf numFmtId="167" fontId="0" fillId="0" borderId="0" xfId="0" applyNumberFormat="1"/>
    <xf numFmtId="0" fontId="0" fillId="0" borderId="10" xfId="0" applyBorder="1" applyAlignment="1">
      <alignment horizontal="left"/>
    </xf>
    <xf numFmtId="166" fontId="23" fillId="0" borderId="10" xfId="0" applyNumberFormat="1" applyFont="1" applyBorder="1" applyAlignment="1">
      <alignment horizontal="center"/>
    </xf>
    <xf numFmtId="167" fontId="0" fillId="0" borderId="10" xfId="0" applyNumberFormat="1" applyBorder="1"/>
    <xf numFmtId="168" fontId="0" fillId="0" borderId="0" xfId="0" applyNumberFormat="1" applyAlignment="1">
      <alignment horizontal="center"/>
    </xf>
    <xf numFmtId="168" fontId="0" fillId="0" borderId="0" xfId="0" applyNumberFormat="1"/>
    <xf numFmtId="0" fontId="22" fillId="0" borderId="0" xfId="48"/>
    <xf numFmtId="169" fontId="0" fillId="0" borderId="0" xfId="49" applyNumberFormat="1" applyFont="1" applyBorder="1" applyAlignment="1">
      <alignment horizontal="center"/>
    </xf>
    <xf numFmtId="170" fontId="22" fillId="0" borderId="0" xfId="48" applyNumberFormat="1" applyAlignment="1">
      <alignment horizontal="center"/>
    </xf>
    <xf numFmtId="169" fontId="50" fillId="0" borderId="0" xfId="49" applyNumberFormat="1" applyFont="1" applyAlignment="1">
      <alignment horizontal="center"/>
    </xf>
    <xf numFmtId="169" fontId="0" fillId="0" borderId="0" xfId="49" applyNumberFormat="1" applyFont="1" applyBorder="1" applyAlignment="1">
      <alignment horizontal="right"/>
    </xf>
    <xf numFmtId="169" fontId="22" fillId="0" borderId="0" xfId="48" applyNumberFormat="1"/>
    <xf numFmtId="0" fontId="19" fillId="0" borderId="0" xfId="48" applyFont="1"/>
    <xf numFmtId="169" fontId="24" fillId="0" borderId="0" xfId="49" applyNumberFormat="1" applyFont="1" applyAlignment="1">
      <alignment horizontal="center"/>
    </xf>
    <xf numFmtId="169" fontId="24" fillId="0" borderId="0" xfId="49" applyNumberFormat="1" applyFont="1" applyBorder="1" applyAlignment="1">
      <alignment horizontal="center"/>
    </xf>
    <xf numFmtId="0" fontId="24" fillId="0" borderId="0" xfId="48" applyFont="1"/>
    <xf numFmtId="0" fontId="24" fillId="0" borderId="13" xfId="48" applyFont="1" applyBorder="1"/>
    <xf numFmtId="0" fontId="24" fillId="0" borderId="13" xfId="48" applyFont="1" applyBorder="1" applyAlignment="1">
      <alignment horizontal="center" vertical="center"/>
    </xf>
    <xf numFmtId="0" fontId="24" fillId="0" borderId="13" xfId="48" applyFont="1" applyBorder="1" applyAlignment="1">
      <alignment horizontal="center"/>
    </xf>
    <xf numFmtId="169" fontId="24" fillId="0" borderId="0" xfId="47" applyNumberFormat="1" applyFont="1"/>
    <xf numFmtId="169" fontId="24" fillId="0" borderId="0" xfId="47" applyNumberFormat="1" applyFont="1" applyBorder="1"/>
    <xf numFmtId="0" fontId="47" fillId="0" borderId="0" xfId="48" applyFont="1"/>
    <xf numFmtId="0" fontId="48" fillId="0" borderId="0" xfId="0" applyFont="1" applyAlignment="1">
      <alignment vertical="center" wrapText="1"/>
    </xf>
    <xf numFmtId="0" fontId="0" fillId="0" borderId="0" xfId="0" applyAlignment="1">
      <alignment horizontal="left" vertical="top"/>
    </xf>
    <xf numFmtId="0" fontId="18" fillId="0" borderId="0" xfId="52"/>
    <xf numFmtId="169" fontId="0" fillId="0" borderId="0" xfId="53" applyNumberFormat="1" applyFont="1" applyAlignment="1">
      <alignment horizontal="center" vertical="center"/>
    </xf>
    <xf numFmtId="171" fontId="18" fillId="0" borderId="0" xfId="52" applyNumberFormat="1"/>
    <xf numFmtId="169" fontId="18" fillId="0" borderId="0" xfId="52" applyNumberFormat="1"/>
    <xf numFmtId="0" fontId="18" fillId="0" borderId="0" xfId="52" applyAlignment="1">
      <alignment vertical="top"/>
    </xf>
    <xf numFmtId="0" fontId="18" fillId="0" borderId="0" xfId="52" applyAlignment="1">
      <alignment vertical="top" wrapText="1"/>
    </xf>
    <xf numFmtId="169" fontId="52" fillId="0" borderId="0" xfId="53" applyNumberFormat="1" applyFont="1" applyFill="1" applyBorder="1" applyAlignment="1">
      <alignment horizontal="center" vertical="center"/>
    </xf>
    <xf numFmtId="172" fontId="53" fillId="0" borderId="14" xfId="0" applyNumberFormat="1" applyFont="1" applyBorder="1" applyAlignment="1">
      <alignment horizontal="right"/>
    </xf>
    <xf numFmtId="0" fontId="48" fillId="0" borderId="0" xfId="0" applyFont="1" applyAlignment="1">
      <alignment horizontal="left"/>
    </xf>
    <xf numFmtId="3" fontId="0" fillId="0" borderId="0" xfId="0" applyNumberFormat="1"/>
    <xf numFmtId="0" fontId="24" fillId="0" borderId="0" xfId="0" applyFont="1" applyAlignment="1">
      <alignment vertical="top" wrapText="1"/>
    </xf>
    <xf numFmtId="172" fontId="53" fillId="0" borderId="0" xfId="0" applyNumberFormat="1" applyFont="1" applyAlignment="1">
      <alignment horizontal="right"/>
    </xf>
    <xf numFmtId="164" fontId="46" fillId="0" borderId="0" xfId="0" applyNumberFormat="1" applyFont="1" applyAlignment="1">
      <alignment horizontal="center" vertical="center"/>
    </xf>
    <xf numFmtId="9" fontId="0" fillId="0" borderId="0" xfId="0" applyNumberFormat="1"/>
    <xf numFmtId="11" fontId="0" fillId="0" borderId="0" xfId="0" applyNumberFormat="1"/>
    <xf numFmtId="0" fontId="0" fillId="24" borderId="0" xfId="0" applyFill="1"/>
    <xf numFmtId="2" fontId="0" fillId="0" borderId="0" xfId="0" applyNumberFormat="1"/>
    <xf numFmtId="0" fontId="17" fillId="0" borderId="13" xfId="48" applyFont="1" applyBorder="1"/>
    <xf numFmtId="0" fontId="0" fillId="0" borderId="13" xfId="0" applyBorder="1"/>
    <xf numFmtId="0" fontId="0" fillId="0" borderId="12" xfId="0" applyBorder="1"/>
    <xf numFmtId="0" fontId="17" fillId="0" borderId="12" xfId="48" applyFont="1" applyBorder="1"/>
    <xf numFmtId="0" fontId="17" fillId="0" borderId="0" xfId="48" applyFont="1"/>
    <xf numFmtId="0" fontId="50" fillId="0" borderId="0" xfId="0" applyFont="1"/>
    <xf numFmtId="167" fontId="50" fillId="0" borderId="0" xfId="0" applyNumberFormat="1" applyFont="1"/>
    <xf numFmtId="0" fontId="24" fillId="0" borderId="10" xfId="0" applyFont="1" applyBorder="1"/>
    <xf numFmtId="167" fontId="0" fillId="0" borderId="12" xfId="0" applyNumberFormat="1" applyBorder="1"/>
    <xf numFmtId="173" fontId="0" fillId="0" borderId="0" xfId="0" applyNumberFormat="1"/>
    <xf numFmtId="167" fontId="0" fillId="0" borderId="11" xfId="0" applyNumberFormat="1" applyBorder="1"/>
    <xf numFmtId="167" fontId="24" fillId="0" borderId="12" xfId="0" applyNumberFormat="1" applyFont="1" applyBorder="1"/>
    <xf numFmtId="167" fontId="22" fillId="0" borderId="0" xfId="48" applyNumberFormat="1"/>
    <xf numFmtId="167" fontId="22" fillId="0" borderId="10" xfId="48" applyNumberFormat="1" applyBorder="1"/>
    <xf numFmtId="0" fontId="16" fillId="0" borderId="0" xfId="48" applyFont="1"/>
    <xf numFmtId="0" fontId="15" fillId="0" borderId="0" xfId="48" applyFont="1" applyAlignment="1">
      <alignment wrapText="1"/>
    </xf>
    <xf numFmtId="0" fontId="14" fillId="0" borderId="0" xfId="48" applyFont="1"/>
    <xf numFmtId="0" fontId="14" fillId="0" borderId="0" xfId="48" applyFont="1" applyAlignment="1">
      <alignment wrapText="1"/>
    </xf>
    <xf numFmtId="169" fontId="24" fillId="0" borderId="0" xfId="49" applyNumberFormat="1" applyFont="1" applyBorder="1" applyAlignment="1">
      <alignment horizontal="right"/>
    </xf>
    <xf numFmtId="10" fontId="22" fillId="0" borderId="0" xfId="48" applyNumberFormat="1"/>
    <xf numFmtId="174" fontId="22" fillId="0" borderId="0" xfId="48" applyNumberFormat="1"/>
    <xf numFmtId="0" fontId="13" fillId="0" borderId="0" xfId="48" applyFont="1"/>
    <xf numFmtId="167" fontId="0" fillId="0" borderId="0" xfId="56" applyNumberFormat="1" applyFont="1"/>
    <xf numFmtId="167" fontId="0" fillId="0" borderId="10" xfId="56" applyNumberFormat="1" applyFont="1" applyBorder="1"/>
    <xf numFmtId="175" fontId="22" fillId="0" borderId="0" xfId="48" applyNumberFormat="1"/>
    <xf numFmtId="9" fontId="22" fillId="0" borderId="0" xfId="48" applyNumberFormat="1"/>
    <xf numFmtId="0" fontId="12" fillId="0" borderId="0" xfId="48" applyFont="1"/>
    <xf numFmtId="0" fontId="11" fillId="0" borderId="0" xfId="48" applyFont="1"/>
    <xf numFmtId="169" fontId="19" fillId="0" borderId="0" xfId="48" applyNumberFormat="1" applyFont="1"/>
    <xf numFmtId="0" fontId="11" fillId="0" borderId="0" xfId="48" applyFont="1" applyAlignment="1">
      <alignment wrapText="1"/>
    </xf>
    <xf numFmtId="0" fontId="54" fillId="0" borderId="0" xfId="48" applyFont="1"/>
    <xf numFmtId="9" fontId="22" fillId="0" borderId="0" xfId="47" applyFont="1"/>
    <xf numFmtId="0" fontId="24" fillId="0" borderId="11" xfId="0" applyFont="1" applyBorder="1" applyAlignment="1">
      <alignment horizontal="centerContinuous"/>
    </xf>
    <xf numFmtId="0" fontId="0" fillId="0" borderId="11" xfId="0" applyBorder="1" applyAlignment="1">
      <alignment horizontal="centerContinuous"/>
    </xf>
    <xf numFmtId="0" fontId="0" fillId="0" borderId="12" xfId="0" applyBorder="1" applyAlignment="1">
      <alignment horizontal="centerContinuous"/>
    </xf>
    <xf numFmtId="0" fontId="50" fillId="0" borderId="13" xfId="0" applyFont="1" applyBorder="1"/>
    <xf numFmtId="170" fontId="21" fillId="0" borderId="0" xfId="48" applyNumberFormat="1" applyFont="1" applyAlignment="1">
      <alignment horizontal="right"/>
    </xf>
    <xf numFmtId="10" fontId="50" fillId="0" borderId="0" xfId="49" applyNumberFormat="1" applyFont="1" applyFill="1" applyAlignment="1">
      <alignment horizontal="center"/>
    </xf>
    <xf numFmtId="169" fontId="0" fillId="0" borderId="0" xfId="49" applyNumberFormat="1" applyFont="1" applyFill="1" applyBorder="1" applyAlignment="1">
      <alignment horizontal="center"/>
    </xf>
    <xf numFmtId="0" fontId="21" fillId="0" borderId="0" xfId="48" applyFont="1"/>
    <xf numFmtId="170" fontId="20" fillId="0" borderId="0" xfId="48" applyNumberFormat="1" applyFont="1" applyAlignment="1">
      <alignment horizontal="right"/>
    </xf>
    <xf numFmtId="170" fontId="14" fillId="0" borderId="0" xfId="48" applyNumberFormat="1" applyFont="1" applyAlignment="1">
      <alignment horizontal="right"/>
    </xf>
    <xf numFmtId="169" fontId="50" fillId="0" borderId="0" xfId="49" applyNumberFormat="1" applyFont="1" applyFill="1" applyAlignment="1">
      <alignment horizontal="center"/>
    </xf>
    <xf numFmtId="169" fontId="0" fillId="0" borderId="0" xfId="49" applyNumberFormat="1" applyFont="1" applyFill="1" applyBorder="1" applyAlignment="1">
      <alignment horizontal="right"/>
    </xf>
    <xf numFmtId="0" fontId="10" fillId="0" borderId="0" xfId="48" applyFont="1"/>
    <xf numFmtId="167" fontId="24" fillId="0" borderId="0" xfId="0" applyNumberFormat="1" applyFont="1"/>
    <xf numFmtId="0" fontId="24" fillId="0" borderId="13" xfId="0" applyFont="1" applyBorder="1" applyAlignment="1">
      <alignment horizontal="center" vertical="center" wrapText="1"/>
    </xf>
    <xf numFmtId="0" fontId="47" fillId="0" borderId="13" xfId="48" applyFont="1" applyBorder="1" applyAlignment="1">
      <alignment vertical="center"/>
    </xf>
    <xf numFmtId="0" fontId="24" fillId="0" borderId="0" xfId="0" applyFont="1" applyAlignment="1">
      <alignment horizontal="center" vertical="center"/>
    </xf>
    <xf numFmtId="0" fontId="47" fillId="0" borderId="0" xfId="48" applyFont="1" applyAlignment="1">
      <alignment horizontal="center" vertical="center"/>
    </xf>
    <xf numFmtId="0" fontId="24" fillId="0" borderId="0" xfId="0" applyFont="1" applyAlignment="1">
      <alignment horizontal="center" vertical="center" wrapText="1"/>
    </xf>
    <xf numFmtId="0" fontId="9" fillId="0" borderId="0" xfId="48" applyFont="1" applyAlignment="1">
      <alignment vertical="top" wrapText="1"/>
    </xf>
    <xf numFmtId="0" fontId="24" fillId="0" borderId="0" xfId="48" applyFont="1" applyAlignment="1">
      <alignment vertical="top" wrapText="1"/>
    </xf>
    <xf numFmtId="167" fontId="24" fillId="0" borderId="0" xfId="0" applyNumberFormat="1" applyFont="1" applyAlignment="1">
      <alignment horizontal="right" vertical="center" indent="2"/>
    </xf>
    <xf numFmtId="169" fontId="0" fillId="0" borderId="0" xfId="47" applyNumberFormat="1" applyFont="1" applyAlignment="1">
      <alignment horizontal="right" vertical="center" indent="2"/>
    </xf>
    <xf numFmtId="167" fontId="0" fillId="0" borderId="0" xfId="0" applyNumberFormat="1" applyAlignment="1">
      <alignment horizontal="right" vertical="center" indent="2"/>
    </xf>
    <xf numFmtId="0" fontId="0" fillId="0" borderId="0" xfId="0" applyAlignment="1">
      <alignment horizontal="right" vertical="center" indent="2"/>
    </xf>
    <xf numFmtId="0" fontId="24" fillId="0" borderId="0" xfId="0" applyFont="1" applyAlignment="1">
      <alignment vertical="top"/>
    </xf>
    <xf numFmtId="0" fontId="0" fillId="0" borderId="0" xfId="0" applyAlignment="1">
      <alignment vertical="top"/>
    </xf>
    <xf numFmtId="167" fontId="19" fillId="0" borderId="0" xfId="48" applyNumberFormat="1" applyFont="1"/>
    <xf numFmtId="0" fontId="6" fillId="0" borderId="0" xfId="48" applyFont="1"/>
    <xf numFmtId="169" fontId="22" fillId="25" borderId="0" xfId="48" applyNumberFormat="1" applyFill="1"/>
    <xf numFmtId="9" fontId="22" fillId="25" borderId="0" xfId="47" applyFont="1" applyFill="1"/>
    <xf numFmtId="0" fontId="5" fillId="0" borderId="0" xfId="52" applyFont="1" applyAlignment="1">
      <alignment vertical="top" wrapText="1"/>
    </xf>
    <xf numFmtId="0" fontId="5" fillId="0" borderId="0" xfId="52" applyFont="1"/>
    <xf numFmtId="0" fontId="4" fillId="0" borderId="0" xfId="48" applyFont="1"/>
    <xf numFmtId="0" fontId="47" fillId="0" borderId="0" xfId="0" applyFont="1" applyAlignment="1">
      <alignment vertical="top" wrapText="1"/>
    </xf>
    <xf numFmtId="0" fontId="3" fillId="0" borderId="0" xfId="48" applyFont="1"/>
    <xf numFmtId="0" fontId="55" fillId="26" borderId="15" xfId="0" applyFont="1" applyFill="1" applyBorder="1" applyAlignment="1">
      <alignment horizontal="center"/>
    </xf>
    <xf numFmtId="4" fontId="55" fillId="26" borderId="15" xfId="0" applyNumberFormat="1" applyFont="1" applyFill="1" applyBorder="1" applyAlignment="1">
      <alignment horizontal="center"/>
    </xf>
    <xf numFmtId="0" fontId="56" fillId="26" borderId="16" xfId="0" applyFont="1" applyFill="1" applyBorder="1" applyAlignment="1">
      <alignment horizontal="center"/>
    </xf>
    <xf numFmtId="4" fontId="56" fillId="26" borderId="16" xfId="0" applyNumberFormat="1" applyFont="1" applyFill="1" applyBorder="1" applyAlignment="1">
      <alignment horizontal="right"/>
    </xf>
    <xf numFmtId="9" fontId="22" fillId="25" borderId="0" xfId="48" applyNumberFormat="1" applyFill="1"/>
    <xf numFmtId="0" fontId="8" fillId="0" borderId="0" xfId="48" applyFont="1" applyAlignment="1">
      <alignment vertical="top" wrapText="1"/>
    </xf>
    <xf numFmtId="0" fontId="23" fillId="0" borderId="0" xfId="48" applyFont="1"/>
    <xf numFmtId="0" fontId="23" fillId="0" borderId="0" xfId="0" applyFont="1"/>
    <xf numFmtId="0" fontId="23" fillId="0" borderId="13" xfId="0" applyFont="1" applyBorder="1" applyAlignment="1">
      <alignment horizontal="center" vertical="center" wrapText="1"/>
    </xf>
    <xf numFmtId="167" fontId="0" fillId="0" borderId="0" xfId="0" applyNumberFormat="1" applyAlignment="1">
      <alignment horizontal="center" vertical="center"/>
    </xf>
    <xf numFmtId="9" fontId="0" fillId="0" borderId="0" xfId="47" applyFont="1" applyAlignment="1">
      <alignment horizontal="center" vertical="center"/>
    </xf>
    <xf numFmtId="0" fontId="0" fillId="0" borderId="18" xfId="0" applyBorder="1"/>
    <xf numFmtId="1" fontId="0" fillId="0" borderId="0" xfId="0" applyNumberFormat="1"/>
    <xf numFmtId="0" fontId="0" fillId="0" borderId="19" xfId="0" applyBorder="1"/>
    <xf numFmtId="0" fontId="23" fillId="0" borderId="19" xfId="0" applyFont="1" applyBorder="1"/>
    <xf numFmtId="0" fontId="0" fillId="0" borderId="18" xfId="0" applyBorder="1" applyAlignment="1">
      <alignment horizontal="center" vertical="center"/>
    </xf>
    <xf numFmtId="1" fontId="0" fillId="0" borderId="0" xfId="0" applyNumberFormat="1" applyAlignment="1">
      <alignment horizontal="center" vertical="center"/>
    </xf>
    <xf numFmtId="0" fontId="23" fillId="25" borderId="0" xfId="48" applyFont="1" applyFill="1"/>
    <xf numFmtId="1" fontId="0" fillId="0" borderId="0" xfId="0" applyNumberFormat="1" applyAlignment="1">
      <alignment horizontal="center" vertical="center" wrapText="1"/>
    </xf>
    <xf numFmtId="0" fontId="0" fillId="0" borderId="18" xfId="0" applyBorder="1" applyAlignment="1">
      <alignment horizontal="center" vertical="center" wrapText="1"/>
    </xf>
    <xf numFmtId="0" fontId="5" fillId="0" borderId="0" xfId="52" applyFont="1" applyAlignment="1">
      <alignment horizontal="left" vertical="top" wrapText="1"/>
    </xf>
    <xf numFmtId="0" fontId="23" fillId="0" borderId="0" xfId="0" applyFont="1" applyAlignment="1">
      <alignment horizontal="left" vertical="top" wrapText="1"/>
    </xf>
    <xf numFmtId="0" fontId="24"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47" fillId="0" borderId="0" xfId="0" applyFont="1" applyAlignment="1">
      <alignment horizontal="left" vertical="top" wrapText="1"/>
    </xf>
    <xf numFmtId="0" fontId="0" fillId="0" borderId="0" xfId="0" applyAlignment="1">
      <alignment horizontal="center" wrapText="1"/>
    </xf>
    <xf numFmtId="0" fontId="24" fillId="0" borderId="12" xfId="48" applyFont="1" applyBorder="1" applyAlignment="1">
      <alignment horizontal="left" vertical="top" wrapText="1"/>
    </xf>
    <xf numFmtId="0" fontId="24" fillId="0" borderId="0" xfId="48" applyFont="1" applyAlignment="1">
      <alignment horizontal="left" vertical="top" wrapText="1"/>
    </xf>
    <xf numFmtId="0" fontId="24" fillId="0" borderId="12" xfId="48" applyFont="1" applyBorder="1" applyAlignment="1">
      <alignment horizontal="justify" vertical="top" wrapText="1"/>
    </xf>
    <xf numFmtId="0" fontId="24" fillId="0" borderId="0" xfId="48" applyFont="1" applyAlignment="1">
      <alignment horizontal="justify" vertical="top" wrapText="1"/>
    </xf>
    <xf numFmtId="0" fontId="47" fillId="0" borderId="0" xfId="48" applyFont="1" applyAlignment="1">
      <alignment horizontal="left" vertical="top" wrapText="1"/>
    </xf>
    <xf numFmtId="0" fontId="7" fillId="0" borderId="0" xfId="48" applyFont="1" applyAlignment="1">
      <alignment horizontal="left" vertical="top" wrapText="1"/>
    </xf>
    <xf numFmtId="0" fontId="8" fillId="0" borderId="0" xfId="48" applyFont="1" applyAlignment="1">
      <alignment horizontal="left" vertical="top" wrapText="1"/>
    </xf>
    <xf numFmtId="0" fontId="2" fillId="0" borderId="0" xfId="48" applyFont="1" applyAlignment="1">
      <alignment horizontal="left" vertical="top" wrapText="1"/>
    </xf>
    <xf numFmtId="0" fontId="24" fillId="0" borderId="12" xfId="0" applyFont="1" applyBorder="1" applyAlignment="1">
      <alignment horizontal="left" vertical="center"/>
    </xf>
    <xf numFmtId="0" fontId="24" fillId="0" borderId="0" xfId="0" applyFont="1" applyAlignment="1">
      <alignment horizontal="left" vertical="center"/>
    </xf>
    <xf numFmtId="0" fontId="23" fillId="0" borderId="12" xfId="0" applyFont="1" applyBorder="1" applyAlignment="1">
      <alignment horizontal="left" vertical="top" wrapText="1"/>
    </xf>
    <xf numFmtId="0" fontId="24" fillId="0" borderId="12" xfId="0" applyFont="1" applyBorder="1" applyAlignment="1">
      <alignment horizontal="left" vertical="top" wrapText="1"/>
    </xf>
    <xf numFmtId="0" fontId="24" fillId="0" borderId="10" xfId="0" applyFont="1" applyBorder="1" applyAlignment="1">
      <alignment wrapText="1"/>
    </xf>
    <xf numFmtId="0" fontId="0" fillId="0" borderId="10" xfId="0" applyBorder="1" applyAlignment="1">
      <alignment wrapText="1"/>
    </xf>
    <xf numFmtId="0" fontId="24" fillId="0" borderId="12" xfId="0" applyFont="1" applyBorder="1" applyAlignment="1">
      <alignment horizontal="justify" vertical="top" wrapText="1"/>
    </xf>
    <xf numFmtId="0" fontId="0" fillId="0" borderId="12" xfId="0" applyBorder="1" applyAlignment="1">
      <alignment horizontal="justify" vertical="top" wrapText="1"/>
    </xf>
    <xf numFmtId="0" fontId="23" fillId="0" borderId="12" xfId="48" applyFont="1" applyBorder="1" applyAlignment="1">
      <alignment horizontal="left" vertical="top" wrapText="1"/>
    </xf>
    <xf numFmtId="0" fontId="23" fillId="0" borderId="17" xfId="0" applyFont="1" applyBorder="1" applyAlignment="1">
      <alignment horizontal="left" vertical="top" wrapText="1"/>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56" builtinId="3"/>
    <cellStyle name="Comma 2" xfId="28" xr:uid="{00000000-0005-0000-0000-00001B000000}"/>
    <cellStyle name="Comma 3" xfId="46" xr:uid="{00000000-0005-0000-0000-00001C000000}"/>
    <cellStyle name="Comma 4" xfId="54" xr:uid="{04D6EC46-19F4-432F-BE39-463D475E6D26}"/>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2" xfId="55" xr:uid="{12BB0D81-72A9-496B-A502-3FB867262F47}"/>
    <cellStyle name="Input" xfId="35" builtinId="20" customBuiltin="1"/>
    <cellStyle name="Linked Cell" xfId="36" builtinId="24" customBuiltin="1"/>
    <cellStyle name="Neutral" xfId="37" builtinId="28" customBuiltin="1"/>
    <cellStyle name="Normal" xfId="0" builtinId="0"/>
    <cellStyle name="Normal 2" xfId="38" xr:uid="{00000000-0005-0000-0000-000027000000}"/>
    <cellStyle name="Normal 2 2" xfId="50" xr:uid="{179240F3-2F30-4967-B224-81533AC663AE}"/>
    <cellStyle name="Normal 3" xfId="39" xr:uid="{00000000-0005-0000-0000-000028000000}"/>
    <cellStyle name="Normal 3 2" xfId="51" xr:uid="{D3CCFBE2-F1A8-4FA5-A66E-0AF5F9D8B46F}"/>
    <cellStyle name="Normal 4" xfId="48" xr:uid="{ED429305-8FA9-4DB3-9824-C2E1979C5B4E}"/>
    <cellStyle name="Normal 5" xfId="52" xr:uid="{7AEBEF86-5780-4547-8C3D-BE66F90B3F6C}"/>
    <cellStyle name="Normal 6" xfId="57" xr:uid="{C1A41AE7-A9DA-4970-9D30-F04A7644A0FE}"/>
    <cellStyle name="Note" xfId="40" builtinId="10" customBuiltin="1"/>
    <cellStyle name="Output" xfId="41" builtinId="21" customBuiltin="1"/>
    <cellStyle name="Percent" xfId="47" builtinId="5"/>
    <cellStyle name="Percent 2" xfId="42" xr:uid="{00000000-0005-0000-0000-00002B000000}"/>
    <cellStyle name="Percent 3" xfId="49" xr:uid="{DE927680-F2E2-4E97-89FD-DDB00CDE93D5}"/>
    <cellStyle name="Percent 4" xfId="53" xr:uid="{02A31367-F21D-46C3-8A14-172D3CE19FAC}"/>
    <cellStyle name="Title" xfId="43" builtinId="15" customBuiltin="1"/>
    <cellStyle name="Total" xfId="44" builtinId="25" customBuiltin="1"/>
    <cellStyle name="Warning Text" xfId="45" builtinId="11" customBuiltin="1"/>
  </cellStyles>
  <dxfs count="0"/>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4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5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effectLst/>
                <a:latin typeface="Arial" panose="020B0604020202020204" pitchFamily="34" charset="0"/>
                <a:cs typeface="Arial" panose="020B0604020202020204" pitchFamily="34" charset="0"/>
              </a:rPr>
              <a:t>Figure 1: Timeline of Major COVID-19 Cash Transfer Policies </a:t>
            </a:r>
          </a:p>
        </c:rich>
      </c:tx>
      <c:overlay val="0"/>
      <c:spPr>
        <a:noFill/>
        <a:ln>
          <a:noFill/>
        </a:ln>
        <a:effectLst/>
      </c:spPr>
    </c:title>
    <c:autoTitleDeleted val="0"/>
    <c:plotArea>
      <c:layout>
        <c:manualLayout>
          <c:layoutTarget val="inner"/>
          <c:xMode val="edge"/>
          <c:yMode val="edge"/>
          <c:x val="5.4950276528387437E-2"/>
          <c:y val="0.12311232619363194"/>
          <c:w val="0.90797790385914112"/>
          <c:h val="0.64166879248085351"/>
        </c:manualLayout>
      </c:layout>
      <c:barChart>
        <c:barDir val="col"/>
        <c:grouping val="clustered"/>
        <c:varyColors val="0"/>
        <c:ser>
          <c:idx val="0"/>
          <c:order val="0"/>
          <c:tx>
            <c:strRef>
              <c:f>'F1'!$M$1</c:f>
              <c:strCache>
                <c:ptCount val="1"/>
                <c:pt idx="0">
                  <c:v>Event height</c:v>
                </c:pt>
              </c:strCache>
            </c:strRef>
          </c:tx>
          <c:spPr>
            <a:solidFill>
              <a:sysClr val="window" lastClr="FFFFFF"/>
            </a:solidFill>
            <a:ln w="6350">
              <a:noFill/>
            </a:ln>
            <a:effectLst/>
          </c:spPr>
          <c:invertIfNegative val="0"/>
          <c:dPt>
            <c:idx val="3"/>
            <c:invertIfNegative val="0"/>
            <c:bubble3D val="0"/>
            <c:extLst>
              <c:ext xmlns:c16="http://schemas.microsoft.com/office/drawing/2014/chart" uri="{C3380CC4-5D6E-409C-BE32-E72D297353CC}">
                <c16:uniqueId val="{00000002-C1A2-4355-ADCD-DCAA80B5ECF0}"/>
              </c:ext>
            </c:extLst>
          </c:dPt>
          <c:dPt>
            <c:idx val="5"/>
            <c:invertIfNegative val="0"/>
            <c:bubble3D val="0"/>
            <c:spPr>
              <a:noFill/>
              <a:ln w="6350">
                <a:noFill/>
              </a:ln>
              <a:effectLst/>
            </c:spPr>
            <c:extLst>
              <c:ext xmlns:c16="http://schemas.microsoft.com/office/drawing/2014/chart" uri="{C3380CC4-5D6E-409C-BE32-E72D297353CC}">
                <c16:uniqueId val="{0000000B-C1A2-4355-ADCD-DCAA80B5ECF0}"/>
              </c:ext>
            </c:extLst>
          </c:dPt>
          <c:dPt>
            <c:idx val="11"/>
            <c:invertIfNegative val="0"/>
            <c:bubble3D val="0"/>
            <c:spPr>
              <a:noFill/>
              <a:ln w="6350">
                <a:noFill/>
              </a:ln>
              <a:effectLst/>
            </c:spPr>
            <c:extLst>
              <c:ext xmlns:c16="http://schemas.microsoft.com/office/drawing/2014/chart" uri="{C3380CC4-5D6E-409C-BE32-E72D297353CC}">
                <c16:uniqueId val="{00000003-C1A2-4355-ADCD-DCAA80B5ECF0}"/>
              </c:ext>
            </c:extLst>
          </c:dPt>
          <c:dPt>
            <c:idx val="12"/>
            <c:invertIfNegative val="0"/>
            <c:bubble3D val="0"/>
            <c:spPr>
              <a:noFill/>
              <a:ln w="6350">
                <a:noFill/>
              </a:ln>
              <a:effectLst/>
            </c:spPr>
            <c:extLst>
              <c:ext xmlns:c16="http://schemas.microsoft.com/office/drawing/2014/chart" uri="{C3380CC4-5D6E-409C-BE32-E72D297353CC}">
                <c16:uniqueId val="{00000011-C1A2-4355-ADCD-DCAA80B5ECF0}"/>
              </c:ext>
            </c:extLst>
          </c:dPt>
          <c:dPt>
            <c:idx val="14"/>
            <c:invertIfNegative val="0"/>
            <c:bubble3D val="0"/>
            <c:spPr>
              <a:noFill/>
              <a:ln w="6350">
                <a:noFill/>
              </a:ln>
              <a:effectLst/>
            </c:spPr>
            <c:extLst>
              <c:ext xmlns:c16="http://schemas.microsoft.com/office/drawing/2014/chart" uri="{C3380CC4-5D6E-409C-BE32-E72D297353CC}">
                <c16:uniqueId val="{00000004-C1A2-4355-ADCD-DCAA80B5ECF0}"/>
              </c:ext>
            </c:extLst>
          </c:dPt>
          <c:dPt>
            <c:idx val="16"/>
            <c:invertIfNegative val="0"/>
            <c:bubble3D val="0"/>
            <c:spPr>
              <a:noFill/>
              <a:ln w="6350">
                <a:noFill/>
              </a:ln>
              <a:effectLst/>
            </c:spPr>
            <c:extLst>
              <c:ext xmlns:c16="http://schemas.microsoft.com/office/drawing/2014/chart" uri="{C3380CC4-5D6E-409C-BE32-E72D297353CC}">
                <c16:uniqueId val="{00000014-C1A2-4355-ADCD-DCAA80B5ECF0}"/>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1A2-4355-ADCD-DCAA80B5ECF0}"/>
                </c:ext>
              </c:extLst>
            </c:dLbl>
            <c:dLbl>
              <c:idx val="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1A2-4355-ADCD-DCAA80B5ECF0}"/>
                </c:ext>
              </c:extLst>
            </c:dLbl>
            <c:dLbl>
              <c:idx val="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1A2-4355-ADCD-DCAA80B5ECF0}"/>
                </c:ext>
              </c:extLst>
            </c:dLbl>
            <c:dLbl>
              <c:idx val="3"/>
              <c:layout>
                <c:manualLayout>
                  <c:x val="3.1293181695296358E-2"/>
                  <c:y val="0.1041418281708734"/>
                </c:manualLayout>
              </c:layout>
              <c:tx>
                <c:rich>
                  <a:bodyPr rot="0" spcFirstLastPara="1" vertOverflow="ellipsis" vert="horz" wrap="square" lIns="38100" tIns="19050" rIns="38100" bIns="19050" numCol="1" anchor="ctr" anchorCtr="1">
                    <a:spAutoFit/>
                  </a:bodyPr>
                  <a:lstStyle/>
                  <a:p>
                    <a:pPr>
                      <a:defRPr sz="1100" b="0" i="0" u="none" strike="noStrike" kern="1200" baseline="0">
                        <a:solidFill>
                          <a:schemeClr val="tx1">
                            <a:lumMod val="75000"/>
                            <a:lumOff val="25000"/>
                          </a:schemeClr>
                        </a:solidFill>
                        <a:latin typeface="+mn-lt"/>
                        <a:ea typeface="+mn-ea"/>
                        <a:cs typeface="+mn-cs"/>
                      </a:defRPr>
                    </a:pPr>
                    <a:fld id="{BA0D610C-5C1B-48D0-A58F-C2D9F52EA76A}" type="CELLRANGE">
                      <a:rPr lang="en-US"/>
                      <a:pPr>
                        <a:defRPr sz="11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2-C1A2-4355-ADCD-DCAA80B5ECF0}"/>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1A2-4355-ADCD-DCAA80B5ECF0}"/>
                </c:ext>
              </c:extLst>
            </c:dLbl>
            <c:dLbl>
              <c:idx val="5"/>
              <c:layout>
                <c:manualLayout>
                  <c:x val="3.0542314898819168E-3"/>
                  <c:y val="1.4156096693832065E-2"/>
                </c:manualLayout>
              </c:layout>
              <c:tx>
                <c:rich>
                  <a:bodyPr rot="0" spcFirstLastPara="1" vertOverflow="ellipsis" vert="horz" wrap="square" lIns="38100" tIns="19050" rIns="38100" bIns="19050" numCol="1" anchor="ctr" anchorCtr="1">
                    <a:noAutofit/>
                  </a:bodyPr>
                  <a:lstStyle/>
                  <a:p>
                    <a:pPr>
                      <a:defRPr sz="1200" b="0" i="0" u="none" strike="noStrike" kern="1200" baseline="0">
                        <a:solidFill>
                          <a:schemeClr val="tx1">
                            <a:lumMod val="75000"/>
                            <a:lumOff val="25000"/>
                          </a:schemeClr>
                        </a:solidFill>
                        <a:latin typeface="+mn-lt"/>
                        <a:ea typeface="+mn-ea"/>
                        <a:cs typeface="+mn-cs"/>
                      </a:defRPr>
                    </a:pPr>
                    <a:fld id="{7A937F87-8288-483B-B020-102B5EC75D2D}" type="CELLRANGE">
                      <a:rPr lang="en-US" sz="1100"/>
                      <a:pPr>
                        <a:defRPr sz="12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15076335663640397"/>
                      <c:h val="6.8480551370722745E-2"/>
                    </c:manualLayout>
                  </c15:layout>
                  <c15:dlblFieldTable/>
                  <c15:showDataLabelsRange val="1"/>
                </c:ext>
                <c:ext xmlns:c16="http://schemas.microsoft.com/office/drawing/2014/chart" uri="{C3380CC4-5D6E-409C-BE32-E72D297353CC}">
                  <c16:uniqueId val="{0000000B-C1A2-4355-ADCD-DCAA80B5ECF0}"/>
                </c:ext>
              </c:extLst>
            </c:dLbl>
            <c:dLbl>
              <c:idx val="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1A2-4355-ADCD-DCAA80B5ECF0}"/>
                </c:ext>
              </c:extLst>
            </c:dLbl>
            <c:dLbl>
              <c:idx val="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C1A2-4355-ADCD-DCAA80B5ECF0}"/>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C1A2-4355-ADCD-DCAA80B5ECF0}"/>
                </c:ext>
              </c:extLst>
            </c:dLbl>
            <c:dLbl>
              <c:idx val="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C1A2-4355-ADCD-DCAA80B5ECF0}"/>
                </c:ext>
              </c:extLst>
            </c:dLbl>
            <c:dLbl>
              <c:idx val="10"/>
              <c:layout>
                <c:manualLayout>
                  <c:x val="1.5175398472960134E-2"/>
                  <c:y val="-3.825007845454048E-5"/>
                </c:manualLayout>
              </c:layout>
              <c:tx>
                <c:rich>
                  <a:bodyPr rot="0" spcFirstLastPara="1" vertOverflow="ellipsis" vert="horz" wrap="squar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fld id="{57326C0A-9F8A-4566-96F7-BDE3192B445F}" type="CELLRANGE">
                      <a:rPr lang="en-US" sz="1200"/>
                      <a:pPr>
                        <a:defRPr sz="9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21060963244208028"/>
                      <c:h val="7.9141925101320829E-2"/>
                    </c:manualLayout>
                  </c15:layout>
                  <c15:dlblFieldTable/>
                  <c15:showDataLabelsRange val="1"/>
                </c:ext>
                <c:ext xmlns:c16="http://schemas.microsoft.com/office/drawing/2014/chart" uri="{C3380CC4-5D6E-409C-BE32-E72D297353CC}">
                  <c16:uniqueId val="{00000010-C1A2-4355-ADCD-DCAA80B5ECF0}"/>
                </c:ext>
              </c:extLst>
            </c:dLbl>
            <c:dLbl>
              <c:idx val="11"/>
              <c:layout>
                <c:manualLayout>
                  <c:x val="1.4227595879129206E-2"/>
                  <c:y val="-0.18587560483798246"/>
                </c:manualLayout>
              </c:layout>
              <c:tx>
                <c:rich>
                  <a:bodyPr rot="0" spcFirstLastPara="1" vertOverflow="ellipsis" vert="horz" wrap="square" lIns="38100" tIns="19050" rIns="38100" bIns="19050" numCol="1" anchor="ctr" anchorCtr="1">
                    <a:noAutofit/>
                  </a:bodyPr>
                  <a:lstStyle/>
                  <a:p>
                    <a:pPr>
                      <a:defRPr sz="1200" b="0" i="0" u="none" strike="noStrike" kern="1200" baseline="0">
                        <a:solidFill>
                          <a:schemeClr val="tx1">
                            <a:lumMod val="75000"/>
                            <a:lumOff val="25000"/>
                          </a:schemeClr>
                        </a:solidFill>
                        <a:latin typeface="+mn-lt"/>
                        <a:ea typeface="+mn-ea"/>
                        <a:cs typeface="+mn-cs"/>
                      </a:defRPr>
                    </a:pPr>
                    <a:fld id="{0F4D19DB-F895-444B-9046-CD36CEAF695A}" type="CELLRANGE">
                      <a:rPr lang="en-US" sz="1100"/>
                      <a:pPr>
                        <a:defRPr sz="12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11928927674812669"/>
                      <c:h val="7.0884829531412341E-2"/>
                    </c:manualLayout>
                  </c15:layout>
                  <c15:dlblFieldTable/>
                  <c15:showDataLabelsRange val="1"/>
                </c:ext>
                <c:ext xmlns:c16="http://schemas.microsoft.com/office/drawing/2014/chart" uri="{C3380CC4-5D6E-409C-BE32-E72D297353CC}">
                  <c16:uniqueId val="{00000003-C1A2-4355-ADCD-DCAA80B5ECF0}"/>
                </c:ext>
              </c:extLst>
            </c:dLbl>
            <c:dLbl>
              <c:idx val="12"/>
              <c:layout>
                <c:manualLayout>
                  <c:x val="1.146586443594355E-2"/>
                  <c:y val="0.10709695323429602"/>
                </c:manualLayout>
              </c:layout>
              <c:tx>
                <c:rich>
                  <a:bodyPr rot="0" spcFirstLastPara="1" vertOverflow="ellipsis" vert="horz" wrap="square" lIns="38100" tIns="19050" rIns="38100" bIns="19050" numCol="1" anchor="ctr" anchorCtr="1">
                    <a:spAutoFit/>
                  </a:bodyPr>
                  <a:lstStyle/>
                  <a:p>
                    <a:pPr>
                      <a:defRPr sz="1050" b="0" i="0" u="none" strike="noStrike" kern="1200" baseline="0">
                        <a:solidFill>
                          <a:schemeClr val="tx1">
                            <a:lumMod val="75000"/>
                            <a:lumOff val="25000"/>
                          </a:schemeClr>
                        </a:solidFill>
                        <a:latin typeface="+mn-lt"/>
                        <a:ea typeface="+mn-ea"/>
                        <a:cs typeface="+mn-cs"/>
                      </a:defRPr>
                    </a:pPr>
                    <a:fld id="{013BCE92-A15B-412C-BA19-E684E9C34B51}" type="CELLRANGE">
                      <a:rPr lang="en-US" sz="1100"/>
                      <a:pPr>
                        <a:defRPr sz="105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10744995345533033"/>
                      <c:h val="6.245578527168566E-2"/>
                    </c:manualLayout>
                  </c15:layout>
                  <c15:dlblFieldTable/>
                  <c15:showDataLabelsRange val="1"/>
                </c:ext>
                <c:ext xmlns:c16="http://schemas.microsoft.com/office/drawing/2014/chart" uri="{C3380CC4-5D6E-409C-BE32-E72D297353CC}">
                  <c16:uniqueId val="{00000011-C1A2-4355-ADCD-DCAA80B5ECF0}"/>
                </c:ext>
              </c:extLst>
            </c:dLbl>
            <c:dLbl>
              <c:idx val="1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C1A2-4355-ADCD-DCAA80B5ECF0}"/>
                </c:ext>
              </c:extLst>
            </c:dLbl>
            <c:dLbl>
              <c:idx val="14"/>
              <c:layout>
                <c:manualLayout>
                  <c:x val="5.15125405096842E-2"/>
                  <c:y val="0.10709684069118026"/>
                </c:manualLayout>
              </c:layout>
              <c:tx>
                <c:rich>
                  <a:bodyPr rot="0" spcFirstLastPara="1" vertOverflow="ellipsis" vert="horz" wrap="square" lIns="38100" tIns="19050" rIns="38100" bIns="19050" numCol="1" anchor="ctr" anchorCtr="1">
                    <a:spAutoFit/>
                  </a:bodyPr>
                  <a:lstStyle/>
                  <a:p>
                    <a:pPr>
                      <a:defRPr sz="1050" b="0" i="0" u="none" strike="noStrike" kern="1200" baseline="0">
                        <a:solidFill>
                          <a:schemeClr val="tx1">
                            <a:lumMod val="75000"/>
                            <a:lumOff val="25000"/>
                          </a:schemeClr>
                        </a:solidFill>
                        <a:latin typeface="+mn-lt"/>
                        <a:ea typeface="+mn-ea"/>
                        <a:cs typeface="+mn-cs"/>
                      </a:defRPr>
                    </a:pPr>
                    <a:fld id="{4AB8CB1A-1C14-4704-A12F-92B200599A27}" type="CELLRANGE">
                      <a:rPr lang="en-US" sz="1100"/>
                      <a:pPr>
                        <a:defRPr sz="105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10746493234421156"/>
                      <c:h val="6.245578527168566E-2"/>
                    </c:manualLayout>
                  </c15:layout>
                  <c15:dlblFieldTable/>
                  <c15:showDataLabelsRange val="1"/>
                </c:ext>
                <c:ext xmlns:c16="http://schemas.microsoft.com/office/drawing/2014/chart" uri="{C3380CC4-5D6E-409C-BE32-E72D297353CC}">
                  <c16:uniqueId val="{00000004-C1A2-4355-ADCD-DCAA80B5ECF0}"/>
                </c:ext>
              </c:extLst>
            </c:dLbl>
            <c:dLbl>
              <c:idx val="15"/>
              <c:tx>
                <c:rich>
                  <a:bodyPr rot="0" spcFirstLastPara="1" vertOverflow="ellipsis" vert="horz" wrap="square" lIns="38100" tIns="19050" rIns="38100" bIns="19050" numCol="1"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21795391371936881"/>
                      <c:h val="7.2024060136940862E-2"/>
                    </c:manualLayout>
                  </c15:layout>
                  <c15:showDataLabelsRange val="1"/>
                </c:ext>
                <c:ext xmlns:c16="http://schemas.microsoft.com/office/drawing/2014/chart" uri="{C3380CC4-5D6E-409C-BE32-E72D297353CC}">
                  <c16:uniqueId val="{00000013-C1A2-4355-ADCD-DCAA80B5ECF0}"/>
                </c:ext>
              </c:extLst>
            </c:dLbl>
            <c:dLbl>
              <c:idx val="16"/>
              <c:layout>
                <c:manualLayout>
                  <c:x val="-4.0736408034388501E-3"/>
                  <c:y val="1.4154842869318887E-2"/>
                </c:manualLayout>
              </c:layout>
              <c:tx>
                <c:rich>
                  <a:bodyPr rot="0" spcFirstLastPara="1" vertOverflow="ellipsis" vert="horz" wrap="squar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fld id="{2F196B04-EF3F-44FD-A7E5-7E73AE28AC6D}" type="CELLRANGE">
                      <a:rPr lang="en-US" sz="1100"/>
                      <a:pPr>
                        <a:defRPr sz="9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layout>
                    <c:manualLayout>
                      <c:w val="0.14442622569634594"/>
                      <c:h val="7.0863096573186152E-2"/>
                    </c:manualLayout>
                  </c15:layout>
                  <c15:dlblFieldTable/>
                  <c15:showDataLabelsRange val="1"/>
                </c:ext>
                <c:ext xmlns:c16="http://schemas.microsoft.com/office/drawing/2014/chart" uri="{C3380CC4-5D6E-409C-BE32-E72D297353CC}">
                  <c16:uniqueId val="{00000014-C1A2-4355-ADCD-DCAA80B5ECF0}"/>
                </c:ext>
              </c:extLst>
            </c:dLbl>
            <c:dLbl>
              <c:idx val="1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C1A2-4355-ADCD-DCAA80B5ECF0}"/>
                </c:ext>
              </c:extLst>
            </c:dLbl>
            <c:dLbl>
              <c:idx val="18"/>
              <c:layout>
                <c:manualLayout>
                  <c:x val="8.6438943897035658E-2"/>
                  <c:y val="-8.5871097366717761E-2"/>
                </c:manualLayout>
              </c:layout>
              <c:tx>
                <c:rich>
                  <a:bodyPr rot="0" spcFirstLastPara="1" vertOverflow="overflow" horzOverflow="overflow" vert="horz" wrap="square" lIns="38100" tIns="19050" rIns="38100" bIns="19050" numCol="1"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23DFE99-7F58-444B-AE91-ED5C9098DBD9}" type="CELLRANGE">
                      <a:rPr lang="en-US"/>
                      <a:pPr>
                        <a:defRPr sz="11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498490605674038"/>
                      <c:h val="0.10491864211362492"/>
                    </c:manualLayout>
                  </c15:layout>
                  <c15:dlblFieldTable/>
                  <c15:showDataLabelsRange val="1"/>
                </c:ext>
                <c:ext xmlns:c16="http://schemas.microsoft.com/office/drawing/2014/chart" uri="{C3380CC4-5D6E-409C-BE32-E72D297353CC}">
                  <c16:uniqueId val="{00000005-C1A2-4355-ADCD-DCAA80B5ECF0}"/>
                </c:ext>
              </c:extLst>
            </c:dLbl>
            <c:dLbl>
              <c:idx val="19"/>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C1A2-4355-ADCD-DCAA80B5ECF0}"/>
                </c:ext>
              </c:extLst>
            </c:dLbl>
            <c:dLbl>
              <c:idx val="2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C1A2-4355-ADCD-DCAA80B5ECF0}"/>
                </c:ext>
              </c:extLst>
            </c:dLbl>
            <c:dLbl>
              <c:idx val="21"/>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C1A2-4355-ADCD-DCAA80B5ECF0}"/>
                </c:ext>
              </c:extLst>
            </c:dLbl>
            <c:dLbl>
              <c:idx val="2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1A2-4355-ADCD-DCAA80B5ECF0}"/>
                </c:ext>
              </c:extLst>
            </c:dLbl>
            <c:dLbl>
              <c:idx val="23"/>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C1A2-4355-ADCD-DCAA80B5ECF0}"/>
                </c:ext>
              </c:extLst>
            </c:dLbl>
            <c:dLbl>
              <c:idx val="2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EDC-4919-9D2A-21E304A7FBF2}"/>
                </c:ext>
              </c:extLst>
            </c:dLbl>
            <c:dLbl>
              <c:idx val="25"/>
              <c:layout>
                <c:manualLayout>
                  <c:x val="4.2614660142939846E-2"/>
                  <c:y val="-6.1314377436915882E-2"/>
                </c:manualLayout>
              </c:layout>
              <c:tx>
                <c:rich>
                  <a:bodyPr rot="0" spcFirstLastPara="1" vertOverflow="ellipsis" vert="horz" wrap="square" lIns="38100" tIns="19050" rIns="38100" bIns="19050" numCol="1" anchor="ctr" anchorCtr="1">
                    <a:noAutofit/>
                  </a:bodyPr>
                  <a:lstStyle/>
                  <a:p>
                    <a:pPr>
                      <a:defRPr sz="900" b="0" i="0" u="none" strike="noStrike" kern="1200" baseline="0">
                        <a:solidFill>
                          <a:schemeClr val="tx1">
                            <a:lumMod val="75000"/>
                            <a:lumOff val="25000"/>
                          </a:schemeClr>
                        </a:solidFill>
                        <a:latin typeface="+mn-lt"/>
                        <a:ea typeface="+mn-ea"/>
                        <a:cs typeface="+mn-cs"/>
                      </a:defRPr>
                    </a:pPr>
                    <a:fld id="{B37EC8DE-0ECD-4CAC-BBFA-E761FDA076EB}" type="CELLRANGE">
                      <a:rPr lang="en-US" sz="1000"/>
                      <a:pPr>
                        <a:defRPr sz="900" b="0" i="0" u="none" strike="noStrike" kern="1200" baseline="0">
                          <a:solidFill>
                            <a:schemeClr val="tx1">
                              <a:lumMod val="75000"/>
                              <a:lumOff val="25000"/>
                            </a:schemeClr>
                          </a:solidFill>
                          <a:latin typeface="+mn-lt"/>
                          <a:ea typeface="+mn-ea"/>
                          <a:cs typeface="+mn-cs"/>
                        </a:defRPr>
                      </a:pPr>
                      <a:t>[CELLRANGE]</a:t>
                    </a:fld>
                    <a:endParaRPr lang="en-US"/>
                  </a:p>
                </c:rich>
              </c:tx>
              <c:spPr>
                <a:solidFill>
                  <a:sysClr val="window" lastClr="FFFFFF"/>
                </a:solidFill>
                <a:ln>
                  <a:solidFill>
                    <a:schemeClr val="bg1"/>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342978549203529"/>
                      <c:h val="0.18984883301299749"/>
                    </c:manualLayout>
                  </c15:layout>
                  <c15:dlblFieldTable/>
                  <c15:showDataLabelsRange val="1"/>
                </c:ext>
                <c:ext xmlns:c16="http://schemas.microsoft.com/office/drawing/2014/chart" uri="{C3380CC4-5D6E-409C-BE32-E72D297353CC}">
                  <c16:uniqueId val="{0000000D-2EDC-4919-9D2A-21E304A7FBF2}"/>
                </c:ext>
              </c:extLst>
            </c:dLbl>
            <c:dLbl>
              <c:idx val="26"/>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EDC-4919-9D2A-21E304A7FBF2}"/>
                </c:ext>
              </c:extLst>
            </c:dLbl>
            <c:dLbl>
              <c:idx val="27"/>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EDC-4919-9D2A-21E304A7FBF2}"/>
                </c:ext>
              </c:extLst>
            </c:dLbl>
            <c:spPr>
              <a:solidFill>
                <a:sysClr val="window" lastClr="FFFFFF"/>
              </a:solidFill>
              <a:ln>
                <a:solidFill>
                  <a:schemeClr val="bg1"/>
                </a:solidFill>
              </a:ln>
              <a:effectLst/>
            </c:spPr>
            <c:txPr>
              <a:bodyPr rot="0" spcFirstLastPara="1" vertOverflow="ellipsis" vert="horz" wrap="square" lIns="38100" tIns="19050" rIns="38100" bIns="19050" numCol="1"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'F1'!$K$2:$K$29</c:f>
              <c:strCache>
                <c:ptCount val="28"/>
                <c:pt idx="0">
                  <c:v>Jan-20</c:v>
                </c:pt>
                <c:pt idx="1">
                  <c:v>Feb-20</c:v>
                </c:pt>
                <c:pt idx="2">
                  <c:v>Mar-20</c:v>
                </c:pt>
                <c:pt idx="3">
                  <c:v>Apr-20</c:v>
                </c:pt>
                <c:pt idx="4">
                  <c:v>May-20</c:v>
                </c:pt>
                <c:pt idx="5">
                  <c:v>June-20</c:v>
                </c:pt>
                <c:pt idx="6">
                  <c:v>July-20</c:v>
                </c:pt>
                <c:pt idx="7">
                  <c:v>Aug-20</c:v>
                </c:pt>
                <c:pt idx="8">
                  <c:v>Sep-20</c:v>
                </c:pt>
                <c:pt idx="9">
                  <c:v>Oct-20</c:v>
                </c:pt>
                <c:pt idx="10">
                  <c:v>Nov-20</c:v>
                </c:pt>
                <c:pt idx="11">
                  <c:v>Dec-20</c:v>
                </c:pt>
                <c:pt idx="12">
                  <c:v>Jan-21</c:v>
                </c:pt>
                <c:pt idx="13">
                  <c:v>Feb-21</c:v>
                </c:pt>
                <c:pt idx="14">
                  <c:v>Mar-21</c:v>
                </c:pt>
                <c:pt idx="15">
                  <c:v>Apr-21</c:v>
                </c:pt>
                <c:pt idx="16">
                  <c:v>May-21</c:v>
                </c:pt>
                <c:pt idx="17">
                  <c:v>Jun-21</c:v>
                </c:pt>
                <c:pt idx="18">
                  <c:v>Jul-21</c:v>
                </c:pt>
                <c:pt idx="19">
                  <c:v>Aug-21</c:v>
                </c:pt>
                <c:pt idx="20">
                  <c:v>Sep-21</c:v>
                </c:pt>
                <c:pt idx="21">
                  <c:v>Oct-21</c:v>
                </c:pt>
                <c:pt idx="22">
                  <c:v>Nov-21</c:v>
                </c:pt>
                <c:pt idx="23">
                  <c:v>Dec-21</c:v>
                </c:pt>
                <c:pt idx="24">
                  <c:v>Jan-22</c:v>
                </c:pt>
                <c:pt idx="25">
                  <c:v>Feb-22</c:v>
                </c:pt>
                <c:pt idx="26">
                  <c:v>Mar-22</c:v>
                </c:pt>
                <c:pt idx="27">
                  <c:v>Apr-22</c:v>
                </c:pt>
              </c:strCache>
            </c:strRef>
          </c:cat>
          <c:val>
            <c:numRef>
              <c:f>'F1'!$M$2:$M$29</c:f>
              <c:numCache>
                <c:formatCode>General</c:formatCode>
                <c:ptCount val="28"/>
                <c:pt idx="3">
                  <c:v>1</c:v>
                </c:pt>
                <c:pt idx="5">
                  <c:v>-1</c:v>
                </c:pt>
                <c:pt idx="11">
                  <c:v>-1</c:v>
                </c:pt>
                <c:pt idx="12">
                  <c:v>1</c:v>
                </c:pt>
                <c:pt idx="14">
                  <c:v>1</c:v>
                </c:pt>
                <c:pt idx="16">
                  <c:v>-1</c:v>
                </c:pt>
                <c:pt idx="18">
                  <c:v>0</c:v>
                </c:pt>
                <c:pt idx="25">
                  <c:v>0</c:v>
                </c:pt>
              </c:numCache>
            </c:numRef>
          </c:val>
          <c:extLst>
            <c:ext xmlns:c15="http://schemas.microsoft.com/office/drawing/2012/chart" uri="{02D57815-91ED-43cb-92C2-25804820EDAC}">
              <c15:datalabelsRange>
                <c15:f>'F1'!$L$2:$L$27</c15:f>
                <c15:dlblRangeCache>
                  <c:ptCount val="26"/>
                  <c:pt idx="3">
                    <c:v>EIP1 sent</c:v>
                  </c:pt>
                  <c:pt idx="5">
                    <c:v>FPUC ($600)</c:v>
                  </c:pt>
                  <c:pt idx="11">
                    <c:v>PUA/PEUC</c:v>
                  </c:pt>
                  <c:pt idx="12">
                    <c:v>EIP2 sent</c:v>
                  </c:pt>
                  <c:pt idx="14">
                    <c:v>EIP3 sent</c:v>
                  </c:pt>
                  <c:pt idx="16">
                    <c:v>FPUC ($300)</c:v>
                  </c:pt>
                  <c:pt idx="18">
                    <c:v>Advance CTC sent</c:v>
                  </c:pt>
                  <c:pt idx="25">
                    <c:v>2nd Half of Expanded CTC Sent</c:v>
                  </c:pt>
                </c15:dlblRangeCache>
              </c15:datalabelsRange>
            </c:ext>
            <c:ext xmlns:c16="http://schemas.microsoft.com/office/drawing/2014/chart" uri="{C3380CC4-5D6E-409C-BE32-E72D297353CC}">
              <c16:uniqueId val="{00000000-C1A2-4355-ADCD-DCAA80B5ECF0}"/>
            </c:ext>
          </c:extLst>
        </c:ser>
        <c:dLbls>
          <c:showLegendKey val="0"/>
          <c:showVal val="1"/>
          <c:showCatName val="0"/>
          <c:showSerName val="0"/>
          <c:showPercent val="0"/>
          <c:showBubbleSize val="0"/>
        </c:dLbls>
        <c:gapWidth val="266"/>
        <c:overlap val="6"/>
        <c:axId val="205648352"/>
        <c:axId val="218941952"/>
      </c:barChart>
      <c:catAx>
        <c:axId val="205648352"/>
        <c:scaling>
          <c:orientation val="minMax"/>
        </c:scaling>
        <c:delete val="0"/>
        <c:axPos val="b"/>
        <c:numFmt formatCode="General" sourceLinked="1"/>
        <c:majorTickMark val="out"/>
        <c:minorTickMark val="none"/>
        <c:tickLblPos val="nextTo"/>
        <c:spPr>
          <a:noFill/>
          <a:ln w="38100" cap="flat" cmpd="sng" algn="ctr">
            <a:solidFill>
              <a:schemeClr val="accent1">
                <a:shade val="95000"/>
                <a:satMod val="105000"/>
              </a:schemeClr>
            </a:solidFill>
            <a:prstDash val="solid"/>
            <a:round/>
            <a:headEnd type="none" w="med" len="med"/>
            <a:tailEnd type="none" w="med" len="me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218941952"/>
        <c:crosses val="autoZero"/>
        <c:auto val="1"/>
        <c:lblAlgn val="ctr"/>
        <c:lblOffset val="100"/>
        <c:noMultiLvlLbl val="0"/>
      </c:catAx>
      <c:valAx>
        <c:axId val="218941952"/>
        <c:scaling>
          <c:orientation val="minMax"/>
        </c:scaling>
        <c:delete val="1"/>
        <c:axPos val="l"/>
        <c:numFmt formatCode="General" sourceLinked="1"/>
        <c:majorTickMark val="out"/>
        <c:minorTickMark val="none"/>
        <c:tickLblPos val="nextTo"/>
        <c:crossAx val="20564835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'F2'!$R$1</c:f>
              <c:strCache>
                <c:ptCount val="1"/>
                <c:pt idx="0">
                  <c:v>Official Income Poverty </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cat>
            <c:numRef>
              <c:f>'F2'!$Q$3:$Q$10</c:f>
              <c:numCache>
                <c:formatCode>General</c:formatCode>
                <c:ptCount val="8"/>
                <c:pt idx="0">
                  <c:v>2015</c:v>
                </c:pt>
                <c:pt idx="1">
                  <c:v>2016</c:v>
                </c:pt>
                <c:pt idx="2">
                  <c:v>2017</c:v>
                </c:pt>
                <c:pt idx="3">
                  <c:v>2018</c:v>
                </c:pt>
                <c:pt idx="4">
                  <c:v>2019</c:v>
                </c:pt>
                <c:pt idx="5">
                  <c:v>2020</c:v>
                </c:pt>
                <c:pt idx="6">
                  <c:v>2021</c:v>
                </c:pt>
                <c:pt idx="7">
                  <c:v>2022</c:v>
                </c:pt>
              </c:numCache>
            </c:numRef>
          </c:cat>
          <c:val>
            <c:numRef>
              <c:f>'F2'!$R$3:$R$10</c:f>
              <c:numCache>
                <c:formatCode>General</c:formatCode>
                <c:ptCount val="8"/>
                <c:pt idx="0">
                  <c:v>0.13500000000000001</c:v>
                </c:pt>
                <c:pt idx="1">
                  <c:v>0.127</c:v>
                </c:pt>
                <c:pt idx="2">
                  <c:v>0.12300000000000001</c:v>
                </c:pt>
                <c:pt idx="3">
                  <c:v>0.11799999999999999</c:v>
                </c:pt>
                <c:pt idx="4">
                  <c:v>0.105</c:v>
                </c:pt>
                <c:pt idx="5">
                  <c:v>0.115</c:v>
                </c:pt>
                <c:pt idx="6">
                  <c:v>0.11600000000000001</c:v>
                </c:pt>
                <c:pt idx="7">
                  <c:v>0.115</c:v>
                </c:pt>
              </c:numCache>
            </c:numRef>
          </c:val>
          <c:smooth val="0"/>
          <c:extLst>
            <c:ext xmlns:c16="http://schemas.microsoft.com/office/drawing/2014/chart" uri="{C3380CC4-5D6E-409C-BE32-E72D297353CC}">
              <c16:uniqueId val="{00000000-98AA-449A-9F4C-0E23395C0FBF}"/>
            </c:ext>
          </c:extLst>
        </c:ser>
        <c:ser>
          <c:idx val="1"/>
          <c:order val="1"/>
          <c:tx>
            <c:strRef>
              <c:f>'F2'!$S$1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'F2'!$Q$3:$Q$10</c:f>
              <c:numCache>
                <c:formatCode>General</c:formatCode>
                <c:ptCount val="8"/>
                <c:pt idx="0">
                  <c:v>2015</c:v>
                </c:pt>
                <c:pt idx="1">
                  <c:v>2016</c:v>
                </c:pt>
                <c:pt idx="2">
                  <c:v>2017</c:v>
                </c:pt>
                <c:pt idx="3">
                  <c:v>2018</c:v>
                </c:pt>
                <c:pt idx="4">
                  <c:v>2019</c:v>
                </c:pt>
                <c:pt idx="5">
                  <c:v>2020</c:v>
                </c:pt>
                <c:pt idx="6">
                  <c:v>2021</c:v>
                </c:pt>
                <c:pt idx="7">
                  <c:v>2022</c:v>
                </c:pt>
              </c:numCache>
            </c:numRef>
          </c:cat>
          <c:val>
            <c:numRef>
              <c:f>'F2'!$S$3:$S$10</c:f>
              <c:numCache>
                <c:formatCode>General</c:formatCode>
                <c:ptCount val="8"/>
                <c:pt idx="0">
                  <c:v>0.13498726487159729</c:v>
                </c:pt>
                <c:pt idx="1">
                  <c:v>0.12537944316864014</c:v>
                </c:pt>
                <c:pt idx="2">
                  <c:v>0.12367713451385498</c:v>
                </c:pt>
                <c:pt idx="3">
                  <c:v>0.11503075063228607</c:v>
                </c:pt>
                <c:pt idx="4">
                  <c:v>9.9147789180278778E-2</c:v>
                </c:pt>
                <c:pt idx="5">
                  <c:v>8.1074513494968414E-2</c:v>
                </c:pt>
                <c:pt idx="6">
                  <c:v>5.9002634137868881E-2</c:v>
                </c:pt>
                <c:pt idx="7">
                  <c:v>9.5468349754810333E-2</c:v>
                </c:pt>
              </c:numCache>
            </c:numRef>
          </c:val>
          <c:smooth val="0"/>
          <c:extLst>
            <c:ext xmlns:c16="http://schemas.microsoft.com/office/drawing/2014/chart" uri="{C3380CC4-5D6E-409C-BE32-E72D297353CC}">
              <c16:uniqueId val="{00000000-99E7-42DC-92E7-F685FAD11541}"/>
            </c:ext>
          </c:extLst>
        </c:ser>
        <c:ser>
          <c:idx val="3"/>
          <c:order val="2"/>
          <c:tx>
            <c:strRef>
              <c:f>'F2'!$T$1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'F2'!$Q$3:$Q$10</c:f>
              <c:numCache>
                <c:formatCode>General</c:formatCode>
                <c:ptCount val="8"/>
                <c:pt idx="0">
                  <c:v>2015</c:v>
                </c:pt>
                <c:pt idx="1">
                  <c:v>2016</c:v>
                </c:pt>
                <c:pt idx="2">
                  <c:v>2017</c:v>
                </c:pt>
                <c:pt idx="3">
                  <c:v>2018</c:v>
                </c:pt>
                <c:pt idx="4">
                  <c:v>2019</c:v>
                </c:pt>
                <c:pt idx="5">
                  <c:v>2020</c:v>
                </c:pt>
                <c:pt idx="6">
                  <c:v>2021</c:v>
                </c:pt>
                <c:pt idx="7">
                  <c:v>2022</c:v>
                </c:pt>
              </c:numCache>
            </c:numRef>
          </c:cat>
          <c:val>
            <c:numRef>
              <c:f>'F2'!$T$3:$T$10</c:f>
              <c:numCache>
                <c:formatCode>General</c:formatCode>
                <c:ptCount val="8"/>
                <c:pt idx="0">
                  <c:v>0.13497227430343628</c:v>
                </c:pt>
                <c:pt idx="1">
                  <c:v>0.12762996554374695</c:v>
                </c:pt>
                <c:pt idx="2">
                  <c:v>0.12051744014024734</c:v>
                </c:pt>
                <c:pt idx="3">
                  <c:v>0.1081540659070015</c:v>
                </c:pt>
                <c:pt idx="4">
                  <c:v>9.8137892782688141E-2</c:v>
                </c:pt>
                <c:pt idx="5">
                  <c:v>8.137965202331543E-2</c:v>
                </c:pt>
                <c:pt idx="6">
                  <c:v>7.4362434446811676E-2</c:v>
                </c:pt>
                <c:pt idx="7">
                  <c:v>6.0355763882398605E-2</c:v>
                </c:pt>
              </c:numCache>
            </c:numRef>
          </c:val>
          <c:smooth val="0"/>
          <c:extLst>
            <c:ext xmlns:c16="http://schemas.microsoft.com/office/drawing/2014/chart" uri="{C3380CC4-5D6E-409C-BE32-E72D297353CC}">
              <c16:uniqueId val="{00000002-98AA-449A-9F4C-0E23395C0FBF}"/>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646315497691502"/>
          <c:w val="0.28038569717378597"/>
          <c:h val="0.28031288168186896"/>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'F2'!$R$1</c:f>
              <c:strCache>
                <c:ptCount val="1"/>
                <c:pt idx="0">
                  <c:v>Official Income Poverty </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cat>
            <c:numRef>
              <c:f>'F2'!$Q$36:$Q$43</c:f>
              <c:numCache>
                <c:formatCode>General</c:formatCode>
                <c:ptCount val="8"/>
                <c:pt idx="0">
                  <c:v>2015</c:v>
                </c:pt>
                <c:pt idx="1">
                  <c:v>2016</c:v>
                </c:pt>
                <c:pt idx="2">
                  <c:v>2017</c:v>
                </c:pt>
                <c:pt idx="3">
                  <c:v>2018</c:v>
                </c:pt>
                <c:pt idx="4">
                  <c:v>2019</c:v>
                </c:pt>
                <c:pt idx="5">
                  <c:v>2020</c:v>
                </c:pt>
                <c:pt idx="6">
                  <c:v>2021</c:v>
                </c:pt>
                <c:pt idx="7">
                  <c:v>2022</c:v>
                </c:pt>
              </c:numCache>
            </c:numRef>
          </c:cat>
          <c:val>
            <c:numRef>
              <c:f>'F2'!$R$36:$R$43</c:f>
              <c:numCache>
                <c:formatCode>General</c:formatCode>
                <c:ptCount val="8"/>
                <c:pt idx="0">
                  <c:v>0.19699999999999998</c:v>
                </c:pt>
                <c:pt idx="1">
                  <c:v>0.18</c:v>
                </c:pt>
                <c:pt idx="2">
                  <c:v>0.17499999999999999</c:v>
                </c:pt>
                <c:pt idx="3">
                  <c:v>0.16200000000000001</c:v>
                </c:pt>
                <c:pt idx="4">
                  <c:v>0.14399999999999999</c:v>
                </c:pt>
                <c:pt idx="5">
                  <c:v>0.16</c:v>
                </c:pt>
                <c:pt idx="6">
                  <c:v>0.153</c:v>
                </c:pt>
                <c:pt idx="7">
                  <c:v>0.15</c:v>
                </c:pt>
              </c:numCache>
            </c:numRef>
          </c:val>
          <c:smooth val="0"/>
          <c:extLst>
            <c:ext xmlns:c16="http://schemas.microsoft.com/office/drawing/2014/chart" uri="{C3380CC4-5D6E-409C-BE32-E72D297353CC}">
              <c16:uniqueId val="{00000000-091A-417B-B972-5AABA9AAAB1B}"/>
            </c:ext>
          </c:extLst>
        </c:ser>
        <c:ser>
          <c:idx val="1"/>
          <c:order val="1"/>
          <c:tx>
            <c:strRef>
              <c:f>'F2'!$S$1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'F2'!$Q$36:$Q$43</c:f>
              <c:numCache>
                <c:formatCode>General</c:formatCode>
                <c:ptCount val="8"/>
                <c:pt idx="0">
                  <c:v>2015</c:v>
                </c:pt>
                <c:pt idx="1">
                  <c:v>2016</c:v>
                </c:pt>
                <c:pt idx="2">
                  <c:v>2017</c:v>
                </c:pt>
                <c:pt idx="3">
                  <c:v>2018</c:v>
                </c:pt>
                <c:pt idx="4">
                  <c:v>2019</c:v>
                </c:pt>
                <c:pt idx="5">
                  <c:v>2020</c:v>
                </c:pt>
                <c:pt idx="6">
                  <c:v>2021</c:v>
                </c:pt>
                <c:pt idx="7">
                  <c:v>2022</c:v>
                </c:pt>
              </c:numCache>
            </c:numRef>
          </c:cat>
          <c:val>
            <c:numRef>
              <c:f>'F2'!$S$36:$S$43</c:f>
              <c:numCache>
                <c:formatCode>General</c:formatCode>
                <c:ptCount val="8"/>
                <c:pt idx="0">
                  <c:v>0.16347445547580719</c:v>
                </c:pt>
                <c:pt idx="1">
                  <c:v>0.14859388768672943</c:v>
                </c:pt>
                <c:pt idx="2">
                  <c:v>0.1460513174533844</c:v>
                </c:pt>
                <c:pt idx="3">
                  <c:v>0.13027502596378326</c:v>
                </c:pt>
                <c:pt idx="4">
                  <c:v>0.1119672879576683</c:v>
                </c:pt>
                <c:pt idx="5">
                  <c:v>9.3758024275302887E-2</c:v>
                </c:pt>
                <c:pt idx="6">
                  <c:v>5.2612371742725372E-2</c:v>
                </c:pt>
                <c:pt idx="7">
                  <c:v>9.3960724771022797E-2</c:v>
                </c:pt>
              </c:numCache>
            </c:numRef>
          </c:val>
          <c:smooth val="0"/>
          <c:extLst>
            <c:ext xmlns:c16="http://schemas.microsoft.com/office/drawing/2014/chart" uri="{C3380CC4-5D6E-409C-BE32-E72D297353CC}">
              <c16:uniqueId val="{00000002-091A-417B-B972-5AABA9AAAB1B}"/>
            </c:ext>
          </c:extLst>
        </c:ser>
        <c:ser>
          <c:idx val="3"/>
          <c:order val="2"/>
          <c:tx>
            <c:strRef>
              <c:f>'F2'!$T$1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'F2'!$Q$36:$Q$43</c:f>
              <c:numCache>
                <c:formatCode>General</c:formatCode>
                <c:ptCount val="8"/>
                <c:pt idx="0">
                  <c:v>2015</c:v>
                </c:pt>
                <c:pt idx="1">
                  <c:v>2016</c:v>
                </c:pt>
                <c:pt idx="2">
                  <c:v>2017</c:v>
                </c:pt>
                <c:pt idx="3">
                  <c:v>2018</c:v>
                </c:pt>
                <c:pt idx="4">
                  <c:v>2019</c:v>
                </c:pt>
                <c:pt idx="5">
                  <c:v>2020</c:v>
                </c:pt>
                <c:pt idx="6">
                  <c:v>2021</c:v>
                </c:pt>
                <c:pt idx="7">
                  <c:v>2022</c:v>
                </c:pt>
              </c:numCache>
            </c:numRef>
          </c:cat>
          <c:val>
            <c:numRef>
              <c:f>'F2'!$T$36:$T$43</c:f>
              <c:numCache>
                <c:formatCode>General</c:formatCode>
                <c:ptCount val="8"/>
                <c:pt idx="0">
                  <c:v>0.19632710516452789</c:v>
                </c:pt>
                <c:pt idx="1">
                  <c:v>0.18557238578796387</c:v>
                </c:pt>
                <c:pt idx="2">
                  <c:v>0.17667238414287567</c:v>
                </c:pt>
                <c:pt idx="3">
                  <c:v>0.16292569041252136</c:v>
                </c:pt>
                <c:pt idx="4">
                  <c:v>0.14649122953414917</c:v>
                </c:pt>
                <c:pt idx="5">
                  <c:v>0.11599357426166534</c:v>
                </c:pt>
                <c:pt idx="6">
                  <c:v>0.11006379127502441</c:v>
                </c:pt>
                <c:pt idx="7">
                  <c:v>8.5189618170261383E-2</c:v>
                </c:pt>
              </c:numCache>
            </c:numRef>
          </c:val>
          <c:smooth val="0"/>
          <c:extLst>
            <c:ext xmlns:c16="http://schemas.microsoft.com/office/drawing/2014/chart" uri="{C3380CC4-5D6E-409C-BE32-E72D297353CC}">
              <c16:uniqueId val="{00000003-091A-417B-B972-5AABA9AAAB1B}"/>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8663375766274528"/>
          <c:w val="0.27885254524453323"/>
          <c:h val="0.2600829270269175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'F3'!$R$1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'F3'!$Q$3:$Q$10</c:f>
              <c:numCache>
                <c:formatCode>General</c:formatCode>
                <c:ptCount val="8"/>
                <c:pt idx="0">
                  <c:v>2015</c:v>
                </c:pt>
                <c:pt idx="1">
                  <c:v>2016</c:v>
                </c:pt>
                <c:pt idx="2">
                  <c:v>2017</c:v>
                </c:pt>
                <c:pt idx="3">
                  <c:v>2018</c:v>
                </c:pt>
                <c:pt idx="4">
                  <c:v>2019</c:v>
                </c:pt>
                <c:pt idx="5">
                  <c:v>2020</c:v>
                </c:pt>
                <c:pt idx="6">
                  <c:v>2021</c:v>
                </c:pt>
                <c:pt idx="7">
                  <c:v>2022</c:v>
                </c:pt>
              </c:numCache>
            </c:numRef>
          </c:cat>
          <c:val>
            <c:numRef>
              <c:f>'F3'!$R$3:$R$10</c:f>
              <c:numCache>
                <c:formatCode>General</c:formatCode>
                <c:ptCount val="8"/>
                <c:pt idx="0">
                  <c:v>4.5662563294172287E-2</c:v>
                </c:pt>
                <c:pt idx="1">
                  <c:v>4.4127963483333588E-2</c:v>
                </c:pt>
                <c:pt idx="2">
                  <c:v>4.4758569449186325E-2</c:v>
                </c:pt>
                <c:pt idx="3">
                  <c:v>4.0445730090141296E-2</c:v>
                </c:pt>
                <c:pt idx="4">
                  <c:v>3.657073900103569E-2</c:v>
                </c:pt>
                <c:pt idx="5">
                  <c:v>3.2747022807598114E-2</c:v>
                </c:pt>
                <c:pt idx="6">
                  <c:v>2.308245562016964E-2</c:v>
                </c:pt>
                <c:pt idx="7">
                  <c:v>3.7659462541341782E-2</c:v>
                </c:pt>
              </c:numCache>
            </c:numRef>
          </c:val>
          <c:smooth val="0"/>
          <c:extLst>
            <c:ext xmlns:c16="http://schemas.microsoft.com/office/drawing/2014/chart" uri="{C3380CC4-5D6E-409C-BE32-E72D297353CC}">
              <c16:uniqueId val="{00000001-92BA-4693-854C-61E30413C776}"/>
            </c:ext>
          </c:extLst>
        </c:ser>
        <c:ser>
          <c:idx val="3"/>
          <c:order val="1"/>
          <c:tx>
            <c:strRef>
              <c:f>'F3'!$S$1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'F3'!$Q$3:$Q$10</c:f>
              <c:numCache>
                <c:formatCode>General</c:formatCode>
                <c:ptCount val="8"/>
                <c:pt idx="0">
                  <c:v>2015</c:v>
                </c:pt>
                <c:pt idx="1">
                  <c:v>2016</c:v>
                </c:pt>
                <c:pt idx="2">
                  <c:v>2017</c:v>
                </c:pt>
                <c:pt idx="3">
                  <c:v>2018</c:v>
                </c:pt>
                <c:pt idx="4">
                  <c:v>2019</c:v>
                </c:pt>
                <c:pt idx="5">
                  <c:v>2020</c:v>
                </c:pt>
                <c:pt idx="6">
                  <c:v>2021</c:v>
                </c:pt>
                <c:pt idx="7">
                  <c:v>2022</c:v>
                </c:pt>
              </c:numCache>
            </c:numRef>
          </c:cat>
          <c:val>
            <c:numRef>
              <c:f>'F3'!$S$3:$S$10</c:f>
              <c:numCache>
                <c:formatCode>General</c:formatCode>
                <c:ptCount val="8"/>
                <c:pt idx="0">
                  <c:v>1.1823611333966255E-2</c:v>
                </c:pt>
                <c:pt idx="1">
                  <c:v>1.0587689466774464E-2</c:v>
                </c:pt>
                <c:pt idx="2">
                  <c:v>9.4297714531421661E-3</c:v>
                </c:pt>
                <c:pt idx="3">
                  <c:v>1.2188548222184181E-2</c:v>
                </c:pt>
                <c:pt idx="4">
                  <c:v>7.5435270555317402E-3</c:v>
                </c:pt>
                <c:pt idx="5">
                  <c:v>4.9539110623300076E-3</c:v>
                </c:pt>
                <c:pt idx="6">
                  <c:v>5.9892148710787296E-3</c:v>
                </c:pt>
                <c:pt idx="7">
                  <c:v>3.7338538095355034E-3</c:v>
                </c:pt>
              </c:numCache>
            </c:numRef>
          </c:val>
          <c:smooth val="0"/>
          <c:extLst>
            <c:ext xmlns:c16="http://schemas.microsoft.com/office/drawing/2014/chart" uri="{C3380CC4-5D6E-409C-BE32-E72D297353CC}">
              <c16:uniqueId val="{00000002-92BA-4693-854C-61E30413C776}"/>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1.0000000000000002E-2"/>
      </c:valAx>
      <c:spPr>
        <a:solidFill>
          <a:srgbClr val="FFFFFF"/>
        </a:solidFill>
        <a:ln w="12700">
          <a:solidFill>
            <a:srgbClr val="808080"/>
          </a:solidFill>
          <a:prstDash val="solid"/>
        </a:ln>
      </c:spPr>
    </c:plotArea>
    <c:legend>
      <c:legendPos val="r"/>
      <c:layout>
        <c:manualLayout>
          <c:xMode val="edge"/>
          <c:yMode val="edge"/>
          <c:x val="8.2752646573383937E-2"/>
          <c:y val="0.3889090164307496"/>
          <c:w val="0.27584265581096745"/>
          <c:h val="0.20351398916141053"/>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'F3'!$R$1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'F3'!$Q$36:$Q$43</c:f>
              <c:numCache>
                <c:formatCode>General</c:formatCode>
                <c:ptCount val="8"/>
                <c:pt idx="0">
                  <c:v>2015</c:v>
                </c:pt>
                <c:pt idx="1">
                  <c:v>2016</c:v>
                </c:pt>
                <c:pt idx="2">
                  <c:v>2017</c:v>
                </c:pt>
                <c:pt idx="3">
                  <c:v>2018</c:v>
                </c:pt>
                <c:pt idx="4">
                  <c:v>2019</c:v>
                </c:pt>
                <c:pt idx="5">
                  <c:v>2020</c:v>
                </c:pt>
                <c:pt idx="6">
                  <c:v>2021</c:v>
                </c:pt>
                <c:pt idx="7">
                  <c:v>2022</c:v>
                </c:pt>
              </c:numCache>
            </c:numRef>
          </c:cat>
          <c:val>
            <c:numRef>
              <c:f>'F3'!$R$36:$R$43</c:f>
              <c:numCache>
                <c:formatCode>General</c:formatCode>
                <c:ptCount val="8"/>
                <c:pt idx="0">
                  <c:v>5.369262769818306E-2</c:v>
                </c:pt>
                <c:pt idx="1">
                  <c:v>5.0144597887992859E-2</c:v>
                </c:pt>
                <c:pt idx="2">
                  <c:v>5.2510876208543777E-2</c:v>
                </c:pt>
                <c:pt idx="3">
                  <c:v>4.1184015572071075E-2</c:v>
                </c:pt>
                <c:pt idx="4">
                  <c:v>4.075191542506218E-2</c:v>
                </c:pt>
                <c:pt idx="5">
                  <c:v>3.6967840045690536E-2</c:v>
                </c:pt>
                <c:pt idx="6">
                  <c:v>1.5337897464632988E-2</c:v>
                </c:pt>
                <c:pt idx="7">
                  <c:v>3.1811483204364777E-2</c:v>
                </c:pt>
              </c:numCache>
            </c:numRef>
          </c:val>
          <c:smooth val="0"/>
          <c:extLst>
            <c:ext xmlns:c16="http://schemas.microsoft.com/office/drawing/2014/chart" uri="{C3380CC4-5D6E-409C-BE32-E72D297353CC}">
              <c16:uniqueId val="{00000001-4DA6-4344-998D-D07977F1427B}"/>
            </c:ext>
          </c:extLst>
        </c:ser>
        <c:ser>
          <c:idx val="3"/>
          <c:order val="1"/>
          <c:tx>
            <c:strRef>
              <c:f>'F3'!$S$1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'F3'!$Q$36:$Q$43</c:f>
              <c:numCache>
                <c:formatCode>General</c:formatCode>
                <c:ptCount val="8"/>
                <c:pt idx="0">
                  <c:v>2015</c:v>
                </c:pt>
                <c:pt idx="1">
                  <c:v>2016</c:v>
                </c:pt>
                <c:pt idx="2">
                  <c:v>2017</c:v>
                </c:pt>
                <c:pt idx="3">
                  <c:v>2018</c:v>
                </c:pt>
                <c:pt idx="4">
                  <c:v>2019</c:v>
                </c:pt>
                <c:pt idx="5">
                  <c:v>2020</c:v>
                </c:pt>
                <c:pt idx="6">
                  <c:v>2021</c:v>
                </c:pt>
                <c:pt idx="7">
                  <c:v>2022</c:v>
                </c:pt>
              </c:numCache>
            </c:numRef>
          </c:cat>
          <c:val>
            <c:numRef>
              <c:f>'F3'!$S$36:$S$43</c:f>
              <c:numCache>
                <c:formatCode>General</c:formatCode>
                <c:ptCount val="8"/>
                <c:pt idx="0">
                  <c:v>1.7236499115824699E-2</c:v>
                </c:pt>
                <c:pt idx="1">
                  <c:v>1.2069707736372948E-2</c:v>
                </c:pt>
                <c:pt idx="2">
                  <c:v>9.5623861998319626E-3</c:v>
                </c:pt>
                <c:pt idx="3">
                  <c:v>1.3531493954360485E-2</c:v>
                </c:pt>
                <c:pt idx="4">
                  <c:v>7.9787708818912506E-3</c:v>
                </c:pt>
                <c:pt idx="5">
                  <c:v>5.9060687199234962E-3</c:v>
                </c:pt>
                <c:pt idx="6">
                  <c:v>5.9231729246675968E-3</c:v>
                </c:pt>
                <c:pt idx="7">
                  <c:v>4.0578390471637249E-3</c:v>
                </c:pt>
              </c:numCache>
            </c:numRef>
          </c:val>
          <c:smooth val="0"/>
          <c:extLst>
            <c:ext xmlns:c16="http://schemas.microsoft.com/office/drawing/2014/chart" uri="{C3380CC4-5D6E-409C-BE32-E72D297353CC}">
              <c16:uniqueId val="{00000002-4DA6-4344-998D-D07977F1427B}"/>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4072417879416106E-2"/>
          <c:y val="0.36607823972537429"/>
          <c:w val="0.27584892296331365"/>
          <c:h val="0.2287633210904798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'F4'!$R$1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'F4'!$Q$3:$Q$10</c:f>
              <c:numCache>
                <c:formatCode>General</c:formatCode>
                <c:ptCount val="8"/>
                <c:pt idx="0">
                  <c:v>2015</c:v>
                </c:pt>
                <c:pt idx="1">
                  <c:v>2016</c:v>
                </c:pt>
                <c:pt idx="2">
                  <c:v>2017</c:v>
                </c:pt>
                <c:pt idx="3">
                  <c:v>2018</c:v>
                </c:pt>
                <c:pt idx="4">
                  <c:v>2019</c:v>
                </c:pt>
                <c:pt idx="5">
                  <c:v>2020</c:v>
                </c:pt>
                <c:pt idx="6">
                  <c:v>2021</c:v>
                </c:pt>
                <c:pt idx="7">
                  <c:v>2022</c:v>
                </c:pt>
              </c:numCache>
            </c:numRef>
          </c:cat>
          <c:val>
            <c:numRef>
              <c:f>'F4'!$R$3:$R$10</c:f>
              <c:numCache>
                <c:formatCode>General</c:formatCode>
                <c:ptCount val="8"/>
                <c:pt idx="0">
                  <c:v>0.30526316165924072</c:v>
                </c:pt>
                <c:pt idx="1">
                  <c:v>0.28609538078308105</c:v>
                </c:pt>
                <c:pt idx="2">
                  <c:v>0.28313791751861572</c:v>
                </c:pt>
                <c:pt idx="3">
                  <c:v>0.26979297399520874</c:v>
                </c:pt>
                <c:pt idx="4">
                  <c:v>0.23347868025302887</c:v>
                </c:pt>
                <c:pt idx="5">
                  <c:v>0.18222735822200775</c:v>
                </c:pt>
                <c:pt idx="6">
                  <c:v>0.14341311156749725</c:v>
                </c:pt>
                <c:pt idx="7">
                  <c:v>0.22834785282611847</c:v>
                </c:pt>
              </c:numCache>
            </c:numRef>
          </c:val>
          <c:smooth val="0"/>
          <c:extLst>
            <c:ext xmlns:c16="http://schemas.microsoft.com/office/drawing/2014/chart" uri="{C3380CC4-5D6E-409C-BE32-E72D297353CC}">
              <c16:uniqueId val="{00000000-04AA-4F28-AFB3-E8FAE6B827AE}"/>
            </c:ext>
          </c:extLst>
        </c:ser>
        <c:ser>
          <c:idx val="3"/>
          <c:order val="1"/>
          <c:tx>
            <c:strRef>
              <c:f>'F4'!$S$1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'F4'!$Q$3:$Q$10</c:f>
              <c:numCache>
                <c:formatCode>General</c:formatCode>
                <c:ptCount val="8"/>
                <c:pt idx="0">
                  <c:v>2015</c:v>
                </c:pt>
                <c:pt idx="1">
                  <c:v>2016</c:v>
                </c:pt>
                <c:pt idx="2">
                  <c:v>2017</c:v>
                </c:pt>
                <c:pt idx="3">
                  <c:v>2018</c:v>
                </c:pt>
                <c:pt idx="4">
                  <c:v>2019</c:v>
                </c:pt>
                <c:pt idx="5">
                  <c:v>2020</c:v>
                </c:pt>
                <c:pt idx="6">
                  <c:v>2021</c:v>
                </c:pt>
                <c:pt idx="7">
                  <c:v>2022</c:v>
                </c:pt>
              </c:numCache>
            </c:numRef>
          </c:cat>
          <c:val>
            <c:numRef>
              <c:f>'F4'!$S$3:$S$10</c:f>
              <c:numCache>
                <c:formatCode>General</c:formatCode>
                <c:ptCount val="8"/>
                <c:pt idx="0">
                  <c:v>0.37156638503074646</c:v>
                </c:pt>
                <c:pt idx="1">
                  <c:v>0.35575592517852783</c:v>
                </c:pt>
                <c:pt idx="2">
                  <c:v>0.33884268999099731</c:v>
                </c:pt>
                <c:pt idx="3">
                  <c:v>0.31742158532142639</c:v>
                </c:pt>
                <c:pt idx="4">
                  <c:v>0.30162572860717773</c:v>
                </c:pt>
                <c:pt idx="5">
                  <c:v>0.2867259681224823</c:v>
                </c:pt>
                <c:pt idx="6">
                  <c:v>0.25290259718894958</c:v>
                </c:pt>
                <c:pt idx="7">
                  <c:v>0.22680014371871948</c:v>
                </c:pt>
              </c:numCache>
            </c:numRef>
          </c:val>
          <c:smooth val="0"/>
          <c:extLst>
            <c:ext xmlns:c16="http://schemas.microsoft.com/office/drawing/2014/chart" uri="{C3380CC4-5D6E-409C-BE32-E72D297353CC}">
              <c16:uniqueId val="{00000001-04AA-4F28-AFB3-E8FAE6B827AE}"/>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646315497691502"/>
          <c:w val="0.2809902960194709"/>
          <c:h val="0.28031288168186896"/>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'F4'!$R$1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'F4'!$Q$36:$Q$43</c:f>
              <c:numCache>
                <c:formatCode>General</c:formatCode>
                <c:ptCount val="8"/>
                <c:pt idx="0">
                  <c:v>2015</c:v>
                </c:pt>
                <c:pt idx="1">
                  <c:v>2016</c:v>
                </c:pt>
                <c:pt idx="2">
                  <c:v>2017</c:v>
                </c:pt>
                <c:pt idx="3">
                  <c:v>2018</c:v>
                </c:pt>
                <c:pt idx="4">
                  <c:v>2019</c:v>
                </c:pt>
                <c:pt idx="5">
                  <c:v>2020</c:v>
                </c:pt>
                <c:pt idx="6">
                  <c:v>2021</c:v>
                </c:pt>
                <c:pt idx="7">
                  <c:v>2022</c:v>
                </c:pt>
              </c:numCache>
            </c:numRef>
          </c:cat>
          <c:val>
            <c:numRef>
              <c:f>'F4'!$R$36:$R$43</c:f>
              <c:numCache>
                <c:formatCode>General</c:formatCode>
                <c:ptCount val="8"/>
                <c:pt idx="0">
                  <c:v>0.38593986630439758</c:v>
                </c:pt>
                <c:pt idx="1">
                  <c:v>0.35979250073432922</c:v>
                </c:pt>
                <c:pt idx="2">
                  <c:v>0.35975271463394165</c:v>
                </c:pt>
                <c:pt idx="3">
                  <c:v>0.34645983576774597</c:v>
                </c:pt>
                <c:pt idx="4">
                  <c:v>0.29094871878623962</c:v>
                </c:pt>
                <c:pt idx="5">
                  <c:v>0.21396948397159576</c:v>
                </c:pt>
                <c:pt idx="6">
                  <c:v>0.13628141582012177</c:v>
                </c:pt>
                <c:pt idx="7">
                  <c:v>0.27643540501594543</c:v>
                </c:pt>
              </c:numCache>
            </c:numRef>
          </c:val>
          <c:smooth val="0"/>
          <c:extLst>
            <c:ext xmlns:c16="http://schemas.microsoft.com/office/drawing/2014/chart" uri="{C3380CC4-5D6E-409C-BE32-E72D297353CC}">
              <c16:uniqueId val="{00000000-1B2A-4D94-82DE-9259CD03A6AD}"/>
            </c:ext>
          </c:extLst>
        </c:ser>
        <c:ser>
          <c:idx val="3"/>
          <c:order val="1"/>
          <c:tx>
            <c:strRef>
              <c:f>'F4'!$S$1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'F4'!$Q$36:$Q$43</c:f>
              <c:numCache>
                <c:formatCode>General</c:formatCode>
                <c:ptCount val="8"/>
                <c:pt idx="0">
                  <c:v>2015</c:v>
                </c:pt>
                <c:pt idx="1">
                  <c:v>2016</c:v>
                </c:pt>
                <c:pt idx="2">
                  <c:v>2017</c:v>
                </c:pt>
                <c:pt idx="3">
                  <c:v>2018</c:v>
                </c:pt>
                <c:pt idx="4">
                  <c:v>2019</c:v>
                </c:pt>
                <c:pt idx="5">
                  <c:v>2020</c:v>
                </c:pt>
                <c:pt idx="6">
                  <c:v>2021</c:v>
                </c:pt>
                <c:pt idx="7">
                  <c:v>2022</c:v>
                </c:pt>
              </c:numCache>
            </c:numRef>
          </c:cat>
          <c:val>
            <c:numRef>
              <c:f>'F4'!$S$36:$S$43</c:f>
              <c:numCache>
                <c:formatCode>General</c:formatCode>
                <c:ptCount val="8"/>
                <c:pt idx="0">
                  <c:v>0.48551803827285767</c:v>
                </c:pt>
                <c:pt idx="1">
                  <c:v>0.46311458945274353</c:v>
                </c:pt>
                <c:pt idx="2">
                  <c:v>0.44841480255126953</c:v>
                </c:pt>
                <c:pt idx="3">
                  <c:v>0.4315483570098877</c:v>
                </c:pt>
                <c:pt idx="4">
                  <c:v>0.41082015633583069</c:v>
                </c:pt>
                <c:pt idx="5">
                  <c:v>0.38369384407997131</c:v>
                </c:pt>
                <c:pt idx="6">
                  <c:v>0.33763590455055237</c:v>
                </c:pt>
                <c:pt idx="7">
                  <c:v>0.3109530508518219</c:v>
                </c:pt>
              </c:numCache>
            </c:numRef>
          </c:val>
          <c:smooth val="0"/>
          <c:extLst>
            <c:ext xmlns:c16="http://schemas.microsoft.com/office/drawing/2014/chart" uri="{C3380CC4-5D6E-409C-BE32-E72D297353CC}">
              <c16:uniqueId val="{00000001-1B2A-4D94-82DE-9259CD03A6AD}"/>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9428192890802611"/>
          <c:w val="0.2809667673716012"/>
          <c:h val="0.25243482232025011"/>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'F5'!$R$2</c:f>
              <c:strCache>
                <c:ptCount val="1"/>
                <c:pt idx="0">
                  <c:v>Income - Decreased</c:v>
                </c:pt>
              </c:strCache>
            </c:strRef>
          </c:tx>
          <c:spPr>
            <a:ln>
              <a:solidFill>
                <a:srgbClr val="0070C0"/>
              </a:solidFill>
            </a:ln>
          </c:spPr>
          <c:marker>
            <c:symbol val="square"/>
            <c:size val="7"/>
            <c:spPr>
              <a:solidFill>
                <a:srgbClr val="0070C0"/>
              </a:solidFill>
              <a:ln>
                <a:solidFill>
                  <a:srgbClr val="0070C0"/>
                </a:solidFill>
              </a:ln>
            </c:spPr>
          </c:marker>
          <c:dPt>
            <c:idx val="2"/>
            <c:marker>
              <c:symbol val="square"/>
              <c:size val="8"/>
            </c:marker>
            <c:bubble3D val="0"/>
            <c:extLst>
              <c:ext xmlns:c16="http://schemas.microsoft.com/office/drawing/2014/chart" uri="{C3380CC4-5D6E-409C-BE32-E72D297353CC}">
                <c16:uniqueId val="{00000000-A048-4C3C-8F02-EEE89B82D098}"/>
              </c:ext>
            </c:extLst>
          </c:dPt>
          <c:cat>
            <c:numRef>
              <c:f>'F5'!$Q$8:$Q$11</c:f>
              <c:numCache>
                <c:formatCode>General</c:formatCode>
                <c:ptCount val="4"/>
                <c:pt idx="0">
                  <c:v>2020</c:v>
                </c:pt>
                <c:pt idx="1">
                  <c:v>2021</c:v>
                </c:pt>
                <c:pt idx="2">
                  <c:v>2022</c:v>
                </c:pt>
                <c:pt idx="3">
                  <c:v>2023</c:v>
                </c:pt>
              </c:numCache>
            </c:numRef>
          </c:cat>
          <c:val>
            <c:numRef>
              <c:f>'F5'!$R$8:$R$11</c:f>
              <c:numCache>
                <c:formatCode>General</c:formatCode>
                <c:ptCount val="4"/>
                <c:pt idx="0">
                  <c:v>0.20483137667179108</c:v>
                </c:pt>
                <c:pt idx="1">
                  <c:v>0.14686320722103119</c:v>
                </c:pt>
                <c:pt idx="2">
                  <c:v>0.14615604281425476</c:v>
                </c:pt>
                <c:pt idx="3">
                  <c:v>0.15064653754234314</c:v>
                </c:pt>
              </c:numCache>
            </c:numRef>
          </c:val>
          <c:smooth val="0"/>
          <c:extLst>
            <c:ext xmlns:c16="http://schemas.microsoft.com/office/drawing/2014/chart" uri="{C3380CC4-5D6E-409C-BE32-E72D297353CC}">
              <c16:uniqueId val="{00000001-A048-4C3C-8F02-EEE89B82D098}"/>
            </c:ext>
          </c:extLst>
        </c:ser>
        <c:ser>
          <c:idx val="6"/>
          <c:order val="1"/>
          <c:tx>
            <c:strRef>
              <c:f>'F5'!$S$2</c:f>
              <c:strCache>
                <c:ptCount val="1"/>
                <c:pt idx="0">
                  <c:v>Income - About the same</c:v>
                </c:pt>
              </c:strCache>
            </c:strRef>
          </c:tx>
          <c:spPr>
            <a:ln w="34925">
              <a:solidFill>
                <a:schemeClr val="accent3"/>
              </a:solidFill>
            </a:ln>
          </c:spPr>
          <c:marker>
            <c:symbol val="triangle"/>
            <c:size val="8"/>
            <c:spPr>
              <a:solidFill>
                <a:schemeClr val="accent3"/>
              </a:solidFill>
              <a:ln>
                <a:solidFill>
                  <a:schemeClr val="accent3"/>
                </a:solidFill>
              </a:ln>
            </c:spPr>
          </c:marker>
          <c:cat>
            <c:numRef>
              <c:f>'F5'!$Q$8:$Q$11</c:f>
              <c:numCache>
                <c:formatCode>General</c:formatCode>
                <c:ptCount val="4"/>
                <c:pt idx="0">
                  <c:v>2020</c:v>
                </c:pt>
                <c:pt idx="1">
                  <c:v>2021</c:v>
                </c:pt>
                <c:pt idx="2">
                  <c:v>2022</c:v>
                </c:pt>
                <c:pt idx="3">
                  <c:v>2023</c:v>
                </c:pt>
              </c:numCache>
            </c:numRef>
          </c:cat>
          <c:val>
            <c:numRef>
              <c:f>'F5'!$S$8:$S$11</c:f>
              <c:numCache>
                <c:formatCode>General</c:formatCode>
                <c:ptCount val="4"/>
                <c:pt idx="0">
                  <c:v>0.6073954701423645</c:v>
                </c:pt>
                <c:pt idx="1">
                  <c:v>0.64378291368484497</c:v>
                </c:pt>
                <c:pt idx="2">
                  <c:v>0.6093825101852417</c:v>
                </c:pt>
                <c:pt idx="3">
                  <c:v>0.57914644479751587</c:v>
                </c:pt>
              </c:numCache>
            </c:numRef>
          </c:val>
          <c:smooth val="0"/>
          <c:extLst>
            <c:ext xmlns:c16="http://schemas.microsoft.com/office/drawing/2014/chart" uri="{C3380CC4-5D6E-409C-BE32-E72D297353CC}">
              <c16:uniqueId val="{00000002-A048-4C3C-8F02-EEE89B82D098}"/>
            </c:ext>
          </c:extLst>
        </c:ser>
        <c:ser>
          <c:idx val="1"/>
          <c:order val="2"/>
          <c:tx>
            <c:strRef>
              <c:f>'F5'!$T$2</c:f>
              <c:strCache>
                <c:ptCount val="1"/>
                <c:pt idx="0">
                  <c:v>Income - Increased</c:v>
                </c:pt>
              </c:strCache>
            </c:strRef>
          </c:tx>
          <c:spPr>
            <a:ln w="34925"/>
          </c:spPr>
          <c:marker>
            <c:symbol val="circle"/>
            <c:size val="8"/>
          </c:marker>
          <c:cat>
            <c:numRef>
              <c:f>'F5'!$Q$8:$Q$11</c:f>
              <c:numCache>
                <c:formatCode>General</c:formatCode>
                <c:ptCount val="4"/>
                <c:pt idx="0">
                  <c:v>2020</c:v>
                </c:pt>
                <c:pt idx="1">
                  <c:v>2021</c:v>
                </c:pt>
                <c:pt idx="2">
                  <c:v>2022</c:v>
                </c:pt>
                <c:pt idx="3">
                  <c:v>2023</c:v>
                </c:pt>
              </c:numCache>
            </c:numRef>
          </c:cat>
          <c:val>
            <c:numRef>
              <c:f>'F5'!$T$8:$T$11</c:f>
              <c:numCache>
                <c:formatCode>General</c:formatCode>
                <c:ptCount val="4"/>
                <c:pt idx="0">
                  <c:v>0.18372367322444916</c:v>
                </c:pt>
                <c:pt idx="1">
                  <c:v>0.20935389399528503</c:v>
                </c:pt>
                <c:pt idx="2">
                  <c:v>0.24446141719818115</c:v>
                </c:pt>
                <c:pt idx="3">
                  <c:v>0.2702069878578186</c:v>
                </c:pt>
              </c:numCache>
            </c:numRef>
          </c:val>
          <c:smooth val="0"/>
          <c:extLst>
            <c:ext xmlns:c16="http://schemas.microsoft.com/office/drawing/2014/chart" uri="{C3380CC4-5D6E-409C-BE32-E72D297353CC}">
              <c16:uniqueId val="{00000003-A048-4C3C-8F02-EEE89B82D098}"/>
            </c:ext>
          </c:extLst>
        </c:ser>
        <c:ser>
          <c:idx val="5"/>
          <c:order val="3"/>
          <c:tx>
            <c:strRef>
              <c:f>'F5'!$U$2</c:f>
              <c:strCache>
                <c:ptCount val="1"/>
                <c:pt idx="0">
                  <c:v>Spending - Decreased</c:v>
                </c:pt>
              </c:strCache>
            </c:strRef>
          </c:tx>
          <c:spPr>
            <a:ln w="38100">
              <a:solidFill>
                <a:srgbClr val="FF0000"/>
              </a:solidFill>
              <a:prstDash val="solid"/>
            </a:ln>
          </c:spPr>
          <c:marker>
            <c:symbol val="square"/>
            <c:size val="8"/>
            <c:spPr>
              <a:noFill/>
              <a:ln>
                <a:solidFill>
                  <a:srgbClr val="FF0000"/>
                </a:solidFill>
                <a:prstDash val="solid"/>
              </a:ln>
            </c:spPr>
          </c:marker>
          <c:cat>
            <c:numRef>
              <c:f>'F5'!$Q$8:$Q$11</c:f>
              <c:numCache>
                <c:formatCode>General</c:formatCode>
                <c:ptCount val="4"/>
                <c:pt idx="0">
                  <c:v>2020</c:v>
                </c:pt>
                <c:pt idx="1">
                  <c:v>2021</c:v>
                </c:pt>
                <c:pt idx="2">
                  <c:v>2022</c:v>
                </c:pt>
                <c:pt idx="3">
                  <c:v>2023</c:v>
                </c:pt>
              </c:numCache>
            </c:numRef>
          </c:cat>
          <c:val>
            <c:numRef>
              <c:f>'F5'!$U$8:$U$11</c:f>
              <c:numCache>
                <c:formatCode>General</c:formatCode>
                <c:ptCount val="4"/>
                <c:pt idx="0">
                  <c:v>0.18083064258098602</c:v>
                </c:pt>
                <c:pt idx="1">
                  <c:v>0.1276785135269165</c:v>
                </c:pt>
                <c:pt idx="2">
                  <c:v>0.11607874929904938</c:v>
                </c:pt>
                <c:pt idx="3">
                  <c:v>0.1113661527633667</c:v>
                </c:pt>
              </c:numCache>
            </c:numRef>
          </c:val>
          <c:smooth val="0"/>
          <c:extLst>
            <c:ext xmlns:c16="http://schemas.microsoft.com/office/drawing/2014/chart" uri="{C3380CC4-5D6E-409C-BE32-E72D297353CC}">
              <c16:uniqueId val="{00000004-A048-4C3C-8F02-EEE89B82D098}"/>
            </c:ext>
          </c:extLst>
        </c:ser>
        <c:ser>
          <c:idx val="0"/>
          <c:order val="4"/>
          <c:tx>
            <c:strRef>
              <c:f>'F5'!$V$2</c:f>
              <c:strCache>
                <c:ptCount val="1"/>
                <c:pt idx="0">
                  <c:v>Spending - About the same</c:v>
                </c:pt>
              </c:strCache>
            </c:strRef>
          </c:tx>
          <c:marker>
            <c:symbol val="triangle"/>
            <c:size val="8"/>
            <c:spPr>
              <a:noFill/>
            </c:spPr>
          </c:marker>
          <c:cat>
            <c:numRef>
              <c:f>'F5'!$Q$8:$Q$11</c:f>
              <c:numCache>
                <c:formatCode>General</c:formatCode>
                <c:ptCount val="4"/>
                <c:pt idx="0">
                  <c:v>2020</c:v>
                </c:pt>
                <c:pt idx="1">
                  <c:v>2021</c:v>
                </c:pt>
                <c:pt idx="2">
                  <c:v>2022</c:v>
                </c:pt>
                <c:pt idx="3">
                  <c:v>2023</c:v>
                </c:pt>
              </c:numCache>
            </c:numRef>
          </c:cat>
          <c:val>
            <c:numRef>
              <c:f>'F5'!$V$8:$V$11</c:f>
              <c:numCache>
                <c:formatCode>General</c:formatCode>
                <c:ptCount val="4"/>
                <c:pt idx="0">
                  <c:v>0.61042499542236328</c:v>
                </c:pt>
                <c:pt idx="1">
                  <c:v>0.64007657766342163</c:v>
                </c:pt>
                <c:pt idx="2">
                  <c:v>0.52278727293014526</c:v>
                </c:pt>
                <c:pt idx="3">
                  <c:v>0.52875375747680664</c:v>
                </c:pt>
              </c:numCache>
            </c:numRef>
          </c:val>
          <c:smooth val="0"/>
          <c:extLst>
            <c:ext xmlns:c16="http://schemas.microsoft.com/office/drawing/2014/chart" uri="{C3380CC4-5D6E-409C-BE32-E72D297353CC}">
              <c16:uniqueId val="{00000005-A048-4C3C-8F02-EEE89B82D098}"/>
            </c:ext>
          </c:extLst>
        </c:ser>
        <c:ser>
          <c:idx val="3"/>
          <c:order val="5"/>
          <c:tx>
            <c:strRef>
              <c:f>'F5'!$W$2</c:f>
              <c:strCache>
                <c:ptCount val="1"/>
                <c:pt idx="0">
                  <c:v>Spending - Increased</c:v>
                </c:pt>
              </c:strCache>
            </c:strRef>
          </c:tx>
          <c:marker>
            <c:symbol val="circle"/>
            <c:size val="8"/>
            <c:spPr>
              <a:noFill/>
            </c:spPr>
          </c:marker>
          <c:cat>
            <c:numRef>
              <c:f>'F5'!$Q$8:$Q$11</c:f>
              <c:numCache>
                <c:formatCode>General</c:formatCode>
                <c:ptCount val="4"/>
                <c:pt idx="0">
                  <c:v>2020</c:v>
                </c:pt>
                <c:pt idx="1">
                  <c:v>2021</c:v>
                </c:pt>
                <c:pt idx="2">
                  <c:v>2022</c:v>
                </c:pt>
                <c:pt idx="3">
                  <c:v>2023</c:v>
                </c:pt>
              </c:numCache>
            </c:numRef>
          </c:cat>
          <c:val>
            <c:numRef>
              <c:f>'F5'!$W$8:$W$11</c:f>
              <c:numCache>
                <c:formatCode>General</c:formatCode>
                <c:ptCount val="4"/>
                <c:pt idx="0">
                  <c:v>0.20366953313350677</c:v>
                </c:pt>
                <c:pt idx="1">
                  <c:v>0.23224489390850067</c:v>
                </c:pt>
                <c:pt idx="2">
                  <c:v>0.36113396286964417</c:v>
                </c:pt>
                <c:pt idx="3">
                  <c:v>0.35988008975982666</c:v>
                </c:pt>
              </c:numCache>
            </c:numRef>
          </c:val>
          <c:smooth val="0"/>
          <c:extLst>
            <c:ext xmlns:c16="http://schemas.microsoft.com/office/drawing/2014/chart" uri="{C3380CC4-5D6E-409C-BE32-E72D297353CC}">
              <c16:uniqueId val="{00000006-A048-4C3C-8F02-EEE89B82D098}"/>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Percent</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47465452359E-2"/>
          <c:y val="0.74110717925115099"/>
          <c:w val="0.90325760987308279"/>
          <c:h val="0.10538050486944477"/>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'F5'!$R$2</c:f>
              <c:strCache>
                <c:ptCount val="1"/>
                <c:pt idx="0">
                  <c:v>Income - Decreased</c:v>
                </c:pt>
              </c:strCache>
            </c:strRef>
          </c:tx>
          <c:spPr>
            <a:ln>
              <a:solidFill>
                <a:srgbClr val="0070C0"/>
              </a:solidFill>
            </a:ln>
          </c:spPr>
          <c:marker>
            <c:symbol val="square"/>
            <c:size val="7"/>
            <c:spPr>
              <a:solidFill>
                <a:srgbClr val="0070C0"/>
              </a:solidFill>
              <a:ln>
                <a:solidFill>
                  <a:srgbClr val="0070C0"/>
                </a:solidFill>
              </a:ln>
            </c:spPr>
          </c:marker>
          <c:dPt>
            <c:idx val="2"/>
            <c:marker>
              <c:symbol val="square"/>
              <c:size val="8"/>
            </c:marker>
            <c:bubble3D val="0"/>
            <c:extLst>
              <c:ext xmlns:c16="http://schemas.microsoft.com/office/drawing/2014/chart" uri="{C3380CC4-5D6E-409C-BE32-E72D297353CC}">
                <c16:uniqueId val="{00000000-1CE3-455B-96DE-E2ABEEBE45C9}"/>
              </c:ext>
            </c:extLst>
          </c:dPt>
          <c:cat>
            <c:numRef>
              <c:f>'F5'!$Q$8:$Q$10</c:f>
              <c:numCache>
                <c:formatCode>General</c:formatCode>
                <c:ptCount val="3"/>
                <c:pt idx="0">
                  <c:v>2020</c:v>
                </c:pt>
                <c:pt idx="1">
                  <c:v>2021</c:v>
                </c:pt>
                <c:pt idx="2">
                  <c:v>2022</c:v>
                </c:pt>
              </c:numCache>
            </c:numRef>
          </c:cat>
          <c:val>
            <c:numRef>
              <c:f>'F5'!$R$8:$R$10</c:f>
              <c:numCache>
                <c:formatCode>General</c:formatCode>
                <c:ptCount val="3"/>
                <c:pt idx="0">
                  <c:v>0.20483137667179108</c:v>
                </c:pt>
                <c:pt idx="1">
                  <c:v>0.14686320722103119</c:v>
                </c:pt>
                <c:pt idx="2">
                  <c:v>0.14615604281425476</c:v>
                </c:pt>
              </c:numCache>
            </c:numRef>
          </c:val>
          <c:smooth val="0"/>
          <c:extLst>
            <c:ext xmlns:c16="http://schemas.microsoft.com/office/drawing/2014/chart" uri="{C3380CC4-5D6E-409C-BE32-E72D297353CC}">
              <c16:uniqueId val="{00000001-1CE3-455B-96DE-E2ABEEBE45C9}"/>
            </c:ext>
          </c:extLst>
        </c:ser>
        <c:ser>
          <c:idx val="6"/>
          <c:order val="1"/>
          <c:tx>
            <c:strRef>
              <c:f>'F5'!$S$2</c:f>
              <c:strCache>
                <c:ptCount val="1"/>
                <c:pt idx="0">
                  <c:v>Income - About the same</c:v>
                </c:pt>
              </c:strCache>
            </c:strRef>
          </c:tx>
          <c:spPr>
            <a:ln w="34925">
              <a:solidFill>
                <a:schemeClr val="accent3"/>
              </a:solidFill>
            </a:ln>
          </c:spPr>
          <c:marker>
            <c:symbol val="triangle"/>
            <c:size val="8"/>
            <c:spPr>
              <a:solidFill>
                <a:schemeClr val="accent3"/>
              </a:solidFill>
              <a:ln>
                <a:solidFill>
                  <a:schemeClr val="accent3"/>
                </a:solidFill>
              </a:ln>
            </c:spPr>
          </c:marker>
          <c:cat>
            <c:numRef>
              <c:f>'F5'!$Q$8:$Q$10</c:f>
              <c:numCache>
                <c:formatCode>General</c:formatCode>
                <c:ptCount val="3"/>
                <c:pt idx="0">
                  <c:v>2020</c:v>
                </c:pt>
                <c:pt idx="1">
                  <c:v>2021</c:v>
                </c:pt>
                <c:pt idx="2">
                  <c:v>2022</c:v>
                </c:pt>
              </c:numCache>
            </c:numRef>
          </c:cat>
          <c:val>
            <c:numRef>
              <c:f>'F5'!$S$8:$S$10</c:f>
              <c:numCache>
                <c:formatCode>General</c:formatCode>
                <c:ptCount val="3"/>
                <c:pt idx="0">
                  <c:v>0.6073954701423645</c:v>
                </c:pt>
                <c:pt idx="1">
                  <c:v>0.64378291368484497</c:v>
                </c:pt>
                <c:pt idx="2">
                  <c:v>0.6093825101852417</c:v>
                </c:pt>
              </c:numCache>
            </c:numRef>
          </c:val>
          <c:smooth val="0"/>
          <c:extLst>
            <c:ext xmlns:c16="http://schemas.microsoft.com/office/drawing/2014/chart" uri="{C3380CC4-5D6E-409C-BE32-E72D297353CC}">
              <c16:uniqueId val="{00000002-1CE3-455B-96DE-E2ABEEBE45C9}"/>
            </c:ext>
          </c:extLst>
        </c:ser>
        <c:ser>
          <c:idx val="1"/>
          <c:order val="2"/>
          <c:tx>
            <c:strRef>
              <c:f>'F5'!$T$2</c:f>
              <c:strCache>
                <c:ptCount val="1"/>
                <c:pt idx="0">
                  <c:v>Income - Increased</c:v>
                </c:pt>
              </c:strCache>
            </c:strRef>
          </c:tx>
          <c:spPr>
            <a:ln w="34925"/>
          </c:spPr>
          <c:marker>
            <c:symbol val="circle"/>
            <c:size val="8"/>
          </c:marker>
          <c:cat>
            <c:numRef>
              <c:f>'F5'!$Q$8:$Q$10</c:f>
              <c:numCache>
                <c:formatCode>General</c:formatCode>
                <c:ptCount val="3"/>
                <c:pt idx="0">
                  <c:v>2020</c:v>
                </c:pt>
                <c:pt idx="1">
                  <c:v>2021</c:v>
                </c:pt>
                <c:pt idx="2">
                  <c:v>2022</c:v>
                </c:pt>
              </c:numCache>
            </c:numRef>
          </c:cat>
          <c:val>
            <c:numRef>
              <c:f>'F5'!$T$8:$T$10</c:f>
              <c:numCache>
                <c:formatCode>General</c:formatCode>
                <c:ptCount val="3"/>
                <c:pt idx="0">
                  <c:v>0.18372367322444916</c:v>
                </c:pt>
                <c:pt idx="1">
                  <c:v>0.20935389399528503</c:v>
                </c:pt>
                <c:pt idx="2">
                  <c:v>0.24446141719818115</c:v>
                </c:pt>
              </c:numCache>
            </c:numRef>
          </c:val>
          <c:smooth val="0"/>
          <c:extLst>
            <c:ext xmlns:c16="http://schemas.microsoft.com/office/drawing/2014/chart" uri="{C3380CC4-5D6E-409C-BE32-E72D297353CC}">
              <c16:uniqueId val="{00000003-1CE3-455B-96DE-E2ABEEBE45C9}"/>
            </c:ext>
          </c:extLst>
        </c:ser>
        <c:ser>
          <c:idx val="5"/>
          <c:order val="3"/>
          <c:tx>
            <c:strRef>
              <c:f>'F5'!$U$2</c:f>
              <c:strCache>
                <c:ptCount val="1"/>
                <c:pt idx="0">
                  <c:v>Spending - Decreased</c:v>
                </c:pt>
              </c:strCache>
            </c:strRef>
          </c:tx>
          <c:spPr>
            <a:ln w="38100">
              <a:solidFill>
                <a:srgbClr val="FF0000"/>
              </a:solidFill>
              <a:prstDash val="solid"/>
            </a:ln>
          </c:spPr>
          <c:marker>
            <c:symbol val="square"/>
            <c:size val="8"/>
            <c:spPr>
              <a:noFill/>
              <a:ln>
                <a:solidFill>
                  <a:srgbClr val="FF0000"/>
                </a:solidFill>
                <a:prstDash val="solid"/>
              </a:ln>
            </c:spPr>
          </c:marker>
          <c:cat>
            <c:numRef>
              <c:f>'F5'!$Q$8:$Q$10</c:f>
              <c:numCache>
                <c:formatCode>General</c:formatCode>
                <c:ptCount val="3"/>
                <c:pt idx="0">
                  <c:v>2020</c:v>
                </c:pt>
                <c:pt idx="1">
                  <c:v>2021</c:v>
                </c:pt>
                <c:pt idx="2">
                  <c:v>2022</c:v>
                </c:pt>
              </c:numCache>
            </c:numRef>
          </c:cat>
          <c:val>
            <c:numRef>
              <c:f>'F5'!$U$8:$U$10</c:f>
              <c:numCache>
                <c:formatCode>General</c:formatCode>
                <c:ptCount val="3"/>
                <c:pt idx="0">
                  <c:v>0.18083064258098602</c:v>
                </c:pt>
                <c:pt idx="1">
                  <c:v>0.1276785135269165</c:v>
                </c:pt>
                <c:pt idx="2">
                  <c:v>0.11607874929904938</c:v>
                </c:pt>
              </c:numCache>
            </c:numRef>
          </c:val>
          <c:smooth val="0"/>
          <c:extLst>
            <c:ext xmlns:c16="http://schemas.microsoft.com/office/drawing/2014/chart" uri="{C3380CC4-5D6E-409C-BE32-E72D297353CC}">
              <c16:uniqueId val="{00000004-1CE3-455B-96DE-E2ABEEBE45C9}"/>
            </c:ext>
          </c:extLst>
        </c:ser>
        <c:ser>
          <c:idx val="0"/>
          <c:order val="4"/>
          <c:tx>
            <c:strRef>
              <c:f>'F5'!$V$2</c:f>
              <c:strCache>
                <c:ptCount val="1"/>
                <c:pt idx="0">
                  <c:v>Spending - About the same</c:v>
                </c:pt>
              </c:strCache>
            </c:strRef>
          </c:tx>
          <c:marker>
            <c:symbol val="triangle"/>
            <c:size val="8"/>
            <c:spPr>
              <a:noFill/>
            </c:spPr>
          </c:marker>
          <c:cat>
            <c:numRef>
              <c:f>'F5'!$Q$8:$Q$10</c:f>
              <c:numCache>
                <c:formatCode>General</c:formatCode>
                <c:ptCount val="3"/>
                <c:pt idx="0">
                  <c:v>2020</c:v>
                </c:pt>
                <c:pt idx="1">
                  <c:v>2021</c:v>
                </c:pt>
                <c:pt idx="2">
                  <c:v>2022</c:v>
                </c:pt>
              </c:numCache>
            </c:numRef>
          </c:cat>
          <c:val>
            <c:numRef>
              <c:f>'F5'!$V$8:$V$10</c:f>
              <c:numCache>
                <c:formatCode>General</c:formatCode>
                <c:ptCount val="3"/>
                <c:pt idx="0">
                  <c:v>0.61042499542236328</c:v>
                </c:pt>
                <c:pt idx="1">
                  <c:v>0.64007657766342163</c:v>
                </c:pt>
                <c:pt idx="2">
                  <c:v>0.52278727293014526</c:v>
                </c:pt>
              </c:numCache>
            </c:numRef>
          </c:val>
          <c:smooth val="0"/>
          <c:extLst>
            <c:ext xmlns:c16="http://schemas.microsoft.com/office/drawing/2014/chart" uri="{C3380CC4-5D6E-409C-BE32-E72D297353CC}">
              <c16:uniqueId val="{00000005-1CE3-455B-96DE-E2ABEEBE45C9}"/>
            </c:ext>
          </c:extLst>
        </c:ser>
        <c:ser>
          <c:idx val="3"/>
          <c:order val="5"/>
          <c:tx>
            <c:strRef>
              <c:f>'F5'!$W$2</c:f>
              <c:strCache>
                <c:ptCount val="1"/>
                <c:pt idx="0">
                  <c:v>Spending - Increased</c:v>
                </c:pt>
              </c:strCache>
            </c:strRef>
          </c:tx>
          <c:marker>
            <c:symbol val="circle"/>
            <c:size val="8"/>
            <c:spPr>
              <a:noFill/>
            </c:spPr>
          </c:marker>
          <c:cat>
            <c:numRef>
              <c:f>'F5'!$Q$8:$Q$10</c:f>
              <c:numCache>
                <c:formatCode>General</c:formatCode>
                <c:ptCount val="3"/>
                <c:pt idx="0">
                  <c:v>2020</c:v>
                </c:pt>
                <c:pt idx="1">
                  <c:v>2021</c:v>
                </c:pt>
                <c:pt idx="2">
                  <c:v>2022</c:v>
                </c:pt>
              </c:numCache>
            </c:numRef>
          </c:cat>
          <c:val>
            <c:numRef>
              <c:f>'F5'!$W$8:$W$10</c:f>
              <c:numCache>
                <c:formatCode>General</c:formatCode>
                <c:ptCount val="3"/>
                <c:pt idx="0">
                  <c:v>0.20366953313350677</c:v>
                </c:pt>
                <c:pt idx="1">
                  <c:v>0.23224489390850067</c:v>
                </c:pt>
                <c:pt idx="2">
                  <c:v>0.36113396286964417</c:v>
                </c:pt>
              </c:numCache>
            </c:numRef>
          </c:val>
          <c:smooth val="0"/>
          <c:extLst>
            <c:ext xmlns:c16="http://schemas.microsoft.com/office/drawing/2014/chart" uri="{C3380CC4-5D6E-409C-BE32-E72D297353CC}">
              <c16:uniqueId val="{00000006-1CE3-455B-96DE-E2ABEEBE45C9}"/>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47465452359E-2"/>
          <c:y val="0.7664939270990202"/>
          <c:w val="0.90325760987308279"/>
          <c:h val="7.9993799620526607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'F6'!$O$2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'F6'!$O$3:$O$34</c:f>
              <c:numCache>
                <c:formatCode>General</c:formatCode>
                <c:ptCount val="32"/>
                <c:pt idx="0">
                  <c:v>0</c:v>
                </c:pt>
                <c:pt idx="1">
                  <c:v>19.798618316650391</c:v>
                </c:pt>
                <c:pt idx="2">
                  <c:v>9.8926582336425781</c:v>
                </c:pt>
                <c:pt idx="3">
                  <c:v>42.815601348876953</c:v>
                </c:pt>
                <c:pt idx="4">
                  <c:v>40.874660491943359</c:v>
                </c:pt>
                <c:pt idx="5">
                  <c:v>49.365772247314453</c:v>
                </c:pt>
                <c:pt idx="6">
                  <c:v>9.8602867126464844</c:v>
                </c:pt>
                <c:pt idx="7">
                  <c:v>4.9288673400878906</c:v>
                </c:pt>
                <c:pt idx="8">
                  <c:v>14.701420783996582</c:v>
                </c:pt>
                <c:pt idx="9">
                  <c:v>0</c:v>
                </c:pt>
                <c:pt idx="10">
                  <c:v>0.97465384006500244</c:v>
                </c:pt>
                <c:pt idx="11">
                  <c:v>0.97309744358062744</c:v>
                </c:pt>
                <c:pt idx="12">
                  <c:v>0</c:v>
                </c:pt>
                <c:pt idx="13">
                  <c:v>0</c:v>
                </c:pt>
                <c:pt idx="14">
                  <c:v>0</c:v>
                </c:pt>
                <c:pt idx="15">
                  <c:v>0</c:v>
                </c:pt>
                <c:pt idx="16">
                  <c:v>0</c:v>
                </c:pt>
                <c:pt idx="17">
                  <c:v>0.94891810417175293</c:v>
                </c:pt>
                <c:pt idx="18">
                  <c:v>0.94804197549819946</c:v>
                </c:pt>
                <c:pt idx="19">
                  <c:v>0</c:v>
                </c:pt>
                <c:pt idx="20">
                  <c:v>0</c:v>
                </c:pt>
                <c:pt idx="21">
                  <c:v>28.562015533447266</c:v>
                </c:pt>
                <c:pt idx="22">
                  <c:v>135.78837585449219</c:v>
                </c:pt>
                <c:pt idx="23">
                  <c:v>0</c:v>
                </c:pt>
                <c:pt idx="24">
                  <c:v>0</c:v>
                </c:pt>
                <c:pt idx="25">
                  <c:v>45.700080871582031</c:v>
                </c:pt>
                <c:pt idx="26">
                  <c:v>51.367996215820313</c:v>
                </c:pt>
                <c:pt idx="27">
                  <c:v>88.958816528320313</c:v>
                </c:pt>
                <c:pt idx="28">
                  <c:v>0</c:v>
                </c:pt>
                <c:pt idx="29">
                  <c:v>0</c:v>
                </c:pt>
                <c:pt idx="30">
                  <c:v>20.113119125366211</c:v>
                </c:pt>
                <c:pt idx="31">
                  <c:v>16.731864929199219</c:v>
                </c:pt>
              </c:numCache>
            </c:numRef>
          </c:val>
          <c:smooth val="0"/>
          <c:extLst>
            <c:ext xmlns:c16="http://schemas.microsoft.com/office/drawing/2014/chart" uri="{C3380CC4-5D6E-409C-BE32-E72D297353CC}">
              <c16:uniqueId val="{00000000-4616-4D1D-A554-A42198E47D04}"/>
            </c:ext>
          </c:extLst>
        </c:ser>
        <c:ser>
          <c:idx val="0"/>
          <c:order val="1"/>
          <c:tx>
            <c:strRef>
              <c:f>'F6'!$P$2</c:f>
              <c:strCache>
                <c:ptCount val="1"/>
                <c:pt idx="0">
                  <c:v>Families with Children</c:v>
                </c:pt>
              </c:strCache>
            </c:strRef>
          </c:tx>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'F6'!$P$3:$P$34</c:f>
              <c:numCache>
                <c:formatCode>General</c:formatCode>
                <c:ptCount val="32"/>
                <c:pt idx="0">
                  <c:v>0</c:v>
                </c:pt>
                <c:pt idx="1">
                  <c:v>4.9496545791625977</c:v>
                </c:pt>
                <c:pt idx="2">
                  <c:v>49.463291168212891</c:v>
                </c:pt>
                <c:pt idx="3">
                  <c:v>99.5711669921875</c:v>
                </c:pt>
                <c:pt idx="4">
                  <c:v>40.874660491943359</c:v>
                </c:pt>
                <c:pt idx="5">
                  <c:v>98.731544494628906</c:v>
                </c:pt>
                <c:pt idx="6">
                  <c:v>5.9161715507507324</c:v>
                </c:pt>
                <c:pt idx="7">
                  <c:v>1.97154700756073</c:v>
                </c:pt>
                <c:pt idx="8">
                  <c:v>19.601894378662109</c:v>
                </c:pt>
                <c:pt idx="9">
                  <c:v>0</c:v>
                </c:pt>
                <c:pt idx="10">
                  <c:v>2.9239616394042969</c:v>
                </c:pt>
                <c:pt idx="11">
                  <c:v>0.97309744358062744</c:v>
                </c:pt>
                <c:pt idx="12">
                  <c:v>0</c:v>
                </c:pt>
                <c:pt idx="13">
                  <c:v>0</c:v>
                </c:pt>
                <c:pt idx="14">
                  <c:v>0.95708751678466797</c:v>
                </c:pt>
                <c:pt idx="15">
                  <c:v>0</c:v>
                </c:pt>
                <c:pt idx="16">
                  <c:v>0</c:v>
                </c:pt>
                <c:pt idx="17">
                  <c:v>0.94891810417175293</c:v>
                </c:pt>
                <c:pt idx="18">
                  <c:v>0.94804197549819946</c:v>
                </c:pt>
                <c:pt idx="19">
                  <c:v>0</c:v>
                </c:pt>
                <c:pt idx="20">
                  <c:v>0</c:v>
                </c:pt>
                <c:pt idx="21">
                  <c:v>43.795089721679688</c:v>
                </c:pt>
                <c:pt idx="22">
                  <c:v>94.2974853515625</c:v>
                </c:pt>
                <c:pt idx="23">
                  <c:v>0</c:v>
                </c:pt>
                <c:pt idx="24">
                  <c:v>0</c:v>
                </c:pt>
                <c:pt idx="25">
                  <c:v>8.2260141372680664</c:v>
                </c:pt>
                <c:pt idx="26">
                  <c:v>180.23857116699219</c:v>
                </c:pt>
                <c:pt idx="27">
                  <c:v>177.91763305664063</c:v>
                </c:pt>
                <c:pt idx="28">
                  <c:v>0</c:v>
                </c:pt>
                <c:pt idx="29">
                  <c:v>0</c:v>
                </c:pt>
                <c:pt idx="30">
                  <c:v>33.521865844726563</c:v>
                </c:pt>
                <c:pt idx="31">
                  <c:v>83.659324645996094</c:v>
                </c:pt>
              </c:numCache>
            </c:numRef>
          </c:val>
          <c:smooth val="0"/>
          <c:extLst>
            <c:ext xmlns:c16="http://schemas.microsoft.com/office/drawing/2014/chart" uri="{C3380CC4-5D6E-409C-BE32-E72D297353CC}">
              <c16:uniqueId val="{00000001-4616-4D1D-A554-A42198E47D04}"/>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533874373442917"/>
          <c:h val="0.11058230116958408"/>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'F6'!$M$2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'F6'!$M$3:$M$34</c:f>
              <c:numCache>
                <c:formatCode>General</c:formatCode>
                <c:ptCount val="32"/>
                <c:pt idx="0">
                  <c:v>6000</c:v>
                </c:pt>
                <c:pt idx="1">
                  <c:v>6929.51611328125</c:v>
                </c:pt>
                <c:pt idx="2">
                  <c:v>3957.063232421875</c:v>
                </c:pt>
                <c:pt idx="3">
                  <c:v>3982.8466796875</c:v>
                </c:pt>
                <c:pt idx="4">
                  <c:v>5040.54345703125</c:v>
                </c:pt>
                <c:pt idx="5">
                  <c:v>5430.23486328125</c:v>
                </c:pt>
                <c:pt idx="6">
                  <c:v>3944.114501953125</c:v>
                </c:pt>
                <c:pt idx="7">
                  <c:v>5914.64111328125</c:v>
                </c:pt>
                <c:pt idx="8">
                  <c:v>5880.568359375</c:v>
                </c:pt>
                <c:pt idx="9">
                  <c:v>3418.375244140625</c:v>
                </c:pt>
                <c:pt idx="10">
                  <c:v>4873.26953125</c:v>
                </c:pt>
                <c:pt idx="11">
                  <c:v>4378.9384765625</c:v>
                </c:pt>
                <c:pt idx="12">
                  <c:v>3896.91943359375</c:v>
                </c:pt>
                <c:pt idx="13">
                  <c:v>2396.136474609375</c:v>
                </c:pt>
                <c:pt idx="14">
                  <c:v>5742.525390625</c:v>
                </c:pt>
                <c:pt idx="15">
                  <c:v>7675.501953125</c:v>
                </c:pt>
                <c:pt idx="16">
                  <c:v>4348.36669921875</c:v>
                </c:pt>
                <c:pt idx="17">
                  <c:v>4744.5908203125</c:v>
                </c:pt>
                <c:pt idx="18">
                  <c:v>10428.4619140625</c:v>
                </c:pt>
                <c:pt idx="19">
                  <c:v>3791.041015625</c:v>
                </c:pt>
                <c:pt idx="20">
                  <c:v>3523.4765625</c:v>
                </c:pt>
                <c:pt idx="21">
                  <c:v>6664.47021484375</c:v>
                </c:pt>
                <c:pt idx="22">
                  <c:v>12850.861328125</c:v>
                </c:pt>
                <c:pt idx="23">
                  <c:v>7543.7587890625</c:v>
                </c:pt>
                <c:pt idx="24">
                  <c:v>6074.330078125</c:v>
                </c:pt>
                <c:pt idx="25">
                  <c:v>18280.03125</c:v>
                </c:pt>
                <c:pt idx="26">
                  <c:v>9011.9287109375</c:v>
                </c:pt>
                <c:pt idx="27">
                  <c:v>10675.0576171875</c:v>
                </c:pt>
                <c:pt idx="28">
                  <c:v>5226.6689453125</c:v>
                </c:pt>
                <c:pt idx="29">
                  <c:v>8473.1396484375</c:v>
                </c:pt>
                <c:pt idx="30">
                  <c:v>2514.139892578125</c:v>
                </c:pt>
                <c:pt idx="31">
                  <c:v>7529.3388671875</c:v>
                </c:pt>
              </c:numCache>
            </c:numRef>
          </c:val>
          <c:smooth val="0"/>
          <c:extLst>
            <c:ext xmlns:c16="http://schemas.microsoft.com/office/drawing/2014/chart" uri="{C3380CC4-5D6E-409C-BE32-E72D297353CC}">
              <c16:uniqueId val="{00000000-7002-4CB7-B2FF-B54497F1353E}"/>
            </c:ext>
          </c:extLst>
        </c:ser>
        <c:ser>
          <c:idx val="0"/>
          <c:order val="1"/>
          <c:tx>
            <c:strRef>
              <c:f>'F6'!$N$2</c:f>
              <c:strCache>
                <c:ptCount val="1"/>
                <c:pt idx="0">
                  <c:v>Families with Children</c:v>
                </c:pt>
              </c:strCache>
            </c:strRef>
          </c:tx>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'F6'!$N$3:$N$34</c:f>
              <c:numCache>
                <c:formatCode>General</c:formatCode>
                <c:ptCount val="32"/>
                <c:pt idx="0">
                  <c:v>6000</c:v>
                </c:pt>
                <c:pt idx="1">
                  <c:v>4454.68896484375</c:v>
                </c:pt>
                <c:pt idx="2">
                  <c:v>3759.2099609375</c:v>
                </c:pt>
                <c:pt idx="3">
                  <c:v>3982.8466796875</c:v>
                </c:pt>
                <c:pt idx="4">
                  <c:v>4984.71484375</c:v>
                </c:pt>
                <c:pt idx="5">
                  <c:v>5430.23486328125</c:v>
                </c:pt>
                <c:pt idx="6">
                  <c:v>3549.703125</c:v>
                </c:pt>
                <c:pt idx="7">
                  <c:v>5914.64111328125</c:v>
                </c:pt>
                <c:pt idx="8">
                  <c:v>4900.4736328125</c:v>
                </c:pt>
                <c:pt idx="9">
                  <c:v>2148.693115234375</c:v>
                </c:pt>
                <c:pt idx="10">
                  <c:v>3898.615478515625</c:v>
                </c:pt>
                <c:pt idx="11">
                  <c:v>4378.9384765625</c:v>
                </c:pt>
                <c:pt idx="12">
                  <c:v>3896.91943359375</c:v>
                </c:pt>
                <c:pt idx="13">
                  <c:v>2396.136474609375</c:v>
                </c:pt>
                <c:pt idx="14">
                  <c:v>4785.4375</c:v>
                </c:pt>
                <c:pt idx="15">
                  <c:v>9594.3779296875</c:v>
                </c:pt>
                <c:pt idx="16">
                  <c:v>2875.27001953125</c:v>
                </c:pt>
                <c:pt idx="17">
                  <c:v>5219.0498046875</c:v>
                </c:pt>
                <c:pt idx="18">
                  <c:v>9480.419921875</c:v>
                </c:pt>
                <c:pt idx="19">
                  <c:v>3791.041015625</c:v>
                </c:pt>
                <c:pt idx="20">
                  <c:v>2837.69921875</c:v>
                </c:pt>
                <c:pt idx="21">
                  <c:v>7616.53759765625</c:v>
                </c:pt>
                <c:pt idx="22">
                  <c:v>9429.748046875</c:v>
                </c:pt>
                <c:pt idx="23">
                  <c:v>4714.84912109375</c:v>
                </c:pt>
                <c:pt idx="24">
                  <c:v>4672.5615234375</c:v>
                </c:pt>
                <c:pt idx="25">
                  <c:v>18280.03125</c:v>
                </c:pt>
                <c:pt idx="26">
                  <c:v>9011.9287109375</c:v>
                </c:pt>
                <c:pt idx="27">
                  <c:v>8895.8818359375</c:v>
                </c:pt>
                <c:pt idx="28">
                  <c:v>8711.115234375</c:v>
                </c:pt>
                <c:pt idx="29">
                  <c:v>8473.1396484375</c:v>
                </c:pt>
                <c:pt idx="30">
                  <c:v>2178.921142578125</c:v>
                </c:pt>
                <c:pt idx="31">
                  <c:v>6692.74560546875</c:v>
                </c:pt>
              </c:numCache>
            </c:numRef>
          </c:val>
          <c:smooth val="0"/>
          <c:extLst>
            <c:ext xmlns:c16="http://schemas.microsoft.com/office/drawing/2014/chart" uri="{C3380CC4-5D6E-409C-BE32-E72D297353CC}">
              <c16:uniqueId val="{00000001-7002-4CB7-B2FF-B54497F1353E}"/>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533874373442917"/>
          <c:h val="0.11058230116958408"/>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'F6'!$K$2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'F6'!$K$3:$K$34</c:f>
              <c:numCache>
                <c:formatCode>General</c:formatCode>
                <c:ptCount val="32"/>
                <c:pt idx="0">
                  <c:v>1000</c:v>
                </c:pt>
                <c:pt idx="1">
                  <c:v>989.930908203125</c:v>
                </c:pt>
                <c:pt idx="2">
                  <c:v>989.26580810546875</c:v>
                </c:pt>
                <c:pt idx="3">
                  <c:v>995.711669921875</c:v>
                </c:pt>
                <c:pt idx="4">
                  <c:v>996.94293212890625</c:v>
                </c:pt>
                <c:pt idx="5">
                  <c:v>1157.1336669921875</c:v>
                </c:pt>
                <c:pt idx="6">
                  <c:v>986.02862548828125</c:v>
                </c:pt>
                <c:pt idx="7">
                  <c:v>985.77349853515625</c:v>
                </c:pt>
                <c:pt idx="8">
                  <c:v>1304.506103515625</c:v>
                </c:pt>
                <c:pt idx="9">
                  <c:v>586.0072021484375</c:v>
                </c:pt>
                <c:pt idx="10">
                  <c:v>682.2576904296875</c:v>
                </c:pt>
                <c:pt idx="11">
                  <c:v>583.85845947265625</c:v>
                </c:pt>
                <c:pt idx="12">
                  <c:v>483.24893188476563</c:v>
                </c:pt>
                <c:pt idx="13">
                  <c:v>479.22726440429688</c:v>
                </c:pt>
                <c:pt idx="14">
                  <c:v>765.6700439453125</c:v>
                </c:pt>
                <c:pt idx="15">
                  <c:v>719.57830810546875</c:v>
                </c:pt>
                <c:pt idx="16">
                  <c:v>575.05401611328125</c:v>
                </c:pt>
                <c:pt idx="17">
                  <c:v>1043.8099365234375</c:v>
                </c:pt>
                <c:pt idx="18">
                  <c:v>758.43359375</c:v>
                </c:pt>
                <c:pt idx="19">
                  <c:v>473.880126953125</c:v>
                </c:pt>
                <c:pt idx="20">
                  <c:v>945.8997802734375</c:v>
                </c:pt>
                <c:pt idx="21">
                  <c:v>1904.1343994140625</c:v>
                </c:pt>
                <c:pt idx="22">
                  <c:v>1885.94970703125</c:v>
                </c:pt>
                <c:pt idx="23">
                  <c:v>942.9698486328125</c:v>
                </c:pt>
                <c:pt idx="24">
                  <c:v>794.33551025390625</c:v>
                </c:pt>
                <c:pt idx="25">
                  <c:v>3656.00634765625</c:v>
                </c:pt>
                <c:pt idx="26">
                  <c:v>2703.57861328125</c:v>
                </c:pt>
                <c:pt idx="27">
                  <c:v>2223.970458984375</c:v>
                </c:pt>
                <c:pt idx="28">
                  <c:v>871.11151123046875</c:v>
                </c:pt>
                <c:pt idx="29">
                  <c:v>1270.970947265625</c:v>
                </c:pt>
                <c:pt idx="30">
                  <c:v>745.86151123046875</c:v>
                </c:pt>
                <c:pt idx="31">
                  <c:v>836.59320068359375</c:v>
                </c:pt>
              </c:numCache>
            </c:numRef>
          </c:val>
          <c:smooth val="0"/>
          <c:extLst>
            <c:ext xmlns:c16="http://schemas.microsoft.com/office/drawing/2014/chart" uri="{C3380CC4-5D6E-409C-BE32-E72D297353CC}">
              <c16:uniqueId val="{00000000-CDB4-4269-B2B3-D27E735CD162}"/>
            </c:ext>
          </c:extLst>
        </c:ser>
        <c:ser>
          <c:idx val="0"/>
          <c:order val="1"/>
          <c:tx>
            <c:strRef>
              <c:f>'F6'!$L$2</c:f>
              <c:strCache>
                <c:ptCount val="1"/>
                <c:pt idx="0">
                  <c:v>Families with Children</c:v>
                </c:pt>
              </c:strCache>
            </c:strRef>
          </c:tx>
          <c:cat>
            <c:strRef>
              <c:f>'F6'!$J$3:$J$34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'F6'!$L$3:$L$34</c:f>
              <c:numCache>
                <c:formatCode>General</c:formatCode>
                <c:ptCount val="32"/>
                <c:pt idx="0">
                  <c:v>1000</c:v>
                </c:pt>
                <c:pt idx="1">
                  <c:v>593.95855712890625</c:v>
                </c:pt>
                <c:pt idx="2">
                  <c:v>989.26580810546875</c:v>
                </c:pt>
                <c:pt idx="3">
                  <c:v>796.5693359375</c:v>
                </c:pt>
                <c:pt idx="4">
                  <c:v>996.94293212890625</c:v>
                </c:pt>
                <c:pt idx="5">
                  <c:v>1309.1802978515625</c:v>
                </c:pt>
                <c:pt idx="6">
                  <c:v>986.02862548828125</c:v>
                </c:pt>
                <c:pt idx="7">
                  <c:v>985.77349853515625</c:v>
                </c:pt>
                <c:pt idx="8">
                  <c:v>1304.506103515625</c:v>
                </c:pt>
                <c:pt idx="9">
                  <c:v>390.67144775390625</c:v>
                </c:pt>
                <c:pt idx="10">
                  <c:v>730.99041748046875</c:v>
                </c:pt>
                <c:pt idx="11">
                  <c:v>526.44573974609375</c:v>
                </c:pt>
                <c:pt idx="12">
                  <c:v>483.24893188476563</c:v>
                </c:pt>
                <c:pt idx="13">
                  <c:v>479.22726440429688</c:v>
                </c:pt>
                <c:pt idx="14">
                  <c:v>765.6700439453125</c:v>
                </c:pt>
                <c:pt idx="15">
                  <c:v>959.437744140625</c:v>
                </c:pt>
                <c:pt idx="16">
                  <c:v>575.05401611328125</c:v>
                </c:pt>
                <c:pt idx="17">
                  <c:v>1138.7017822265625</c:v>
                </c:pt>
                <c:pt idx="18">
                  <c:v>568.8251953125</c:v>
                </c:pt>
                <c:pt idx="19">
                  <c:v>473.880126953125</c:v>
                </c:pt>
                <c:pt idx="20">
                  <c:v>567.53985595703125</c:v>
                </c:pt>
                <c:pt idx="21">
                  <c:v>2856.20166015625</c:v>
                </c:pt>
                <c:pt idx="22">
                  <c:v>1414.4622802734375</c:v>
                </c:pt>
                <c:pt idx="23">
                  <c:v>565.78192138671875</c:v>
                </c:pt>
                <c:pt idx="24">
                  <c:v>560.7073974609375</c:v>
                </c:pt>
                <c:pt idx="25">
                  <c:v>4570.0078125</c:v>
                </c:pt>
                <c:pt idx="26">
                  <c:v>3604.771484375</c:v>
                </c:pt>
                <c:pt idx="27">
                  <c:v>1601.2586669921875</c:v>
                </c:pt>
                <c:pt idx="28">
                  <c:v>1306.667236328125</c:v>
                </c:pt>
                <c:pt idx="29">
                  <c:v>1270.970947265625</c:v>
                </c:pt>
                <c:pt idx="30">
                  <c:v>745.86151123046875</c:v>
                </c:pt>
                <c:pt idx="31">
                  <c:v>836.59320068359375</c:v>
                </c:pt>
              </c:numCache>
            </c:numRef>
          </c:val>
          <c:smooth val="0"/>
          <c:extLst>
            <c:ext xmlns:c16="http://schemas.microsoft.com/office/drawing/2014/chart" uri="{C3380CC4-5D6E-409C-BE32-E72D297353CC}">
              <c16:uniqueId val="{00000001-CDB4-4269-B2B3-D27E735CD162}"/>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533874373442917"/>
          <c:h val="0.11058230116958408"/>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'F7'!$J$2</c:f>
              <c:strCache>
                <c:ptCount val="1"/>
                <c:pt idx="0">
                  <c:v>Increased</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'F7'!$J$3:$J$34</c:f>
              <c:numCache>
                <c:formatCode>General</c:formatCode>
                <c:ptCount val="32"/>
                <c:pt idx="0">
                  <c:v>0.18822064995765686</c:v>
                </c:pt>
                <c:pt idx="1">
                  <c:v>0.22185024619102478</c:v>
                </c:pt>
                <c:pt idx="2">
                  <c:v>0.24275636672973633</c:v>
                </c:pt>
                <c:pt idx="3">
                  <c:v>0.28279763460159302</c:v>
                </c:pt>
                <c:pt idx="4">
                  <c:v>0.21498940885066986</c:v>
                </c:pt>
                <c:pt idx="5">
                  <c:v>0.19698978960514069</c:v>
                </c:pt>
                <c:pt idx="6">
                  <c:v>0.20418387651443481</c:v>
                </c:pt>
                <c:pt idx="7">
                  <c:v>0.19803367555141449</c:v>
                </c:pt>
                <c:pt idx="8">
                  <c:v>0.24040476977825165</c:v>
                </c:pt>
                <c:pt idx="9">
                  <c:v>0.17652799189090729</c:v>
                </c:pt>
                <c:pt idx="10">
                  <c:v>0.19755537807941437</c:v>
                </c:pt>
                <c:pt idx="11">
                  <c:v>0.20658794045448303</c:v>
                </c:pt>
                <c:pt idx="12">
                  <c:v>0.13717219233512878</c:v>
                </c:pt>
                <c:pt idx="13">
                  <c:v>0.16095483303070068</c:v>
                </c:pt>
                <c:pt idx="14">
                  <c:v>0.166224405169487</c:v>
                </c:pt>
                <c:pt idx="15">
                  <c:v>0.19637550413608551</c:v>
                </c:pt>
                <c:pt idx="16">
                  <c:v>0.22391593456268311</c:v>
                </c:pt>
                <c:pt idx="17">
                  <c:v>0.16286249458789825</c:v>
                </c:pt>
                <c:pt idx="18">
                  <c:v>0.22885881364345551</c:v>
                </c:pt>
                <c:pt idx="19">
                  <c:v>0.15658281743526459</c:v>
                </c:pt>
                <c:pt idx="20">
                  <c:v>0.15158629417419434</c:v>
                </c:pt>
                <c:pt idx="21">
                  <c:v>0.28145214915275574</c:v>
                </c:pt>
                <c:pt idx="22">
                  <c:v>0.23222790658473969</c:v>
                </c:pt>
                <c:pt idx="23">
                  <c:v>0.20582552254199982</c:v>
                </c:pt>
                <c:pt idx="24">
                  <c:v>0.20530834794044495</c:v>
                </c:pt>
                <c:pt idx="25">
                  <c:v>0.33254113793373108</c:v>
                </c:pt>
                <c:pt idx="26">
                  <c:v>0.21190206706523895</c:v>
                </c:pt>
                <c:pt idx="27">
                  <c:v>0.2507234513759613</c:v>
                </c:pt>
                <c:pt idx="28">
                  <c:v>0.14710892736911774</c:v>
                </c:pt>
                <c:pt idx="29">
                  <c:v>0.16354392468929291</c:v>
                </c:pt>
                <c:pt idx="30">
                  <c:v>0.18977354466915131</c:v>
                </c:pt>
                <c:pt idx="31">
                  <c:v>0.18374873697757721</c:v>
                </c:pt>
              </c:numCache>
            </c:numRef>
          </c:val>
          <c:smooth val="0"/>
          <c:extLst>
            <c:ext xmlns:c16="http://schemas.microsoft.com/office/drawing/2014/chart" uri="{C3380CC4-5D6E-409C-BE32-E72D297353CC}">
              <c16:uniqueId val="{00000000-E425-4299-946E-614F6BCE2B9D}"/>
            </c:ext>
          </c:extLst>
        </c:ser>
        <c:ser>
          <c:idx val="0"/>
          <c:order val="1"/>
          <c:tx>
            <c:strRef>
              <c:f>'F7'!$K$2</c:f>
              <c:strCache>
                <c:ptCount val="1"/>
                <c:pt idx="0">
                  <c:v>Same</c:v>
                </c:pt>
              </c:strCache>
            </c:strRef>
          </c:tx>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'F7'!$K$3:$K$34</c:f>
              <c:numCache>
                <c:formatCode>General</c:formatCode>
                <c:ptCount val="32"/>
                <c:pt idx="0">
                  <c:v>0.71648406982421875</c:v>
                </c:pt>
                <c:pt idx="1">
                  <c:v>0.65906912088394165</c:v>
                </c:pt>
                <c:pt idx="2">
                  <c:v>0.64223229885101318</c:v>
                </c:pt>
                <c:pt idx="3">
                  <c:v>0.61345064640045166</c:v>
                </c:pt>
                <c:pt idx="4">
                  <c:v>0.68049460649490356</c:v>
                </c:pt>
                <c:pt idx="5">
                  <c:v>0.69058972597122192</c:v>
                </c:pt>
                <c:pt idx="6">
                  <c:v>0.69949907064437866</c:v>
                </c:pt>
                <c:pt idx="7">
                  <c:v>0.66150414943695068</c:v>
                </c:pt>
                <c:pt idx="8">
                  <c:v>0.63956087827682495</c:v>
                </c:pt>
                <c:pt idx="9">
                  <c:v>0.74196946620941162</c:v>
                </c:pt>
                <c:pt idx="10">
                  <c:v>0.71226722002029419</c:v>
                </c:pt>
                <c:pt idx="11">
                  <c:v>0.71790212392807007</c:v>
                </c:pt>
                <c:pt idx="12">
                  <c:v>0.7800031304359436</c:v>
                </c:pt>
                <c:pt idx="13">
                  <c:v>0.75757855176925659</c:v>
                </c:pt>
                <c:pt idx="14">
                  <c:v>0.72611021995544434</c:v>
                </c:pt>
                <c:pt idx="15">
                  <c:v>0.73215150833129883</c:v>
                </c:pt>
                <c:pt idx="16">
                  <c:v>0.72174298763275146</c:v>
                </c:pt>
                <c:pt idx="17">
                  <c:v>0.73701894283294678</c:v>
                </c:pt>
                <c:pt idx="18">
                  <c:v>0.68151950836181641</c:v>
                </c:pt>
                <c:pt idx="19">
                  <c:v>0.71767884492874146</c:v>
                </c:pt>
                <c:pt idx="20">
                  <c:v>0.79826903343200684</c:v>
                </c:pt>
                <c:pt idx="21">
                  <c:v>0.63409394025802612</c:v>
                </c:pt>
                <c:pt idx="22">
                  <c:v>0.66122251749038696</c:v>
                </c:pt>
                <c:pt idx="23">
                  <c:v>0.68506205081939697</c:v>
                </c:pt>
                <c:pt idx="24">
                  <c:v>0.68964064121246338</c:v>
                </c:pt>
                <c:pt idx="25">
                  <c:v>0.58902835845947266</c:v>
                </c:pt>
                <c:pt idx="26">
                  <c:v>0.66206187009811401</c:v>
                </c:pt>
                <c:pt idx="27">
                  <c:v>0.65686875581741333</c:v>
                </c:pt>
                <c:pt idx="28">
                  <c:v>0.76403212547302246</c:v>
                </c:pt>
                <c:pt idx="29">
                  <c:v>0.74174708127975464</c:v>
                </c:pt>
                <c:pt idx="30">
                  <c:v>0.65415674448013306</c:v>
                </c:pt>
                <c:pt idx="31">
                  <c:v>0.64030522108078003</c:v>
                </c:pt>
              </c:numCache>
            </c:numRef>
          </c:val>
          <c:smooth val="0"/>
          <c:extLst>
            <c:ext xmlns:c16="http://schemas.microsoft.com/office/drawing/2014/chart" uri="{C3380CC4-5D6E-409C-BE32-E72D297353CC}">
              <c16:uniqueId val="{00000001-E425-4299-946E-614F6BCE2B9D}"/>
            </c:ext>
          </c:extLst>
        </c:ser>
        <c:ser>
          <c:idx val="2"/>
          <c:order val="2"/>
          <c:tx>
            <c:strRef>
              <c:f>'F7'!$L$2</c:f>
              <c:strCache>
                <c:ptCount val="1"/>
                <c:pt idx="0">
                  <c:v>Decreased</c:v>
                </c:pt>
              </c:strCache>
            </c:strRef>
          </c:tx>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'F7'!$L$3:$L$34</c:f>
              <c:numCache>
                <c:formatCode>General</c:formatCode>
                <c:ptCount val="32"/>
                <c:pt idx="0">
                  <c:v>9.529530256986618E-2</c:v>
                </c:pt>
                <c:pt idx="1">
                  <c:v>0.11908061057329178</c:v>
                </c:pt>
                <c:pt idx="2">
                  <c:v>0.11501135677099228</c:v>
                </c:pt>
                <c:pt idx="3">
                  <c:v>0.10375169664621353</c:v>
                </c:pt>
                <c:pt idx="4">
                  <c:v>0.10451596975326538</c:v>
                </c:pt>
                <c:pt idx="5">
                  <c:v>0.112420454621315</c:v>
                </c:pt>
                <c:pt idx="6">
                  <c:v>9.6317052841186523E-2</c:v>
                </c:pt>
                <c:pt idx="7">
                  <c:v>0.14046220481395721</c:v>
                </c:pt>
                <c:pt idx="8">
                  <c:v>0.12003433704376221</c:v>
                </c:pt>
                <c:pt idx="9">
                  <c:v>8.1502534449100494E-2</c:v>
                </c:pt>
                <c:pt idx="10">
                  <c:v>9.017740935087204E-2</c:v>
                </c:pt>
                <c:pt idx="11">
                  <c:v>7.550995796918869E-2</c:v>
                </c:pt>
                <c:pt idx="12">
                  <c:v>8.282470703125E-2</c:v>
                </c:pt>
                <c:pt idx="13">
                  <c:v>8.1466637551784515E-2</c:v>
                </c:pt>
                <c:pt idx="14">
                  <c:v>0.10766535997390747</c:v>
                </c:pt>
                <c:pt idx="15">
                  <c:v>7.1472994983196259E-2</c:v>
                </c:pt>
                <c:pt idx="16">
                  <c:v>5.4341055452823639E-2</c:v>
                </c:pt>
                <c:pt idx="17">
                  <c:v>0.10011857002973557</c:v>
                </c:pt>
                <c:pt idx="18">
                  <c:v>8.9621670544147491E-2</c:v>
                </c:pt>
                <c:pt idx="19">
                  <c:v>0.12573835253715515</c:v>
                </c:pt>
                <c:pt idx="20">
                  <c:v>5.0144683569669724E-2</c:v>
                </c:pt>
                <c:pt idx="21">
                  <c:v>8.4453940391540527E-2</c:v>
                </c:pt>
                <c:pt idx="22">
                  <c:v>0.10654954612255096</c:v>
                </c:pt>
                <c:pt idx="23">
                  <c:v>0.1091124415397644</c:v>
                </c:pt>
                <c:pt idx="24">
                  <c:v>0.10505100339651108</c:v>
                </c:pt>
                <c:pt idx="25">
                  <c:v>7.8430503606796265E-2</c:v>
                </c:pt>
                <c:pt idx="26">
                  <c:v>0.12603604793548584</c:v>
                </c:pt>
                <c:pt idx="27">
                  <c:v>9.2407792806625366E-2</c:v>
                </c:pt>
                <c:pt idx="28">
                  <c:v>8.8858947157859802E-2</c:v>
                </c:pt>
                <c:pt idx="29">
                  <c:v>9.4708971679210663E-2</c:v>
                </c:pt>
                <c:pt idx="30">
                  <c:v>0.15606972575187683</c:v>
                </c:pt>
                <c:pt idx="31">
                  <c:v>0.17594604194164276</c:v>
                </c:pt>
              </c:numCache>
            </c:numRef>
          </c:val>
          <c:smooth val="0"/>
          <c:extLst>
            <c:ext xmlns:c16="http://schemas.microsoft.com/office/drawing/2014/chart" uri="{C3380CC4-5D6E-409C-BE32-E72D297353CC}">
              <c16:uniqueId val="{00000002-E425-4299-946E-614F6BCE2B9D}"/>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Fraction</a:t>
                </a:r>
              </a:p>
            </c:rich>
          </c:tx>
          <c:layout>
            <c:manualLayout>
              <c:xMode val="edge"/>
              <c:yMode val="edge"/>
              <c:x val="1.1378654066727252E-2"/>
              <c:y val="0.36074207295993654"/>
            </c:manualLayout>
          </c:layout>
          <c:overlay val="0"/>
        </c:title>
        <c:numFmt formatCode="#,##0.0" sourceLinked="0"/>
        <c:majorTickMark val="none"/>
        <c:minorTickMark val="none"/>
        <c:tickLblPos val="low"/>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b"/>
      <c:layout>
        <c:manualLayout>
          <c:xMode val="edge"/>
          <c:yMode val="edge"/>
          <c:x val="0.1578440379686154"/>
          <c:y val="0.13143753524849769"/>
          <c:w val="0.59566237208380857"/>
          <c:h val="6.9559068377190461E-2"/>
        </c:manualLayout>
      </c:layout>
      <c:overlay val="1"/>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'F7'!$M$2</c:f>
              <c:strCache>
                <c:ptCount val="1"/>
                <c:pt idx="0">
                  <c:v>Increased</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'F7'!$M$3:$M$34</c:f>
              <c:numCache>
                <c:formatCode>General</c:formatCode>
                <c:ptCount val="32"/>
                <c:pt idx="0">
                  <c:v>0.170154869556427</c:v>
                </c:pt>
                <c:pt idx="1">
                  <c:v>0.23448120057582855</c:v>
                </c:pt>
                <c:pt idx="2">
                  <c:v>0.2481183260679245</c:v>
                </c:pt>
                <c:pt idx="3">
                  <c:v>0.29785159230232239</c:v>
                </c:pt>
                <c:pt idx="4">
                  <c:v>0.19989971816539764</c:v>
                </c:pt>
                <c:pt idx="5">
                  <c:v>0.20173242688179016</c:v>
                </c:pt>
                <c:pt idx="6">
                  <c:v>0.20718373358249664</c:v>
                </c:pt>
                <c:pt idx="7">
                  <c:v>0.17087966203689575</c:v>
                </c:pt>
                <c:pt idx="8">
                  <c:v>0.24630078673362732</c:v>
                </c:pt>
                <c:pt idx="9">
                  <c:v>0.19668681919574738</c:v>
                </c:pt>
                <c:pt idx="10">
                  <c:v>0.1973579078912735</c:v>
                </c:pt>
                <c:pt idx="11">
                  <c:v>0.22874696552753448</c:v>
                </c:pt>
                <c:pt idx="12">
                  <c:v>0.10734838247299194</c:v>
                </c:pt>
                <c:pt idx="13">
                  <c:v>0.15538878738880157</c:v>
                </c:pt>
                <c:pt idx="14">
                  <c:v>0.1775083988904953</c:v>
                </c:pt>
                <c:pt idx="15">
                  <c:v>0.19818484783172607</c:v>
                </c:pt>
                <c:pt idx="16">
                  <c:v>0.25965780019760132</c:v>
                </c:pt>
                <c:pt idx="17">
                  <c:v>0.13795401155948639</c:v>
                </c:pt>
                <c:pt idx="18">
                  <c:v>0.25572767853736877</c:v>
                </c:pt>
                <c:pt idx="19">
                  <c:v>0.15692466497421265</c:v>
                </c:pt>
                <c:pt idx="20">
                  <c:v>0.14510741829872131</c:v>
                </c:pt>
                <c:pt idx="21">
                  <c:v>0.31016501784324646</c:v>
                </c:pt>
                <c:pt idx="22">
                  <c:v>0.21272753179073334</c:v>
                </c:pt>
                <c:pt idx="23">
                  <c:v>0.1679442822933197</c:v>
                </c:pt>
                <c:pt idx="24">
                  <c:v>0.15838631987571716</c:v>
                </c:pt>
                <c:pt idx="25">
                  <c:v>0.34144559502601624</c:v>
                </c:pt>
                <c:pt idx="26">
                  <c:v>0.22191137075424194</c:v>
                </c:pt>
                <c:pt idx="27">
                  <c:v>0.23153607547283173</c:v>
                </c:pt>
                <c:pt idx="28">
                  <c:v>0.15319734811782837</c:v>
                </c:pt>
                <c:pt idx="29">
                  <c:v>0.1444377601146698</c:v>
                </c:pt>
                <c:pt idx="30">
                  <c:v>0.20628407597541809</c:v>
                </c:pt>
                <c:pt idx="31">
                  <c:v>0.20633628964424133</c:v>
                </c:pt>
              </c:numCache>
            </c:numRef>
          </c:val>
          <c:smooth val="0"/>
          <c:extLst>
            <c:ext xmlns:c16="http://schemas.microsoft.com/office/drawing/2014/chart" uri="{C3380CC4-5D6E-409C-BE32-E72D297353CC}">
              <c16:uniqueId val="{00000000-457F-42EE-A6B6-8BF04C008439}"/>
            </c:ext>
          </c:extLst>
        </c:ser>
        <c:ser>
          <c:idx val="0"/>
          <c:order val="1"/>
          <c:tx>
            <c:strRef>
              <c:f>'F7'!$N$2</c:f>
              <c:strCache>
                <c:ptCount val="1"/>
                <c:pt idx="0">
                  <c:v>Same</c:v>
                </c:pt>
              </c:strCache>
            </c:strRef>
          </c:tx>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'F7'!$N$3:$N$34</c:f>
              <c:numCache>
                <c:formatCode>General</c:formatCode>
                <c:ptCount val="32"/>
                <c:pt idx="0">
                  <c:v>0.71602153778076172</c:v>
                </c:pt>
                <c:pt idx="1">
                  <c:v>0.64930516481399536</c:v>
                </c:pt>
                <c:pt idx="2">
                  <c:v>0.62799680233001709</c:v>
                </c:pt>
                <c:pt idx="3">
                  <c:v>0.60031604766845703</c:v>
                </c:pt>
                <c:pt idx="4">
                  <c:v>0.73019373416900635</c:v>
                </c:pt>
                <c:pt idx="5">
                  <c:v>0.68333142995834351</c:v>
                </c:pt>
                <c:pt idx="6">
                  <c:v>0.70197182893753052</c:v>
                </c:pt>
                <c:pt idx="7">
                  <c:v>0.66090118885040283</c:v>
                </c:pt>
                <c:pt idx="8">
                  <c:v>0.61993670463562012</c:v>
                </c:pt>
                <c:pt idx="9">
                  <c:v>0.71765100955963135</c:v>
                </c:pt>
                <c:pt idx="10">
                  <c:v>0.71447426080703735</c:v>
                </c:pt>
                <c:pt idx="11">
                  <c:v>0.7076566219329834</c:v>
                </c:pt>
                <c:pt idx="12">
                  <c:v>0.80089133977890015</c:v>
                </c:pt>
                <c:pt idx="13">
                  <c:v>0.75806230306625366</c:v>
                </c:pt>
                <c:pt idx="14">
                  <c:v>0.69535678625106812</c:v>
                </c:pt>
                <c:pt idx="15">
                  <c:v>0.73679912090301514</c:v>
                </c:pt>
                <c:pt idx="16">
                  <c:v>0.70457583665847778</c:v>
                </c:pt>
                <c:pt idx="17">
                  <c:v>0.7586284875869751</c:v>
                </c:pt>
                <c:pt idx="18">
                  <c:v>0.66402870416641235</c:v>
                </c:pt>
                <c:pt idx="19">
                  <c:v>0.70323145389556885</c:v>
                </c:pt>
                <c:pt idx="20">
                  <c:v>0.80670040845870972</c:v>
                </c:pt>
                <c:pt idx="21">
                  <c:v>0.61840653419494629</c:v>
                </c:pt>
                <c:pt idx="22">
                  <c:v>0.67805218696594238</c:v>
                </c:pt>
                <c:pt idx="23">
                  <c:v>0.72612255811691284</c:v>
                </c:pt>
                <c:pt idx="24">
                  <c:v>0.71988236904144287</c:v>
                </c:pt>
                <c:pt idx="25">
                  <c:v>0.60160928964614868</c:v>
                </c:pt>
                <c:pt idx="26">
                  <c:v>0.65578782558441162</c:v>
                </c:pt>
                <c:pt idx="27">
                  <c:v>0.65945196151733398</c:v>
                </c:pt>
                <c:pt idx="28">
                  <c:v>0.76161342859268188</c:v>
                </c:pt>
                <c:pt idx="29">
                  <c:v>0.74532133340835571</c:v>
                </c:pt>
                <c:pt idx="30">
                  <c:v>0.61170411109924316</c:v>
                </c:pt>
                <c:pt idx="31">
                  <c:v>0.58326661586761475</c:v>
                </c:pt>
              </c:numCache>
            </c:numRef>
          </c:val>
          <c:smooth val="0"/>
          <c:extLst>
            <c:ext xmlns:c16="http://schemas.microsoft.com/office/drawing/2014/chart" uri="{C3380CC4-5D6E-409C-BE32-E72D297353CC}">
              <c16:uniqueId val="{00000001-457F-42EE-A6B6-8BF04C008439}"/>
            </c:ext>
          </c:extLst>
        </c:ser>
        <c:ser>
          <c:idx val="2"/>
          <c:order val="2"/>
          <c:tx>
            <c:strRef>
              <c:f>'F7'!$O$2</c:f>
              <c:strCache>
                <c:ptCount val="1"/>
                <c:pt idx="0">
                  <c:v>Decreased</c:v>
                </c:pt>
              </c:strCache>
            </c:strRef>
          </c:tx>
          <c:cat>
            <c:strRef>
              <c:f>'F7'!$I$3:$I$34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'F7'!$O$3:$O$34</c:f>
              <c:numCache>
                <c:formatCode>General</c:formatCode>
                <c:ptCount val="32"/>
                <c:pt idx="0">
                  <c:v>0.11382359266281128</c:v>
                </c:pt>
                <c:pt idx="1">
                  <c:v>0.1162135973572731</c:v>
                </c:pt>
                <c:pt idx="2">
                  <c:v>0.12388487905263901</c:v>
                </c:pt>
                <c:pt idx="3">
                  <c:v>0.10183233022689819</c:v>
                </c:pt>
                <c:pt idx="4">
                  <c:v>6.9906517863273621E-2</c:v>
                </c:pt>
                <c:pt idx="5">
                  <c:v>0.11493612080812454</c:v>
                </c:pt>
                <c:pt idx="6">
                  <c:v>9.0844422578811646E-2</c:v>
                </c:pt>
                <c:pt idx="7">
                  <c:v>0.16821913421154022</c:v>
                </c:pt>
                <c:pt idx="8">
                  <c:v>0.13376249372959137</c:v>
                </c:pt>
                <c:pt idx="9">
                  <c:v>8.5662178695201874E-2</c:v>
                </c:pt>
                <c:pt idx="10">
                  <c:v>8.8167831301689148E-2</c:v>
                </c:pt>
                <c:pt idx="11">
                  <c:v>6.3596412539482117E-2</c:v>
                </c:pt>
                <c:pt idx="12">
                  <c:v>9.1760247945785522E-2</c:v>
                </c:pt>
                <c:pt idx="13">
                  <c:v>8.6548909544944763E-2</c:v>
                </c:pt>
                <c:pt idx="14">
                  <c:v>0.12713481485843658</c:v>
                </c:pt>
                <c:pt idx="15">
                  <c:v>6.5016061067581177E-2</c:v>
                </c:pt>
                <c:pt idx="16">
                  <c:v>3.5766340792179108E-2</c:v>
                </c:pt>
                <c:pt idx="17">
                  <c:v>0.10341750830411911</c:v>
                </c:pt>
                <c:pt idx="18">
                  <c:v>8.0243602395057678E-2</c:v>
                </c:pt>
                <c:pt idx="19">
                  <c:v>0.13984388113021851</c:v>
                </c:pt>
                <c:pt idx="20">
                  <c:v>4.8192143440246582E-2</c:v>
                </c:pt>
                <c:pt idx="21">
                  <c:v>7.1428418159484863E-2</c:v>
                </c:pt>
                <c:pt idx="22">
                  <c:v>0.10922028124332428</c:v>
                </c:pt>
                <c:pt idx="23">
                  <c:v>0.10593317449092865</c:v>
                </c:pt>
                <c:pt idx="24">
                  <c:v>0.12173133343458176</c:v>
                </c:pt>
                <c:pt idx="25">
                  <c:v>5.6945133954286575E-2</c:v>
                </c:pt>
                <c:pt idx="26">
                  <c:v>0.12230083346366882</c:v>
                </c:pt>
                <c:pt idx="27">
                  <c:v>0.10901197046041489</c:v>
                </c:pt>
                <c:pt idx="28">
                  <c:v>8.518923819065094E-2</c:v>
                </c:pt>
                <c:pt idx="29">
                  <c:v>0.11024092882871628</c:v>
                </c:pt>
                <c:pt idx="30">
                  <c:v>0.18201181292533875</c:v>
                </c:pt>
                <c:pt idx="31">
                  <c:v>0.21039709448814392</c:v>
                </c:pt>
              </c:numCache>
            </c:numRef>
          </c:val>
          <c:smooth val="0"/>
          <c:extLst>
            <c:ext xmlns:c16="http://schemas.microsoft.com/office/drawing/2014/chart" uri="{C3380CC4-5D6E-409C-BE32-E72D297353CC}">
              <c16:uniqueId val="{00000002-457F-42EE-A6B6-8BF04C008439}"/>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100"/>
                  <a:t>Fraction</a:t>
                </a:r>
              </a:p>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sz="1100" b="0">
                  <a:solidFill>
                    <a:sysClr val="windowText" lastClr="000000"/>
                  </a:solidFill>
                </a:endParaRPr>
              </a:p>
            </c:rich>
          </c:tx>
          <c:layout>
            <c:manualLayout>
              <c:xMode val="edge"/>
              <c:yMode val="edge"/>
              <c:x val="1.1378654066727252E-2"/>
              <c:y val="0.36074207295993654"/>
            </c:manualLayout>
          </c:layout>
          <c:overlay val="0"/>
        </c:title>
        <c:numFmt formatCode="#,##0.0" sourceLinked="0"/>
        <c:majorTickMark val="none"/>
        <c:minorTickMark val="none"/>
        <c:tickLblPos val="low"/>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b"/>
      <c:layout>
        <c:manualLayout>
          <c:xMode val="edge"/>
          <c:yMode val="edge"/>
          <c:x val="0.1578440379686154"/>
          <c:y val="0.13143753524849769"/>
          <c:w val="0.59566237208380857"/>
          <c:h val="6.9559068377190461E-2"/>
        </c:manualLayout>
      </c:layout>
      <c:overlay val="1"/>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'F7'!$J$2</c:f>
              <c:strCache>
                <c:ptCount val="1"/>
                <c:pt idx="0">
                  <c:v>Increased</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'F7'!$J$52:$J$59</c:f>
              <c:numCache>
                <c:formatCode>General</c:formatCode>
                <c:ptCount val="8"/>
                <c:pt idx="0">
                  <c:v>0.24297797679901123</c:v>
                </c:pt>
                <c:pt idx="1">
                  <c:v>0.20181354880332947</c:v>
                </c:pt>
                <c:pt idx="2">
                  <c:v>0.20538435876369476</c:v>
                </c:pt>
                <c:pt idx="3">
                  <c:v>0.16731493175029755</c:v>
                </c:pt>
                <c:pt idx="4">
                  <c:v>0.19239217042922974</c:v>
                </c:pt>
                <c:pt idx="5">
                  <c:v>0.22645437717437744</c:v>
                </c:pt>
                <c:pt idx="6">
                  <c:v>0.24622140824794769</c:v>
                </c:pt>
                <c:pt idx="7">
                  <c:v>0.16966463625431061</c:v>
                </c:pt>
              </c:numCache>
            </c:numRef>
          </c:val>
          <c:smooth val="0"/>
          <c:extLst>
            <c:ext xmlns:c16="http://schemas.microsoft.com/office/drawing/2014/chart" uri="{C3380CC4-5D6E-409C-BE32-E72D297353CC}">
              <c16:uniqueId val="{00000000-B47D-47A4-AEEE-628949C12E6C}"/>
            </c:ext>
          </c:extLst>
        </c:ser>
        <c:ser>
          <c:idx val="0"/>
          <c:order val="1"/>
          <c:tx>
            <c:strRef>
              <c:f>'F7'!$K$2</c:f>
              <c:strCache>
                <c:ptCount val="1"/>
                <c:pt idx="0">
                  <c:v>Same</c:v>
                </c:pt>
              </c:strCache>
            </c:strRef>
          </c:tx>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'F7'!$K$52:$K$59</c:f>
              <c:numCache>
                <c:formatCode>General</c:formatCode>
                <c:ptCount val="8"/>
                <c:pt idx="0">
                  <c:v>0.64816302061080933</c:v>
                </c:pt>
                <c:pt idx="1">
                  <c:v>0.68715953826904297</c:v>
                </c:pt>
                <c:pt idx="2">
                  <c:v>0.71007305383682251</c:v>
                </c:pt>
                <c:pt idx="3">
                  <c:v>0.74837076663970947</c:v>
                </c:pt>
                <c:pt idx="4">
                  <c:v>0.7177422046661377</c:v>
                </c:pt>
                <c:pt idx="5">
                  <c:v>0.68108612298965454</c:v>
                </c:pt>
                <c:pt idx="6">
                  <c:v>0.6516534686088562</c:v>
                </c:pt>
                <c:pt idx="7">
                  <c:v>0.7112763524055481</c:v>
                </c:pt>
              </c:numCache>
            </c:numRef>
          </c:val>
          <c:smooth val="0"/>
          <c:extLst>
            <c:ext xmlns:c16="http://schemas.microsoft.com/office/drawing/2014/chart" uri="{C3380CC4-5D6E-409C-BE32-E72D297353CC}">
              <c16:uniqueId val="{00000001-B47D-47A4-AEEE-628949C12E6C}"/>
            </c:ext>
          </c:extLst>
        </c:ser>
        <c:ser>
          <c:idx val="2"/>
          <c:order val="2"/>
          <c:tx>
            <c:strRef>
              <c:f>'F7'!$L$2</c:f>
              <c:strCache>
                <c:ptCount val="1"/>
                <c:pt idx="0">
                  <c:v>Decreased</c:v>
                </c:pt>
              </c:strCache>
            </c:strRef>
          </c:tx>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'F7'!$L$52:$L$59</c:f>
              <c:numCache>
                <c:formatCode>General</c:formatCode>
                <c:ptCount val="8"/>
                <c:pt idx="0">
                  <c:v>0.10885900259017944</c:v>
                </c:pt>
                <c:pt idx="1">
                  <c:v>0.11102693527936935</c:v>
                </c:pt>
                <c:pt idx="2">
                  <c:v>8.4542565047740936E-2</c:v>
                </c:pt>
                <c:pt idx="3">
                  <c:v>8.4314301609992981E-2</c:v>
                </c:pt>
                <c:pt idx="4">
                  <c:v>8.9865632355213165E-2</c:v>
                </c:pt>
                <c:pt idx="5">
                  <c:v>9.2459522187709808E-2</c:v>
                </c:pt>
                <c:pt idx="6">
                  <c:v>0.1021251380443573</c:v>
                </c:pt>
                <c:pt idx="7">
                  <c:v>0.1190590038895607</c:v>
                </c:pt>
              </c:numCache>
            </c:numRef>
          </c:val>
          <c:smooth val="0"/>
          <c:extLst>
            <c:ext xmlns:c16="http://schemas.microsoft.com/office/drawing/2014/chart" uri="{C3380CC4-5D6E-409C-BE32-E72D297353CC}">
              <c16:uniqueId val="{00000002-B47D-47A4-AEEE-628949C12E6C}"/>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Fraction</a:t>
                </a:r>
              </a:p>
            </c:rich>
          </c:tx>
          <c:layout>
            <c:manualLayout>
              <c:xMode val="edge"/>
              <c:yMode val="edge"/>
              <c:x val="1.1378654066727252E-2"/>
              <c:y val="0.36074207295993654"/>
            </c:manualLayout>
          </c:layout>
          <c:overlay val="0"/>
        </c:title>
        <c:numFmt formatCode="#,##0.0" sourceLinked="0"/>
        <c:majorTickMark val="none"/>
        <c:minorTickMark val="none"/>
        <c:tickLblPos val="low"/>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b"/>
      <c:layout>
        <c:manualLayout>
          <c:xMode val="edge"/>
          <c:yMode val="edge"/>
          <c:x val="0.1578440379686154"/>
          <c:y val="0.13143753524849769"/>
          <c:w val="0.59566237208380857"/>
          <c:h val="6.9559068377190461E-2"/>
        </c:manualLayout>
      </c:layout>
      <c:overlay val="1"/>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'F7'!$M$2</c:f>
              <c:strCache>
                <c:ptCount val="1"/>
                <c:pt idx="0">
                  <c:v>Increased</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'F7'!$M$52:$M$59</c:f>
              <c:numCache>
                <c:formatCode>General</c:formatCode>
                <c:ptCount val="8"/>
                <c:pt idx="0">
                  <c:v>0.25142890214920044</c:v>
                </c:pt>
                <c:pt idx="1">
                  <c:v>0.19630317389965057</c:v>
                </c:pt>
                <c:pt idx="2">
                  <c:v>0.22001662850379944</c:v>
                </c:pt>
                <c:pt idx="3">
                  <c:v>0.16140824556350708</c:v>
                </c:pt>
                <c:pt idx="4">
                  <c:v>0.20355415344238281</c:v>
                </c:pt>
                <c:pt idx="5">
                  <c:v>0.21707649528980255</c:v>
                </c:pt>
                <c:pt idx="6">
                  <c:v>0.235875204205513</c:v>
                </c:pt>
                <c:pt idx="7">
                  <c:v>0.17362135648727417</c:v>
                </c:pt>
              </c:numCache>
            </c:numRef>
          </c:val>
          <c:smooth val="0"/>
          <c:extLst>
            <c:ext xmlns:c16="http://schemas.microsoft.com/office/drawing/2014/chart" uri="{C3380CC4-5D6E-409C-BE32-E72D297353CC}">
              <c16:uniqueId val="{00000000-8DD7-4CCE-81C1-386EA835F661}"/>
            </c:ext>
          </c:extLst>
        </c:ser>
        <c:ser>
          <c:idx val="0"/>
          <c:order val="1"/>
          <c:tx>
            <c:strRef>
              <c:f>'F7'!$N$2</c:f>
              <c:strCache>
                <c:ptCount val="1"/>
                <c:pt idx="0">
                  <c:v>Same</c:v>
                </c:pt>
              </c:strCache>
            </c:strRef>
          </c:tx>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'F7'!$N$52:$N$59</c:f>
              <c:numCache>
                <c:formatCode>General</c:formatCode>
                <c:ptCount val="8"/>
                <c:pt idx="0">
                  <c:v>0.6372559666633606</c:v>
                </c:pt>
                <c:pt idx="1">
                  <c:v>0.69467437267303467</c:v>
                </c:pt>
                <c:pt idx="2">
                  <c:v>0.69686257839202881</c:v>
                </c:pt>
                <c:pt idx="3">
                  <c:v>0.74929130077362061</c:v>
                </c:pt>
                <c:pt idx="4">
                  <c:v>0.71172302961349487</c:v>
                </c:pt>
                <c:pt idx="5">
                  <c:v>0.69407331943511963</c:v>
                </c:pt>
                <c:pt idx="6">
                  <c:v>0.66042113304138184</c:v>
                </c:pt>
                <c:pt idx="7">
                  <c:v>0.69159722328186035</c:v>
                </c:pt>
              </c:numCache>
            </c:numRef>
          </c:val>
          <c:smooth val="0"/>
          <c:extLst>
            <c:ext xmlns:c16="http://schemas.microsoft.com/office/drawing/2014/chart" uri="{C3380CC4-5D6E-409C-BE32-E72D297353CC}">
              <c16:uniqueId val="{00000001-8DD7-4CCE-81C1-386EA835F661}"/>
            </c:ext>
          </c:extLst>
        </c:ser>
        <c:ser>
          <c:idx val="2"/>
          <c:order val="2"/>
          <c:tx>
            <c:strRef>
              <c:f>'F7'!$O$2</c:f>
              <c:strCache>
                <c:ptCount val="1"/>
                <c:pt idx="0">
                  <c:v>Decreased</c:v>
                </c:pt>
              </c:strCache>
            </c:strRef>
          </c:tx>
          <c:cat>
            <c:numRef>
              <c:f>'F7'!$I$52:$I$59</c:f>
              <c:numCache>
                <c:formatCode>General</c:formatCode>
                <c:ptCount val="8"/>
                <c:pt idx="0">
                  <c:v>2015</c:v>
                </c:pt>
                <c:pt idx="1">
                  <c:v>2016</c:v>
                </c:pt>
                <c:pt idx="2">
                  <c:v>2017</c:v>
                </c:pt>
                <c:pt idx="3">
                  <c:v>2018</c:v>
                </c:pt>
                <c:pt idx="4">
                  <c:v>2019</c:v>
                </c:pt>
                <c:pt idx="5">
                  <c:v>2020</c:v>
                </c:pt>
                <c:pt idx="6">
                  <c:v>2021</c:v>
                </c:pt>
                <c:pt idx="7">
                  <c:v>2022</c:v>
                </c:pt>
              </c:numCache>
            </c:numRef>
          </c:cat>
          <c:val>
            <c:numRef>
              <c:f>'F7'!$O$52:$O$59</c:f>
              <c:numCache>
                <c:formatCode>General</c:formatCode>
                <c:ptCount val="8"/>
                <c:pt idx="0">
                  <c:v>0.11131515353918076</c:v>
                </c:pt>
                <c:pt idx="1">
                  <c:v>0.10902243107557297</c:v>
                </c:pt>
                <c:pt idx="2">
                  <c:v>8.3120763301849365E-2</c:v>
                </c:pt>
                <c:pt idx="3">
                  <c:v>8.9300438761711121E-2</c:v>
                </c:pt>
                <c:pt idx="4">
                  <c:v>8.4722787141799927E-2</c:v>
                </c:pt>
                <c:pt idx="5">
                  <c:v>8.885018527507782E-2</c:v>
                </c:pt>
                <c:pt idx="6">
                  <c:v>0.10370366275310516</c:v>
                </c:pt>
                <c:pt idx="7">
                  <c:v>0.13478142023086548</c:v>
                </c:pt>
              </c:numCache>
            </c:numRef>
          </c:val>
          <c:smooth val="0"/>
          <c:extLst>
            <c:ext xmlns:c16="http://schemas.microsoft.com/office/drawing/2014/chart" uri="{C3380CC4-5D6E-409C-BE32-E72D297353CC}">
              <c16:uniqueId val="{00000002-8DD7-4CCE-81C1-386EA835F661}"/>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100"/>
                  <a:t>Fraction</a:t>
                </a:r>
              </a:p>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sz="1100" b="0">
                  <a:solidFill>
                    <a:sysClr val="windowText" lastClr="000000"/>
                  </a:solidFill>
                </a:endParaRPr>
              </a:p>
            </c:rich>
          </c:tx>
          <c:layout>
            <c:manualLayout>
              <c:xMode val="edge"/>
              <c:yMode val="edge"/>
              <c:x val="1.1378654066727252E-2"/>
              <c:y val="0.36074207295993654"/>
            </c:manualLayout>
          </c:layout>
          <c:overlay val="0"/>
        </c:title>
        <c:numFmt formatCode="#,##0.0" sourceLinked="0"/>
        <c:majorTickMark val="none"/>
        <c:minorTickMark val="none"/>
        <c:tickLblPos val="low"/>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b"/>
      <c:layout>
        <c:manualLayout>
          <c:xMode val="edge"/>
          <c:yMode val="edge"/>
          <c:x val="0.1578440379686154"/>
          <c:y val="0.13143753524849769"/>
          <c:w val="0.59566237208380857"/>
          <c:h val="6.9559068377190461E-2"/>
        </c:manualLayout>
      </c:layout>
      <c:overlay val="1"/>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'F8'!$K$2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'F8'!$K$3:$K$34</c:f>
              <c:numCache>
                <c:formatCode>General</c:formatCode>
                <c:ptCount val="32"/>
                <c:pt idx="0">
                  <c:v>0</c:v>
                </c:pt>
                <c:pt idx="1">
                  <c:v>0</c:v>
                </c:pt>
                <c:pt idx="2">
                  <c:v>346.2430419921875</c:v>
                </c:pt>
                <c:pt idx="3">
                  <c:v>0</c:v>
                </c:pt>
                <c:pt idx="4">
                  <c:v>99.694297790527344</c:v>
                </c:pt>
                <c:pt idx="5">
                  <c:v>197.46308898925781</c:v>
                </c:pt>
                <c:pt idx="6">
                  <c:v>98.602859497070313</c:v>
                </c:pt>
                <c:pt idx="7">
                  <c:v>197.15469360351563</c:v>
                </c:pt>
                <c:pt idx="8">
                  <c:v>392.03787231445313</c:v>
                </c:pt>
                <c:pt idx="9">
                  <c:v>0</c:v>
                </c:pt>
                <c:pt idx="10">
                  <c:v>292.39614868164063</c:v>
                </c:pt>
                <c:pt idx="11">
                  <c:v>0</c:v>
                </c:pt>
                <c:pt idx="12">
                  <c:v>193.29957580566406</c:v>
                </c:pt>
                <c:pt idx="13">
                  <c:v>191.69091796875</c:v>
                </c:pt>
                <c:pt idx="14">
                  <c:v>574.25250244140625</c:v>
                </c:pt>
                <c:pt idx="15">
                  <c:v>287.83132934570313</c:v>
                </c:pt>
                <c:pt idx="16">
                  <c:v>191.68466186523438</c:v>
                </c:pt>
                <c:pt idx="17">
                  <c:v>284.67544555664063</c:v>
                </c:pt>
                <c:pt idx="18">
                  <c:v>663.62939453125</c:v>
                </c:pt>
                <c:pt idx="19">
                  <c:v>947.76025390625</c:v>
                </c:pt>
                <c:pt idx="20">
                  <c:v>0</c:v>
                </c:pt>
                <c:pt idx="21">
                  <c:v>190.41343688964844</c:v>
                </c:pt>
                <c:pt idx="22">
                  <c:v>400.76431274414063</c:v>
                </c:pt>
                <c:pt idx="23">
                  <c:v>0</c:v>
                </c:pt>
                <c:pt idx="24">
                  <c:v>467.25616455078125</c:v>
                </c:pt>
                <c:pt idx="25">
                  <c:v>0</c:v>
                </c:pt>
                <c:pt idx="26">
                  <c:v>40.553680419921875</c:v>
                </c:pt>
                <c:pt idx="27">
                  <c:v>533.75286865234375</c:v>
                </c:pt>
                <c:pt idx="28">
                  <c:v>0</c:v>
                </c:pt>
                <c:pt idx="29">
                  <c:v>0</c:v>
                </c:pt>
                <c:pt idx="30">
                  <c:v>377.95904541015625</c:v>
                </c:pt>
                <c:pt idx="31">
                  <c:v>752.93389892578125</c:v>
                </c:pt>
              </c:numCache>
            </c:numRef>
          </c:val>
          <c:smooth val="0"/>
          <c:extLst>
            <c:ext xmlns:c16="http://schemas.microsoft.com/office/drawing/2014/chart" uri="{C3380CC4-5D6E-409C-BE32-E72D297353CC}">
              <c16:uniqueId val="{00000000-AE5B-4830-A079-E32D946B3BBD}"/>
            </c:ext>
          </c:extLst>
        </c:ser>
        <c:ser>
          <c:idx val="0"/>
          <c:order val="1"/>
          <c:tx>
            <c:strRef>
              <c:f>'F8'!$L$2</c:f>
              <c:strCache>
                <c:ptCount val="1"/>
                <c:pt idx="0">
                  <c:v>Families with Children</c:v>
                </c:pt>
              </c:strCache>
            </c:strRef>
          </c:tx>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'F8'!$L$3:$L$34</c:f>
              <c:numCache>
                <c:formatCode>General</c:formatCode>
                <c:ptCount val="32"/>
                <c:pt idx="0">
                  <c:v>0</c:v>
                </c:pt>
                <c:pt idx="1">
                  <c:v>0</c:v>
                </c:pt>
                <c:pt idx="2">
                  <c:v>474.84759521484375</c:v>
                </c:pt>
                <c:pt idx="3">
                  <c:v>1.9914233684539795</c:v>
                </c:pt>
                <c:pt idx="4">
                  <c:v>0</c:v>
                </c:pt>
                <c:pt idx="5">
                  <c:v>296.19464111328125</c:v>
                </c:pt>
                <c:pt idx="6">
                  <c:v>202.1358642578125</c:v>
                </c:pt>
                <c:pt idx="7">
                  <c:v>492.88674926757813</c:v>
                </c:pt>
                <c:pt idx="8">
                  <c:v>1078.1041259765625</c:v>
                </c:pt>
                <c:pt idx="9">
                  <c:v>0</c:v>
                </c:pt>
                <c:pt idx="10">
                  <c:v>487.32693481445313</c:v>
                </c:pt>
                <c:pt idx="11">
                  <c:v>0</c:v>
                </c:pt>
                <c:pt idx="12">
                  <c:v>773.19830322265625</c:v>
                </c:pt>
                <c:pt idx="13">
                  <c:v>349.83590698242188</c:v>
                </c:pt>
                <c:pt idx="14">
                  <c:v>957.0875244140625</c:v>
                </c:pt>
                <c:pt idx="15">
                  <c:v>575.66265869140625</c:v>
                </c:pt>
                <c:pt idx="16">
                  <c:v>383.36932373046875</c:v>
                </c:pt>
                <c:pt idx="17">
                  <c:v>474.45907592773438</c:v>
                </c:pt>
                <c:pt idx="18">
                  <c:v>1422.06298828125</c:v>
                </c:pt>
                <c:pt idx="19">
                  <c:v>1611.1923828125</c:v>
                </c:pt>
                <c:pt idx="20">
                  <c:v>189.17994689941406</c:v>
                </c:pt>
                <c:pt idx="21">
                  <c:v>482.69808959960938</c:v>
                </c:pt>
                <c:pt idx="22">
                  <c:v>471.4874267578125</c:v>
                </c:pt>
                <c:pt idx="23">
                  <c:v>0</c:v>
                </c:pt>
                <c:pt idx="24">
                  <c:v>467.25616455078125</c:v>
                </c:pt>
                <c:pt idx="25">
                  <c:v>274.20046997070313</c:v>
                </c:pt>
                <c:pt idx="26">
                  <c:v>90.119285583496094</c:v>
                </c:pt>
                <c:pt idx="27">
                  <c:v>661.85357666015625</c:v>
                </c:pt>
                <c:pt idx="28">
                  <c:v>217.77787780761719</c:v>
                </c:pt>
                <c:pt idx="29">
                  <c:v>0</c:v>
                </c:pt>
                <c:pt idx="30">
                  <c:v>838.046630859375</c:v>
                </c:pt>
                <c:pt idx="31">
                  <c:v>1673.1864013671875</c:v>
                </c:pt>
              </c:numCache>
            </c:numRef>
          </c:val>
          <c:smooth val="0"/>
          <c:extLst>
            <c:ext xmlns:c16="http://schemas.microsoft.com/office/drawing/2014/chart" uri="{C3380CC4-5D6E-409C-BE32-E72D297353CC}">
              <c16:uniqueId val="{00000001-AE5B-4830-A079-E32D946B3BBD}"/>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7747938495864197"/>
          <c:h val="0.16309807813424432"/>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'F8'!$M$2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'F8'!$M$3:$M$34</c:f>
              <c:numCache>
                <c:formatCode>General</c:formatCode>
                <c:ptCount val="32"/>
                <c:pt idx="0">
                  <c:v>5700</c:v>
                </c:pt>
                <c:pt idx="1">
                  <c:v>1979.86181640625</c:v>
                </c:pt>
                <c:pt idx="2">
                  <c:v>3957.063232421875</c:v>
                </c:pt>
                <c:pt idx="3">
                  <c:v>3982.8466796875</c:v>
                </c:pt>
                <c:pt idx="4">
                  <c:v>3987.771728515625</c:v>
                </c:pt>
                <c:pt idx="5">
                  <c:v>3949.26171875</c:v>
                </c:pt>
                <c:pt idx="6">
                  <c:v>3411.6591796875</c:v>
                </c:pt>
                <c:pt idx="7">
                  <c:v>4928.8671875</c:v>
                </c:pt>
                <c:pt idx="8">
                  <c:v>3920.37890625</c:v>
                </c:pt>
                <c:pt idx="9">
                  <c:v>2734.7001953125</c:v>
                </c:pt>
                <c:pt idx="10">
                  <c:v>4873.26953125</c:v>
                </c:pt>
                <c:pt idx="11">
                  <c:v>1654.265625</c:v>
                </c:pt>
                <c:pt idx="12">
                  <c:v>4349.240234375</c:v>
                </c:pt>
                <c:pt idx="13">
                  <c:v>2875.36376953125</c:v>
                </c:pt>
                <c:pt idx="14">
                  <c:v>4306.89404296875</c:v>
                </c:pt>
                <c:pt idx="15">
                  <c:v>2878.313232421875</c:v>
                </c:pt>
                <c:pt idx="16">
                  <c:v>3066.95458984375</c:v>
                </c:pt>
                <c:pt idx="17">
                  <c:v>2372.29541015625</c:v>
                </c:pt>
                <c:pt idx="18">
                  <c:v>6020.06640625</c:v>
                </c:pt>
                <c:pt idx="19">
                  <c:v>3317.160888671875</c:v>
                </c:pt>
                <c:pt idx="20">
                  <c:v>2837.69921875</c:v>
                </c:pt>
                <c:pt idx="21">
                  <c:v>3427.44189453125</c:v>
                </c:pt>
                <c:pt idx="22">
                  <c:v>4714.8740234375</c:v>
                </c:pt>
                <c:pt idx="23">
                  <c:v>1885.939697265625</c:v>
                </c:pt>
                <c:pt idx="24">
                  <c:v>5134.2109375</c:v>
                </c:pt>
                <c:pt idx="25">
                  <c:v>2056.503662109375</c:v>
                </c:pt>
                <c:pt idx="26">
                  <c:v>1532.0279541015625</c:v>
                </c:pt>
                <c:pt idx="27">
                  <c:v>3113.55859375</c:v>
                </c:pt>
                <c:pt idx="28">
                  <c:v>1306.667236328125</c:v>
                </c:pt>
                <c:pt idx="29">
                  <c:v>2160.650634765625</c:v>
                </c:pt>
                <c:pt idx="30">
                  <c:v>6704.373046875</c:v>
                </c:pt>
                <c:pt idx="31">
                  <c:v>5856.15234375</c:v>
                </c:pt>
              </c:numCache>
            </c:numRef>
          </c:val>
          <c:smooth val="0"/>
          <c:extLst>
            <c:ext xmlns:c16="http://schemas.microsoft.com/office/drawing/2014/chart" uri="{C3380CC4-5D6E-409C-BE32-E72D297353CC}">
              <c16:uniqueId val="{00000000-0685-42B2-AF78-3851D21D64AC}"/>
            </c:ext>
          </c:extLst>
        </c:ser>
        <c:ser>
          <c:idx val="0"/>
          <c:order val="1"/>
          <c:tx>
            <c:strRef>
              <c:f>'F8'!$N$2</c:f>
              <c:strCache>
                <c:ptCount val="1"/>
                <c:pt idx="0">
                  <c:v>Families with Children</c:v>
                </c:pt>
              </c:strCache>
            </c:strRef>
          </c:tx>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'F8'!$N$3:$N$34</c:f>
              <c:numCache>
                <c:formatCode>General</c:formatCode>
                <c:ptCount val="32"/>
                <c:pt idx="0">
                  <c:v>4000</c:v>
                </c:pt>
                <c:pt idx="1">
                  <c:v>2474.8271484375</c:v>
                </c:pt>
                <c:pt idx="2">
                  <c:v>4946.3291015625</c:v>
                </c:pt>
                <c:pt idx="3">
                  <c:v>4978.55859375</c:v>
                </c:pt>
                <c:pt idx="4">
                  <c:v>4984.71484375</c:v>
                </c:pt>
                <c:pt idx="5">
                  <c:v>6911.2080078125</c:v>
                </c:pt>
                <c:pt idx="6">
                  <c:v>4930.14306640625</c:v>
                </c:pt>
                <c:pt idx="7">
                  <c:v>5914.64111328125</c:v>
                </c:pt>
                <c:pt idx="8">
                  <c:v>6370.61572265625</c:v>
                </c:pt>
                <c:pt idx="9">
                  <c:v>2930.035888671875</c:v>
                </c:pt>
                <c:pt idx="10">
                  <c:v>5847.92333984375</c:v>
                </c:pt>
                <c:pt idx="11">
                  <c:v>1459.6461181640625</c:v>
                </c:pt>
                <c:pt idx="12">
                  <c:v>4542.5400390625</c:v>
                </c:pt>
                <c:pt idx="13">
                  <c:v>4792.27294921875</c:v>
                </c:pt>
                <c:pt idx="14">
                  <c:v>4785.4375</c:v>
                </c:pt>
                <c:pt idx="15">
                  <c:v>3358.0322265625</c:v>
                </c:pt>
                <c:pt idx="16">
                  <c:v>3833.693359375</c:v>
                </c:pt>
                <c:pt idx="17">
                  <c:v>4744.5908203125</c:v>
                </c:pt>
                <c:pt idx="18">
                  <c:v>18960.83984375</c:v>
                </c:pt>
                <c:pt idx="19">
                  <c:v>4738.80126953125</c:v>
                </c:pt>
                <c:pt idx="20">
                  <c:v>2837.69921875</c:v>
                </c:pt>
                <c:pt idx="21">
                  <c:v>4760.3359375</c:v>
                </c:pt>
                <c:pt idx="22">
                  <c:v>5657.84912109375</c:v>
                </c:pt>
                <c:pt idx="23">
                  <c:v>1885.939697265625</c:v>
                </c:pt>
                <c:pt idx="24">
                  <c:v>7476.0986328125</c:v>
                </c:pt>
                <c:pt idx="25">
                  <c:v>2742.0048828125</c:v>
                </c:pt>
                <c:pt idx="26">
                  <c:v>1802.3857421875</c:v>
                </c:pt>
                <c:pt idx="27">
                  <c:v>4447.94091796875</c:v>
                </c:pt>
                <c:pt idx="28">
                  <c:v>1742.2230224609375</c:v>
                </c:pt>
                <c:pt idx="29">
                  <c:v>2372.47900390625</c:v>
                </c:pt>
                <c:pt idx="30">
                  <c:v>12570.69921875</c:v>
                </c:pt>
                <c:pt idx="31">
                  <c:v>8365.9326171875</c:v>
                </c:pt>
              </c:numCache>
            </c:numRef>
          </c:val>
          <c:smooth val="0"/>
          <c:extLst>
            <c:ext xmlns:c16="http://schemas.microsoft.com/office/drawing/2014/chart" uri="{C3380CC4-5D6E-409C-BE32-E72D297353CC}">
              <c16:uniqueId val="{00000001-0685-42B2-AF78-3851D21D64AC}"/>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271901122063895"/>
          <c:h val="0.16309807813424432"/>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'F8'!$O$2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'F8'!$O$3:$O$34</c:f>
              <c:numCache>
                <c:formatCode>General</c:formatCode>
                <c:ptCount val="32"/>
                <c:pt idx="0">
                  <c:v>0.24904334545135498</c:v>
                </c:pt>
                <c:pt idx="1">
                  <c:v>0.20685964822769165</c:v>
                </c:pt>
                <c:pt idx="2">
                  <c:v>0.28812617063522339</c:v>
                </c:pt>
                <c:pt idx="3">
                  <c:v>0.23637744784355164</c:v>
                </c:pt>
                <c:pt idx="4">
                  <c:v>0.25361847877502441</c:v>
                </c:pt>
                <c:pt idx="5">
                  <c:v>0.25857815146446228</c:v>
                </c:pt>
                <c:pt idx="6">
                  <c:v>0.25575739145278931</c:v>
                </c:pt>
                <c:pt idx="7">
                  <c:v>0.26272794604301453</c:v>
                </c:pt>
                <c:pt idx="8">
                  <c:v>0.2953830361366272</c:v>
                </c:pt>
                <c:pt idx="9">
                  <c:v>0.2485550194978714</c:v>
                </c:pt>
                <c:pt idx="10">
                  <c:v>0.28321677446365356</c:v>
                </c:pt>
                <c:pt idx="11">
                  <c:v>0.22821669280529022</c:v>
                </c:pt>
                <c:pt idx="12">
                  <c:v>0.2734852135181427</c:v>
                </c:pt>
                <c:pt idx="13">
                  <c:v>0.27665403485298157</c:v>
                </c:pt>
                <c:pt idx="14">
                  <c:v>0.29770049452781677</c:v>
                </c:pt>
                <c:pt idx="15">
                  <c:v>0.28196066617965698</c:v>
                </c:pt>
                <c:pt idx="16">
                  <c:v>0.26440176367759705</c:v>
                </c:pt>
                <c:pt idx="17">
                  <c:v>0.26746651530265808</c:v>
                </c:pt>
                <c:pt idx="18">
                  <c:v>0.33804336190223694</c:v>
                </c:pt>
                <c:pt idx="19">
                  <c:v>0.33841130137443542</c:v>
                </c:pt>
                <c:pt idx="20">
                  <c:v>0.24633923172950745</c:v>
                </c:pt>
                <c:pt idx="21">
                  <c:v>0.27201145887374878</c:v>
                </c:pt>
                <c:pt idx="22">
                  <c:v>0.31024619936943054</c:v>
                </c:pt>
                <c:pt idx="23">
                  <c:v>0.18786704540252686</c:v>
                </c:pt>
                <c:pt idx="24">
                  <c:v>0.33063483238220215</c:v>
                </c:pt>
                <c:pt idx="25">
                  <c:v>0.24896441400051117</c:v>
                </c:pt>
                <c:pt idx="26">
                  <c:v>0.25476559996604919</c:v>
                </c:pt>
                <c:pt idx="27">
                  <c:v>0.34699657559394836</c:v>
                </c:pt>
                <c:pt idx="28">
                  <c:v>0.21480327844619751</c:v>
                </c:pt>
                <c:pt idx="29">
                  <c:v>0.22092165052890778</c:v>
                </c:pt>
                <c:pt idx="30">
                  <c:v>0.29167899489402771</c:v>
                </c:pt>
                <c:pt idx="31">
                  <c:v>0.31535997986793518</c:v>
                </c:pt>
              </c:numCache>
            </c:numRef>
          </c:val>
          <c:smooth val="0"/>
          <c:extLst>
            <c:ext xmlns:c16="http://schemas.microsoft.com/office/drawing/2014/chart" uri="{C3380CC4-5D6E-409C-BE32-E72D297353CC}">
              <c16:uniqueId val="{00000000-18AE-4418-9364-D517330E3950}"/>
            </c:ext>
          </c:extLst>
        </c:ser>
        <c:ser>
          <c:idx val="0"/>
          <c:order val="1"/>
          <c:tx>
            <c:strRef>
              <c:f>'F8'!$P$2</c:f>
              <c:strCache>
                <c:ptCount val="1"/>
                <c:pt idx="0">
                  <c:v>Families with Children</c:v>
                </c:pt>
              </c:strCache>
            </c:strRef>
          </c:tx>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'F8'!$P$3:$P$34</c:f>
              <c:numCache>
                <c:formatCode>General</c:formatCode>
                <c:ptCount val="32"/>
                <c:pt idx="0">
                  <c:v>0.24825111031532288</c:v>
                </c:pt>
                <c:pt idx="1">
                  <c:v>0.23029838502407074</c:v>
                </c:pt>
                <c:pt idx="2">
                  <c:v>0.32008528709411621</c:v>
                </c:pt>
                <c:pt idx="3">
                  <c:v>0.25136387348175049</c:v>
                </c:pt>
                <c:pt idx="4">
                  <c:v>0.24084204435348511</c:v>
                </c:pt>
                <c:pt idx="5">
                  <c:v>0.27104729413986206</c:v>
                </c:pt>
                <c:pt idx="6">
                  <c:v>0.28354045748710632</c:v>
                </c:pt>
                <c:pt idx="7">
                  <c:v>0.27989348769187927</c:v>
                </c:pt>
                <c:pt idx="8">
                  <c:v>0.3403647243976593</c:v>
                </c:pt>
                <c:pt idx="9">
                  <c:v>0.24492350220680237</c:v>
                </c:pt>
                <c:pt idx="10">
                  <c:v>0.31142053008079529</c:v>
                </c:pt>
                <c:pt idx="11">
                  <c:v>0.24330402910709381</c:v>
                </c:pt>
                <c:pt idx="12">
                  <c:v>0.31408661603927612</c:v>
                </c:pt>
                <c:pt idx="13">
                  <c:v>0.30834004282951355</c:v>
                </c:pt>
                <c:pt idx="14">
                  <c:v>0.31746703386306763</c:v>
                </c:pt>
                <c:pt idx="15">
                  <c:v>0.3062002956867218</c:v>
                </c:pt>
                <c:pt idx="16">
                  <c:v>0.27511647343635559</c:v>
                </c:pt>
                <c:pt idx="17">
                  <c:v>0.29717704653739929</c:v>
                </c:pt>
                <c:pt idx="18">
                  <c:v>0.39830657839775085</c:v>
                </c:pt>
                <c:pt idx="19">
                  <c:v>0.3681812584400177</c:v>
                </c:pt>
                <c:pt idx="20">
                  <c:v>0.25912430882453918</c:v>
                </c:pt>
                <c:pt idx="21">
                  <c:v>0.2832973301410675</c:v>
                </c:pt>
                <c:pt idx="22">
                  <c:v>0.3226436972618103</c:v>
                </c:pt>
                <c:pt idx="23">
                  <c:v>0.18689124286174774</c:v>
                </c:pt>
                <c:pt idx="24">
                  <c:v>0.35499414801597595</c:v>
                </c:pt>
                <c:pt idx="25">
                  <c:v>0.28867003321647644</c:v>
                </c:pt>
                <c:pt idx="26">
                  <c:v>0.2689240574836731</c:v>
                </c:pt>
                <c:pt idx="27">
                  <c:v>0.38617995381355286</c:v>
                </c:pt>
                <c:pt idx="28">
                  <c:v>0.26345682144165039</c:v>
                </c:pt>
                <c:pt idx="29">
                  <c:v>0.23852789402008057</c:v>
                </c:pt>
                <c:pt idx="30">
                  <c:v>0.32966771721839905</c:v>
                </c:pt>
                <c:pt idx="31">
                  <c:v>0.36308968067169189</c:v>
                </c:pt>
              </c:numCache>
            </c:numRef>
          </c:val>
          <c:smooth val="0"/>
          <c:extLst>
            <c:ext xmlns:c16="http://schemas.microsoft.com/office/drawing/2014/chart" uri="{C3380CC4-5D6E-409C-BE32-E72D297353CC}">
              <c16:uniqueId val="{00000001-18AE-4418-9364-D517330E3950}"/>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Share</a:t>
                </a:r>
              </a:p>
            </c:rich>
          </c:tx>
          <c:layout>
            <c:manualLayout>
              <c:xMode val="edge"/>
              <c:yMode val="edge"/>
              <c:x val="1.1378654066727252E-2"/>
              <c:y val="0.36074207295993654"/>
            </c:manualLayout>
          </c:layout>
          <c:overlay val="0"/>
        </c:title>
        <c:numFmt formatCode="#,##0.0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271901122063895"/>
          <c:h val="0.16309807813424432"/>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19398022231541"/>
          <c:y val="0.17986596181975811"/>
          <c:w val="0.812699559317554"/>
          <c:h val="0.58425052987098525"/>
        </c:manualLayout>
      </c:layout>
      <c:lineChart>
        <c:grouping val="standard"/>
        <c:varyColors val="0"/>
        <c:ser>
          <c:idx val="1"/>
          <c:order val="0"/>
          <c:tx>
            <c:strRef>
              <c:f>'F8'!$Q$2</c:f>
              <c:strCache>
                <c:ptCount val="1"/>
                <c:pt idx="0">
                  <c:v>All Families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'F8'!$Q$3:$Q$34</c:f>
              <c:numCache>
                <c:formatCode>General</c:formatCode>
                <c:ptCount val="32"/>
                <c:pt idx="0">
                  <c:v>2500</c:v>
                </c:pt>
                <c:pt idx="1">
                  <c:v>1979.86181640625</c:v>
                </c:pt>
                <c:pt idx="2">
                  <c:v>2077.458251953125</c:v>
                </c:pt>
                <c:pt idx="3">
                  <c:v>2290.136962890625</c:v>
                </c:pt>
                <c:pt idx="4">
                  <c:v>2492.357421875</c:v>
                </c:pt>
                <c:pt idx="5">
                  <c:v>2863.21484375</c:v>
                </c:pt>
                <c:pt idx="6">
                  <c:v>2958.0859375</c:v>
                </c:pt>
                <c:pt idx="7">
                  <c:v>2957.320556640625</c:v>
                </c:pt>
                <c:pt idx="8">
                  <c:v>1960.189453125</c:v>
                </c:pt>
                <c:pt idx="9">
                  <c:v>1953.3572998046875</c:v>
                </c:pt>
                <c:pt idx="10">
                  <c:v>1949.3077392578125</c:v>
                </c:pt>
                <c:pt idx="11">
                  <c:v>1459.6461181640625</c:v>
                </c:pt>
                <c:pt idx="12">
                  <c:v>2416.24462890625</c:v>
                </c:pt>
                <c:pt idx="13">
                  <c:v>1437.681884765625</c:v>
                </c:pt>
                <c:pt idx="14">
                  <c:v>2871.2626953125</c:v>
                </c:pt>
                <c:pt idx="15">
                  <c:v>1918.87548828125</c:v>
                </c:pt>
                <c:pt idx="16">
                  <c:v>1916.8466796875</c:v>
                </c:pt>
                <c:pt idx="17">
                  <c:v>1423.377197265625</c:v>
                </c:pt>
                <c:pt idx="18">
                  <c:v>2749.32177734375</c:v>
                </c:pt>
                <c:pt idx="19">
                  <c:v>1800.7445068359375</c:v>
                </c:pt>
                <c:pt idx="20">
                  <c:v>1891.799560546875</c:v>
                </c:pt>
                <c:pt idx="21">
                  <c:v>2570.58154296875</c:v>
                </c:pt>
                <c:pt idx="22">
                  <c:v>1885.94970703125</c:v>
                </c:pt>
                <c:pt idx="23">
                  <c:v>2046.24462890625</c:v>
                </c:pt>
                <c:pt idx="24">
                  <c:v>2336.28076171875</c:v>
                </c:pt>
                <c:pt idx="25">
                  <c:v>1828.003173828125</c:v>
                </c:pt>
                <c:pt idx="26">
                  <c:v>1081.4315185546875</c:v>
                </c:pt>
                <c:pt idx="27">
                  <c:v>1334.3822021484375</c:v>
                </c:pt>
                <c:pt idx="28">
                  <c:v>871.11151123046875</c:v>
                </c:pt>
                <c:pt idx="29">
                  <c:v>2118.284912109375</c:v>
                </c:pt>
                <c:pt idx="30">
                  <c:v>3352.1865234375</c:v>
                </c:pt>
                <c:pt idx="31">
                  <c:v>2928.076171875</c:v>
                </c:pt>
              </c:numCache>
            </c:numRef>
          </c:val>
          <c:smooth val="0"/>
          <c:extLst>
            <c:ext xmlns:c16="http://schemas.microsoft.com/office/drawing/2014/chart" uri="{C3380CC4-5D6E-409C-BE32-E72D297353CC}">
              <c16:uniqueId val="{00000000-A5DA-4F1A-951C-8140AB945349}"/>
            </c:ext>
          </c:extLst>
        </c:ser>
        <c:ser>
          <c:idx val="0"/>
          <c:order val="1"/>
          <c:tx>
            <c:strRef>
              <c:f>'F8'!$R$2</c:f>
              <c:strCache>
                <c:ptCount val="1"/>
                <c:pt idx="0">
                  <c:v>Families with Children</c:v>
                </c:pt>
              </c:strCache>
            </c:strRef>
          </c:tx>
          <c:cat>
            <c:strRef>
              <c:f>'F8'!$J$3:$J$34</c:f>
              <c:strCache>
                <c:ptCount val="32"/>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strCache>
            </c:strRef>
          </c:cat>
          <c:val>
            <c:numRef>
              <c:f>'F8'!$R$3:$R$34</c:f>
              <c:numCache>
                <c:formatCode>General</c:formatCode>
                <c:ptCount val="32"/>
                <c:pt idx="0">
                  <c:v>2500</c:v>
                </c:pt>
                <c:pt idx="1">
                  <c:v>1979.86181640625</c:v>
                </c:pt>
                <c:pt idx="2">
                  <c:v>2671.017578125</c:v>
                </c:pt>
                <c:pt idx="3">
                  <c:v>3982.8466796875</c:v>
                </c:pt>
                <c:pt idx="4">
                  <c:v>3987.771728515625</c:v>
                </c:pt>
                <c:pt idx="5">
                  <c:v>2961.9462890625</c:v>
                </c:pt>
                <c:pt idx="6">
                  <c:v>2958.0859375</c:v>
                </c:pt>
                <c:pt idx="7">
                  <c:v>3943.093994140625</c:v>
                </c:pt>
                <c:pt idx="8">
                  <c:v>1960.189453125</c:v>
                </c:pt>
                <c:pt idx="9">
                  <c:v>2051.025146484375</c:v>
                </c:pt>
                <c:pt idx="10">
                  <c:v>2923.961669921875</c:v>
                </c:pt>
                <c:pt idx="11">
                  <c:v>1459.6461181640625</c:v>
                </c:pt>
                <c:pt idx="12">
                  <c:v>2899.49365234375</c:v>
                </c:pt>
                <c:pt idx="13">
                  <c:v>1916.9090576171875</c:v>
                </c:pt>
                <c:pt idx="14">
                  <c:v>2871.2626953125</c:v>
                </c:pt>
                <c:pt idx="15">
                  <c:v>1918.87548828125</c:v>
                </c:pt>
                <c:pt idx="16">
                  <c:v>1916.8466796875</c:v>
                </c:pt>
                <c:pt idx="17">
                  <c:v>1897.8363037109375</c:v>
                </c:pt>
                <c:pt idx="18">
                  <c:v>3792.167724609375</c:v>
                </c:pt>
                <c:pt idx="19">
                  <c:v>2369.400634765625</c:v>
                </c:pt>
                <c:pt idx="20">
                  <c:v>2364.74951171875</c:v>
                </c:pt>
                <c:pt idx="21">
                  <c:v>2570.58154296875</c:v>
                </c:pt>
                <c:pt idx="22">
                  <c:v>1885.94970703125</c:v>
                </c:pt>
                <c:pt idx="23">
                  <c:v>2357.424560546875</c:v>
                </c:pt>
                <c:pt idx="24">
                  <c:v>1401.7685546875</c:v>
                </c:pt>
                <c:pt idx="25">
                  <c:v>1828.003173828125</c:v>
                </c:pt>
                <c:pt idx="26">
                  <c:v>1532.0279541015625</c:v>
                </c:pt>
                <c:pt idx="27">
                  <c:v>1334.3822021484375</c:v>
                </c:pt>
                <c:pt idx="28">
                  <c:v>1306.667236328125</c:v>
                </c:pt>
                <c:pt idx="29">
                  <c:v>2118.284912109375</c:v>
                </c:pt>
                <c:pt idx="30">
                  <c:v>5866.32666015625</c:v>
                </c:pt>
                <c:pt idx="31">
                  <c:v>3011.735595703125</c:v>
                </c:pt>
              </c:numCache>
            </c:numRef>
          </c:val>
          <c:smooth val="0"/>
          <c:extLst>
            <c:ext xmlns:c16="http://schemas.microsoft.com/office/drawing/2014/chart" uri="{C3380CC4-5D6E-409C-BE32-E72D297353CC}">
              <c16:uniqueId val="{00000001-A5DA-4F1A-951C-8140AB945349}"/>
            </c:ext>
          </c:extLst>
        </c:ser>
        <c:dLbls>
          <c:showLegendKey val="0"/>
          <c:showVal val="0"/>
          <c:showCatName val="0"/>
          <c:showSerName val="0"/>
          <c:showPercent val="0"/>
          <c:showBubbleSize val="0"/>
        </c:dLbls>
        <c:marker val="1"/>
        <c:smooth val="0"/>
        <c:axId val="1726610864"/>
        <c:axId val="1"/>
      </c:lineChart>
      <c:catAx>
        <c:axId val="172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1050"/>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100" b="0">
                    <a:solidFill>
                      <a:sysClr val="windowText" lastClr="000000"/>
                    </a:solidFill>
                  </a:defRPr>
                </a:pPr>
                <a:r>
                  <a:rPr lang="en-US" sz="1100" b="0">
                    <a:solidFill>
                      <a:sysClr val="windowText" lastClr="000000"/>
                    </a:solidFill>
                  </a:rPr>
                  <a:t>2015Q1 $</a:t>
                </a:r>
              </a:p>
            </c:rich>
          </c:tx>
          <c:layout>
            <c:manualLayout>
              <c:xMode val="edge"/>
              <c:yMode val="edge"/>
              <c:x val="1.1378654066727252E-2"/>
              <c:y val="0.36074207295993654"/>
            </c:manualLayout>
          </c:layout>
          <c:overlay val="0"/>
        </c:title>
        <c:numFmt formatCode="#,##0" sourceLinked="0"/>
        <c:majorTickMark val="none"/>
        <c:minorTickMark val="none"/>
        <c:tickLblPos val="nextTo"/>
        <c:spPr>
          <a:ln w="9525">
            <a:noFill/>
          </a:ln>
        </c:spPr>
        <c:txPr>
          <a:bodyPr rot="-60000000" vert="horz"/>
          <a:lstStyle/>
          <a:p>
            <a:pPr>
              <a:defRPr sz="1100"/>
            </a:pPr>
            <a:endParaRPr lang="en-US"/>
          </a:p>
        </c:txPr>
        <c:crossAx val="1726610864"/>
        <c:crosses val="autoZero"/>
        <c:crossBetween val="between"/>
      </c:valAx>
      <c:spPr>
        <a:noFill/>
        <a:ln w="25400">
          <a:noFill/>
        </a:ln>
      </c:spPr>
    </c:plotArea>
    <c:legend>
      <c:legendPos val="r"/>
      <c:layout>
        <c:manualLayout>
          <c:xMode val="edge"/>
          <c:yMode val="edge"/>
          <c:x val="0.16880615660668077"/>
          <c:y val="0.18177134674699499"/>
          <c:w val="0.38271901122063895"/>
          <c:h val="0.16309807813424432"/>
        </c:manualLayout>
      </c:layout>
      <c:overlay val="0"/>
    </c:legend>
    <c:plotVisOnly val="1"/>
    <c:dispBlanksAs val="gap"/>
    <c:showDLblsOverMax val="0"/>
  </c:chart>
  <c:spPr>
    <a:solidFill>
      <a:schemeClr val="bg1"/>
    </a:solidFill>
    <a:ln w="9525" cap="flat" cmpd="sng" algn="ctr">
      <a:solidFill>
        <a:schemeClr val="tx1"/>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'F9'!$R$1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'F9'!$Q$2:$Q$9</c:f>
              <c:numCache>
                <c:formatCode>General</c:formatCode>
                <c:ptCount val="8"/>
                <c:pt idx="0">
                  <c:v>2015</c:v>
                </c:pt>
                <c:pt idx="1">
                  <c:v>2016</c:v>
                </c:pt>
                <c:pt idx="2">
                  <c:v>2017</c:v>
                </c:pt>
                <c:pt idx="3">
                  <c:v>2018</c:v>
                </c:pt>
                <c:pt idx="4">
                  <c:v>2019</c:v>
                </c:pt>
                <c:pt idx="5">
                  <c:v>2020</c:v>
                </c:pt>
                <c:pt idx="6">
                  <c:v>2021</c:v>
                </c:pt>
                <c:pt idx="7">
                  <c:v>2022</c:v>
                </c:pt>
              </c:numCache>
            </c:numRef>
          </c:cat>
          <c:val>
            <c:numRef>
              <c:f>'F9'!$R$2:$R$9</c:f>
              <c:numCache>
                <c:formatCode>General</c:formatCode>
                <c:ptCount val="8"/>
                <c:pt idx="0">
                  <c:v>0.38065317273139954</c:v>
                </c:pt>
                <c:pt idx="1">
                  <c:v>0.39422354102134705</c:v>
                </c:pt>
                <c:pt idx="2">
                  <c:v>0.34067997336387634</c:v>
                </c:pt>
                <c:pt idx="3">
                  <c:v>0.36312782764434814</c:v>
                </c:pt>
                <c:pt idx="4">
                  <c:v>0.35538339614868164</c:v>
                </c:pt>
                <c:pt idx="5">
                  <c:v>0.37223708629608154</c:v>
                </c:pt>
                <c:pt idx="6">
                  <c:v>0.33414658904075623</c:v>
                </c:pt>
                <c:pt idx="7">
                  <c:v>0.39460599422454834</c:v>
                </c:pt>
              </c:numCache>
            </c:numRef>
          </c:val>
          <c:smooth val="0"/>
          <c:extLst>
            <c:ext xmlns:c16="http://schemas.microsoft.com/office/drawing/2014/chart" uri="{C3380CC4-5D6E-409C-BE32-E72D297353CC}">
              <c16:uniqueId val="{00000000-3085-4DD6-B839-A4602EB89FF7}"/>
            </c:ext>
          </c:extLst>
        </c:ser>
        <c:ser>
          <c:idx val="6"/>
          <c:order val="1"/>
          <c:tx>
            <c:strRef>
              <c:f>'F9'!$S$1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'F9'!$Q$2:$Q$9</c:f>
              <c:numCache>
                <c:formatCode>General</c:formatCode>
                <c:ptCount val="8"/>
                <c:pt idx="0">
                  <c:v>2015</c:v>
                </c:pt>
                <c:pt idx="1">
                  <c:v>2016</c:v>
                </c:pt>
                <c:pt idx="2">
                  <c:v>2017</c:v>
                </c:pt>
                <c:pt idx="3">
                  <c:v>2018</c:v>
                </c:pt>
                <c:pt idx="4">
                  <c:v>2019</c:v>
                </c:pt>
                <c:pt idx="5">
                  <c:v>2020</c:v>
                </c:pt>
                <c:pt idx="6">
                  <c:v>2021</c:v>
                </c:pt>
                <c:pt idx="7">
                  <c:v>2022</c:v>
                </c:pt>
              </c:numCache>
            </c:numRef>
          </c:cat>
          <c:val>
            <c:numRef>
              <c:f>'F9'!$S$2:$S$9</c:f>
              <c:numCache>
                <c:formatCode>General</c:formatCode>
                <c:ptCount val="8"/>
                <c:pt idx="0">
                  <c:v>0.62497782707214355</c:v>
                </c:pt>
                <c:pt idx="1">
                  <c:v>0.62714642286300659</c:v>
                </c:pt>
                <c:pt idx="2">
                  <c:v>0.60699033737182617</c:v>
                </c:pt>
                <c:pt idx="3">
                  <c:v>0.63181090354919434</c:v>
                </c:pt>
                <c:pt idx="4">
                  <c:v>0.61254501342773438</c:v>
                </c:pt>
                <c:pt idx="5">
                  <c:v>0.60342156887054443</c:v>
                </c:pt>
                <c:pt idx="6">
                  <c:v>0.55845463275909424</c:v>
                </c:pt>
                <c:pt idx="7">
                  <c:v>0.62421774864196777</c:v>
                </c:pt>
              </c:numCache>
            </c:numRef>
          </c:val>
          <c:smooth val="0"/>
          <c:extLst>
            <c:ext xmlns:c16="http://schemas.microsoft.com/office/drawing/2014/chart" uri="{C3380CC4-5D6E-409C-BE32-E72D297353CC}">
              <c16:uniqueId val="{00000001-3085-4DD6-B839-A4602EB89FF7}"/>
            </c:ext>
          </c:extLst>
        </c:ser>
        <c:ser>
          <c:idx val="1"/>
          <c:order val="2"/>
          <c:tx>
            <c:strRef>
              <c:f>'F9'!$T$1</c:f>
              <c:strCache>
                <c:ptCount val="1"/>
                <c:pt idx="0">
                  <c:v>No means to cover 3 months of expenses in an emergency</c:v>
                </c:pt>
              </c:strCache>
            </c:strRef>
          </c:tx>
          <c:spPr>
            <a:ln w="34925"/>
          </c:spPr>
          <c:marker>
            <c:symbol val="square"/>
            <c:size val="6"/>
          </c:marker>
          <c:cat>
            <c:numRef>
              <c:f>'F9'!$Q$2:$Q$9</c:f>
              <c:numCache>
                <c:formatCode>General</c:formatCode>
                <c:ptCount val="8"/>
                <c:pt idx="0">
                  <c:v>2015</c:v>
                </c:pt>
                <c:pt idx="1">
                  <c:v>2016</c:v>
                </c:pt>
                <c:pt idx="2">
                  <c:v>2017</c:v>
                </c:pt>
                <c:pt idx="3">
                  <c:v>2018</c:v>
                </c:pt>
                <c:pt idx="4">
                  <c:v>2019</c:v>
                </c:pt>
                <c:pt idx="5">
                  <c:v>2020</c:v>
                </c:pt>
                <c:pt idx="6">
                  <c:v>2021</c:v>
                </c:pt>
                <c:pt idx="7">
                  <c:v>2022</c:v>
                </c:pt>
              </c:numCache>
            </c:numRef>
          </c:cat>
          <c:val>
            <c:numRef>
              <c:f>'F9'!$T$2:$T$9</c:f>
              <c:numCache>
                <c:formatCode>General</c:formatCode>
                <c:ptCount val="8"/>
                <c:pt idx="0">
                  <c:v>0.42009192705154419</c:v>
                </c:pt>
                <c:pt idx="1">
                  <c:v>0.41278457641601563</c:v>
                </c:pt>
                <c:pt idx="2">
                  <c:v>0.4016585648059845</c:v>
                </c:pt>
                <c:pt idx="3">
                  <c:v>0.43897163867950439</c:v>
                </c:pt>
                <c:pt idx="4">
                  <c:v>0.43781226873397827</c:v>
                </c:pt>
                <c:pt idx="5">
                  <c:v>0.45419976115226746</c:v>
                </c:pt>
                <c:pt idx="6">
                  <c:v>0.41215786337852478</c:v>
                </c:pt>
                <c:pt idx="7">
                  <c:v>0.45371308922767639</c:v>
                </c:pt>
              </c:numCache>
            </c:numRef>
          </c:val>
          <c:smooth val="0"/>
          <c:extLst>
            <c:ext xmlns:c16="http://schemas.microsoft.com/office/drawing/2014/chart" uri="{C3380CC4-5D6E-409C-BE32-E72D297353CC}">
              <c16:uniqueId val="{00000002-3085-4DD6-B839-A4602EB89FF7}"/>
            </c:ext>
          </c:extLst>
        </c:ser>
        <c:ser>
          <c:idx val="5"/>
          <c:order val="3"/>
          <c:tx>
            <c:strRef>
              <c:f>'F9'!$U$1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'F9'!$Q$2:$Q$9</c:f>
              <c:numCache>
                <c:formatCode>General</c:formatCode>
                <c:ptCount val="8"/>
                <c:pt idx="0">
                  <c:v>2015</c:v>
                </c:pt>
                <c:pt idx="1">
                  <c:v>2016</c:v>
                </c:pt>
                <c:pt idx="2">
                  <c:v>2017</c:v>
                </c:pt>
                <c:pt idx="3">
                  <c:v>2018</c:v>
                </c:pt>
                <c:pt idx="4">
                  <c:v>2019</c:v>
                </c:pt>
                <c:pt idx="5">
                  <c:v>2020</c:v>
                </c:pt>
                <c:pt idx="6">
                  <c:v>2021</c:v>
                </c:pt>
                <c:pt idx="7">
                  <c:v>2022</c:v>
                </c:pt>
              </c:numCache>
            </c:numRef>
          </c:cat>
          <c:val>
            <c:numRef>
              <c:f>'F9'!$U$2:$U$9</c:f>
              <c:numCache>
                <c:formatCode>General</c:formatCode>
                <c:ptCount val="8"/>
                <c:pt idx="1">
                  <c:v>0.30633670091629028</c:v>
                </c:pt>
                <c:pt idx="2">
                  <c:v>0.28618869185447693</c:v>
                </c:pt>
                <c:pt idx="3">
                  <c:v>0.24947045743465424</c:v>
                </c:pt>
                <c:pt idx="4">
                  <c:v>0.2352089136838913</c:v>
                </c:pt>
                <c:pt idx="5">
                  <c:v>0.2459176778793335</c:v>
                </c:pt>
                <c:pt idx="6">
                  <c:v>0.21163967251777649</c:v>
                </c:pt>
                <c:pt idx="7">
                  <c:v>0.26811721920967102</c:v>
                </c:pt>
              </c:numCache>
            </c:numRef>
          </c:val>
          <c:smooth val="0"/>
          <c:extLst>
            <c:ext xmlns:c16="http://schemas.microsoft.com/office/drawing/2014/chart" uri="{C3380CC4-5D6E-409C-BE32-E72D297353CC}">
              <c16:uniqueId val="{00000003-3085-4DD6-B839-A4602EB89FF7}"/>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56465026734465507"/>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'F9'!$R$1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'F9'!$Q$104:$Q$111</c:f>
              <c:numCache>
                <c:formatCode>General</c:formatCode>
                <c:ptCount val="8"/>
                <c:pt idx="0">
                  <c:v>2015</c:v>
                </c:pt>
                <c:pt idx="1">
                  <c:v>2016</c:v>
                </c:pt>
                <c:pt idx="2">
                  <c:v>2017</c:v>
                </c:pt>
                <c:pt idx="3">
                  <c:v>2018</c:v>
                </c:pt>
                <c:pt idx="4">
                  <c:v>2019</c:v>
                </c:pt>
                <c:pt idx="5">
                  <c:v>2020</c:v>
                </c:pt>
                <c:pt idx="6">
                  <c:v>2021</c:v>
                </c:pt>
                <c:pt idx="7">
                  <c:v>2022</c:v>
                </c:pt>
              </c:numCache>
            </c:numRef>
          </c:cat>
          <c:val>
            <c:numRef>
              <c:f>'F9'!$R$104:$R$111</c:f>
              <c:numCache>
                <c:formatCode>General</c:formatCode>
                <c:ptCount val="8"/>
                <c:pt idx="0">
                  <c:v>0.35963749885559082</c:v>
                </c:pt>
                <c:pt idx="1">
                  <c:v>0.38180473446846008</c:v>
                </c:pt>
                <c:pt idx="2">
                  <c:v>0.30947476625442505</c:v>
                </c:pt>
                <c:pt idx="3">
                  <c:v>0.34434044361114502</c:v>
                </c:pt>
                <c:pt idx="4">
                  <c:v>0.33696466684341431</c:v>
                </c:pt>
                <c:pt idx="5">
                  <c:v>0.33865863084793091</c:v>
                </c:pt>
                <c:pt idx="6">
                  <c:v>0.30755549669265747</c:v>
                </c:pt>
                <c:pt idx="7">
                  <c:v>0.37486234307289124</c:v>
                </c:pt>
              </c:numCache>
            </c:numRef>
          </c:val>
          <c:smooth val="0"/>
          <c:extLst>
            <c:ext xmlns:c16="http://schemas.microsoft.com/office/drawing/2014/chart" uri="{C3380CC4-5D6E-409C-BE32-E72D297353CC}">
              <c16:uniqueId val="{00000000-CBC4-417B-AABD-E57A1CDFE333}"/>
            </c:ext>
          </c:extLst>
        </c:ser>
        <c:ser>
          <c:idx val="6"/>
          <c:order val="1"/>
          <c:tx>
            <c:strRef>
              <c:f>'F9'!$S$1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'F9'!$Q$104:$Q$111</c:f>
              <c:numCache>
                <c:formatCode>General</c:formatCode>
                <c:ptCount val="8"/>
                <c:pt idx="0">
                  <c:v>2015</c:v>
                </c:pt>
                <c:pt idx="1">
                  <c:v>2016</c:v>
                </c:pt>
                <c:pt idx="2">
                  <c:v>2017</c:v>
                </c:pt>
                <c:pt idx="3">
                  <c:v>2018</c:v>
                </c:pt>
                <c:pt idx="4">
                  <c:v>2019</c:v>
                </c:pt>
                <c:pt idx="5">
                  <c:v>2020</c:v>
                </c:pt>
                <c:pt idx="6">
                  <c:v>2021</c:v>
                </c:pt>
                <c:pt idx="7">
                  <c:v>2022</c:v>
                </c:pt>
              </c:numCache>
            </c:numRef>
          </c:cat>
          <c:val>
            <c:numRef>
              <c:f>'F9'!$S$104:$S$111</c:f>
              <c:numCache>
                <c:formatCode>General</c:formatCode>
                <c:ptCount val="8"/>
                <c:pt idx="0">
                  <c:v>0.58308708667755127</c:v>
                </c:pt>
                <c:pt idx="1">
                  <c:v>0.57397425174713135</c:v>
                </c:pt>
                <c:pt idx="2">
                  <c:v>0.54607468843460083</c:v>
                </c:pt>
                <c:pt idx="3">
                  <c:v>0.57484769821166992</c:v>
                </c:pt>
                <c:pt idx="4">
                  <c:v>0.56802564859390259</c:v>
                </c:pt>
                <c:pt idx="5">
                  <c:v>0.54715722799301147</c:v>
                </c:pt>
                <c:pt idx="6">
                  <c:v>0.51492476463317871</c:v>
                </c:pt>
                <c:pt idx="7">
                  <c:v>0.58549147844314575</c:v>
                </c:pt>
              </c:numCache>
            </c:numRef>
          </c:val>
          <c:smooth val="0"/>
          <c:extLst>
            <c:ext xmlns:c16="http://schemas.microsoft.com/office/drawing/2014/chart" uri="{C3380CC4-5D6E-409C-BE32-E72D297353CC}">
              <c16:uniqueId val="{00000001-CBC4-417B-AABD-E57A1CDFE333}"/>
            </c:ext>
          </c:extLst>
        </c:ser>
        <c:ser>
          <c:idx val="1"/>
          <c:order val="2"/>
          <c:tx>
            <c:strRef>
              <c:f>'F9'!$T$1</c:f>
              <c:strCache>
                <c:ptCount val="1"/>
                <c:pt idx="0">
                  <c:v>No means to cover 3 months of expenses in an emergency</c:v>
                </c:pt>
              </c:strCache>
            </c:strRef>
          </c:tx>
          <c:spPr>
            <a:ln w="34925"/>
          </c:spPr>
          <c:marker>
            <c:symbol val="square"/>
            <c:size val="6"/>
          </c:marker>
          <c:cat>
            <c:numRef>
              <c:f>'F9'!$Q$104:$Q$111</c:f>
              <c:numCache>
                <c:formatCode>General</c:formatCode>
                <c:ptCount val="8"/>
                <c:pt idx="0">
                  <c:v>2015</c:v>
                </c:pt>
                <c:pt idx="1">
                  <c:v>2016</c:v>
                </c:pt>
                <c:pt idx="2">
                  <c:v>2017</c:v>
                </c:pt>
                <c:pt idx="3">
                  <c:v>2018</c:v>
                </c:pt>
                <c:pt idx="4">
                  <c:v>2019</c:v>
                </c:pt>
                <c:pt idx="5">
                  <c:v>2020</c:v>
                </c:pt>
                <c:pt idx="6">
                  <c:v>2021</c:v>
                </c:pt>
                <c:pt idx="7">
                  <c:v>2022</c:v>
                </c:pt>
              </c:numCache>
            </c:numRef>
          </c:cat>
          <c:val>
            <c:numRef>
              <c:f>'F9'!$T$104:$T$111</c:f>
              <c:numCache>
                <c:formatCode>General</c:formatCode>
                <c:ptCount val="8"/>
                <c:pt idx="0">
                  <c:v>0.37354069948196411</c:v>
                </c:pt>
                <c:pt idx="1">
                  <c:v>0.36336135864257813</c:v>
                </c:pt>
                <c:pt idx="2">
                  <c:v>0.34076717495918274</c:v>
                </c:pt>
                <c:pt idx="3">
                  <c:v>0.39899203181266785</c:v>
                </c:pt>
                <c:pt idx="4">
                  <c:v>0.39922571182250977</c:v>
                </c:pt>
                <c:pt idx="5">
                  <c:v>0.40222063660621643</c:v>
                </c:pt>
                <c:pt idx="6">
                  <c:v>0.36863306164741516</c:v>
                </c:pt>
                <c:pt idx="7">
                  <c:v>0.42055106163024902</c:v>
                </c:pt>
              </c:numCache>
            </c:numRef>
          </c:val>
          <c:smooth val="0"/>
          <c:extLst>
            <c:ext xmlns:c16="http://schemas.microsoft.com/office/drawing/2014/chart" uri="{C3380CC4-5D6E-409C-BE32-E72D297353CC}">
              <c16:uniqueId val="{00000002-CBC4-417B-AABD-E57A1CDFE333}"/>
            </c:ext>
          </c:extLst>
        </c:ser>
        <c:ser>
          <c:idx val="5"/>
          <c:order val="3"/>
          <c:tx>
            <c:strRef>
              <c:f>'F9'!$U$1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'F9'!$Q$104:$Q$111</c:f>
              <c:numCache>
                <c:formatCode>General</c:formatCode>
                <c:ptCount val="8"/>
                <c:pt idx="0">
                  <c:v>2015</c:v>
                </c:pt>
                <c:pt idx="1">
                  <c:v>2016</c:v>
                </c:pt>
                <c:pt idx="2">
                  <c:v>2017</c:v>
                </c:pt>
                <c:pt idx="3">
                  <c:v>2018</c:v>
                </c:pt>
                <c:pt idx="4">
                  <c:v>2019</c:v>
                </c:pt>
                <c:pt idx="5">
                  <c:v>2020</c:v>
                </c:pt>
                <c:pt idx="6">
                  <c:v>2021</c:v>
                </c:pt>
                <c:pt idx="7">
                  <c:v>2022</c:v>
                </c:pt>
              </c:numCache>
            </c:numRef>
          </c:cat>
          <c:val>
            <c:numRef>
              <c:f>'F9'!$U$104:$U$111</c:f>
              <c:numCache>
                <c:formatCode>General</c:formatCode>
                <c:ptCount val="8"/>
                <c:pt idx="1">
                  <c:v>0.26759070158004761</c:v>
                </c:pt>
                <c:pt idx="2">
                  <c:v>0.24841658771038055</c:v>
                </c:pt>
                <c:pt idx="3">
                  <c:v>0.2156938910484314</c:v>
                </c:pt>
                <c:pt idx="4">
                  <c:v>0.20879372954368591</c:v>
                </c:pt>
                <c:pt idx="5">
                  <c:v>0.20617805421352386</c:v>
                </c:pt>
                <c:pt idx="6">
                  <c:v>0.17931933701038361</c:v>
                </c:pt>
                <c:pt idx="7">
                  <c:v>0.23582427203655243</c:v>
                </c:pt>
              </c:numCache>
            </c:numRef>
          </c:val>
          <c:smooth val="0"/>
          <c:extLst>
            <c:ext xmlns:c16="http://schemas.microsoft.com/office/drawing/2014/chart" uri="{C3380CC4-5D6E-409C-BE32-E72D297353CC}">
              <c16:uniqueId val="{00000003-CBC4-417B-AABD-E57A1CDFE333}"/>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Percent</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68230433533898427"/>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'F9'!$R$1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'F9'!$Q$36:$Q$43</c:f>
              <c:numCache>
                <c:formatCode>General</c:formatCode>
                <c:ptCount val="8"/>
                <c:pt idx="0">
                  <c:v>2015</c:v>
                </c:pt>
                <c:pt idx="1">
                  <c:v>2016</c:v>
                </c:pt>
                <c:pt idx="2">
                  <c:v>2017</c:v>
                </c:pt>
                <c:pt idx="3">
                  <c:v>2018</c:v>
                </c:pt>
                <c:pt idx="4">
                  <c:v>2019</c:v>
                </c:pt>
                <c:pt idx="5">
                  <c:v>2020</c:v>
                </c:pt>
                <c:pt idx="6">
                  <c:v>2021</c:v>
                </c:pt>
                <c:pt idx="7">
                  <c:v>2022</c:v>
                </c:pt>
              </c:numCache>
            </c:numRef>
          </c:cat>
          <c:val>
            <c:numRef>
              <c:f>'F9'!$R$36:$R$43</c:f>
              <c:numCache>
                <c:formatCode>General</c:formatCode>
                <c:ptCount val="8"/>
                <c:pt idx="0">
                  <c:v>0.42928659915924072</c:v>
                </c:pt>
                <c:pt idx="1">
                  <c:v>0.42220368981361389</c:v>
                </c:pt>
                <c:pt idx="2">
                  <c:v>0.41501381993293762</c:v>
                </c:pt>
                <c:pt idx="3">
                  <c:v>0.4034726619720459</c:v>
                </c:pt>
                <c:pt idx="4">
                  <c:v>0.41077384352684021</c:v>
                </c:pt>
                <c:pt idx="5">
                  <c:v>0.45474803447723389</c:v>
                </c:pt>
                <c:pt idx="6">
                  <c:v>0.40139195322990417</c:v>
                </c:pt>
                <c:pt idx="7">
                  <c:v>0.44016435742378235</c:v>
                </c:pt>
              </c:numCache>
            </c:numRef>
          </c:val>
          <c:smooth val="0"/>
          <c:extLst>
            <c:ext xmlns:c16="http://schemas.microsoft.com/office/drawing/2014/chart" uri="{C3380CC4-5D6E-409C-BE32-E72D297353CC}">
              <c16:uniqueId val="{00000000-4B93-4128-8E83-131BCB742CE0}"/>
            </c:ext>
          </c:extLst>
        </c:ser>
        <c:ser>
          <c:idx val="6"/>
          <c:order val="1"/>
          <c:tx>
            <c:strRef>
              <c:f>'F9'!$S$1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'F9'!$Q$36:$Q$43</c:f>
              <c:numCache>
                <c:formatCode>General</c:formatCode>
                <c:ptCount val="8"/>
                <c:pt idx="0">
                  <c:v>2015</c:v>
                </c:pt>
                <c:pt idx="1">
                  <c:v>2016</c:v>
                </c:pt>
                <c:pt idx="2">
                  <c:v>2017</c:v>
                </c:pt>
                <c:pt idx="3">
                  <c:v>2018</c:v>
                </c:pt>
                <c:pt idx="4">
                  <c:v>2019</c:v>
                </c:pt>
                <c:pt idx="5">
                  <c:v>2020</c:v>
                </c:pt>
                <c:pt idx="6">
                  <c:v>2021</c:v>
                </c:pt>
                <c:pt idx="7">
                  <c:v>2022</c:v>
                </c:pt>
              </c:numCache>
            </c:numRef>
          </c:cat>
          <c:val>
            <c:numRef>
              <c:f>'F9'!$S$36:$S$43</c:f>
              <c:numCache>
                <c:formatCode>General</c:formatCode>
                <c:ptCount val="8"/>
                <c:pt idx="0">
                  <c:v>0.72191923856735229</c:v>
                </c:pt>
                <c:pt idx="1">
                  <c:v>0.74694573879241943</c:v>
                </c:pt>
                <c:pt idx="2">
                  <c:v>0.75209742784500122</c:v>
                </c:pt>
                <c:pt idx="3">
                  <c:v>0.75413590669631958</c:v>
                </c:pt>
                <c:pt idx="4">
                  <c:v>0.74642759561538696</c:v>
                </c:pt>
                <c:pt idx="5">
                  <c:v>0.74167758226394653</c:v>
                </c:pt>
                <c:pt idx="6">
                  <c:v>0.66853606700897217</c:v>
                </c:pt>
                <c:pt idx="7">
                  <c:v>0.71357846260070801</c:v>
                </c:pt>
              </c:numCache>
            </c:numRef>
          </c:val>
          <c:smooth val="0"/>
          <c:extLst>
            <c:ext xmlns:c16="http://schemas.microsoft.com/office/drawing/2014/chart" uri="{C3380CC4-5D6E-409C-BE32-E72D297353CC}">
              <c16:uniqueId val="{00000001-4B93-4128-8E83-131BCB742CE0}"/>
            </c:ext>
          </c:extLst>
        </c:ser>
        <c:ser>
          <c:idx val="1"/>
          <c:order val="2"/>
          <c:tx>
            <c:strRef>
              <c:f>'F9'!$T$1</c:f>
              <c:strCache>
                <c:ptCount val="1"/>
                <c:pt idx="0">
                  <c:v>No means to cover 3 months of expenses in an emergency</c:v>
                </c:pt>
              </c:strCache>
            </c:strRef>
          </c:tx>
          <c:spPr>
            <a:ln w="34925"/>
          </c:spPr>
          <c:marker>
            <c:symbol val="square"/>
            <c:size val="6"/>
          </c:marker>
          <c:cat>
            <c:numRef>
              <c:f>'F9'!$Q$36:$Q$43</c:f>
              <c:numCache>
                <c:formatCode>General</c:formatCode>
                <c:ptCount val="8"/>
                <c:pt idx="0">
                  <c:v>2015</c:v>
                </c:pt>
                <c:pt idx="1">
                  <c:v>2016</c:v>
                </c:pt>
                <c:pt idx="2">
                  <c:v>2017</c:v>
                </c:pt>
                <c:pt idx="3">
                  <c:v>2018</c:v>
                </c:pt>
                <c:pt idx="4">
                  <c:v>2019</c:v>
                </c:pt>
                <c:pt idx="5">
                  <c:v>2020</c:v>
                </c:pt>
                <c:pt idx="6">
                  <c:v>2021</c:v>
                </c:pt>
                <c:pt idx="7">
                  <c:v>2022</c:v>
                </c:pt>
              </c:numCache>
            </c:numRef>
          </c:cat>
          <c:val>
            <c:numRef>
              <c:f>'F9'!$T$36:$T$43</c:f>
              <c:numCache>
                <c:formatCode>General</c:formatCode>
                <c:ptCount val="8"/>
                <c:pt idx="0">
                  <c:v>0.52781850099563599</c:v>
                </c:pt>
                <c:pt idx="1">
                  <c:v>0.52413725852966309</c:v>
                </c:pt>
                <c:pt idx="2">
                  <c:v>0.54670780897140503</c:v>
                </c:pt>
                <c:pt idx="3">
                  <c:v>0.52482539415359497</c:v>
                </c:pt>
                <c:pt idx="4">
                  <c:v>0.55385321378707886</c:v>
                </c:pt>
                <c:pt idx="5">
                  <c:v>0.58192586898803711</c:v>
                </c:pt>
                <c:pt idx="6">
                  <c:v>0.52222639322280884</c:v>
                </c:pt>
                <c:pt idx="7">
                  <c:v>0.53023445606231689</c:v>
                </c:pt>
              </c:numCache>
            </c:numRef>
          </c:val>
          <c:smooth val="0"/>
          <c:extLst>
            <c:ext xmlns:c16="http://schemas.microsoft.com/office/drawing/2014/chart" uri="{C3380CC4-5D6E-409C-BE32-E72D297353CC}">
              <c16:uniqueId val="{00000002-4B93-4128-8E83-131BCB742CE0}"/>
            </c:ext>
          </c:extLst>
        </c:ser>
        <c:ser>
          <c:idx val="5"/>
          <c:order val="3"/>
          <c:tx>
            <c:strRef>
              <c:f>'F9'!$U$1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'F9'!$Q$36:$Q$43</c:f>
              <c:numCache>
                <c:formatCode>General</c:formatCode>
                <c:ptCount val="8"/>
                <c:pt idx="0">
                  <c:v>2015</c:v>
                </c:pt>
                <c:pt idx="1">
                  <c:v>2016</c:v>
                </c:pt>
                <c:pt idx="2">
                  <c:v>2017</c:v>
                </c:pt>
                <c:pt idx="3">
                  <c:v>2018</c:v>
                </c:pt>
                <c:pt idx="4">
                  <c:v>2019</c:v>
                </c:pt>
                <c:pt idx="5">
                  <c:v>2020</c:v>
                </c:pt>
                <c:pt idx="6">
                  <c:v>2021</c:v>
                </c:pt>
                <c:pt idx="7">
                  <c:v>2022</c:v>
                </c:pt>
              </c:numCache>
            </c:numRef>
          </c:cat>
          <c:val>
            <c:numRef>
              <c:f>'F9'!$U$36:$U$43</c:f>
              <c:numCache>
                <c:formatCode>General</c:formatCode>
                <c:ptCount val="8"/>
                <c:pt idx="1">
                  <c:v>0.39363321661949158</c:v>
                </c:pt>
                <c:pt idx="2">
                  <c:v>0.37616550922393799</c:v>
                </c:pt>
                <c:pt idx="3">
                  <c:v>0.32200360298156738</c:v>
                </c:pt>
                <c:pt idx="4">
                  <c:v>0.31464698910713196</c:v>
                </c:pt>
                <c:pt idx="5">
                  <c:v>0.34356823563575745</c:v>
                </c:pt>
                <c:pt idx="6">
                  <c:v>0.29337355494499207</c:v>
                </c:pt>
                <c:pt idx="7">
                  <c:v>0.34263315796852112</c:v>
                </c:pt>
              </c:numCache>
            </c:numRef>
          </c:val>
          <c:smooth val="0"/>
          <c:extLst>
            <c:ext xmlns:c16="http://schemas.microsoft.com/office/drawing/2014/chart" uri="{C3380CC4-5D6E-409C-BE32-E72D297353CC}">
              <c16:uniqueId val="{00000003-4B93-4128-8E83-131BCB742CE0}"/>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56328219694439863"/>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'F10'!$R$3</c:f>
              <c:strCache>
                <c:ptCount val="1"/>
                <c:pt idx="0">
                  <c:v>All Households</c:v>
                </c:pt>
              </c:strCache>
            </c:strRef>
          </c:tx>
          <c:spPr>
            <a:ln>
              <a:solidFill>
                <a:srgbClr val="0070C0"/>
              </a:solidFill>
            </a:ln>
          </c:spPr>
          <c:marker>
            <c:spPr>
              <a:solidFill>
                <a:srgbClr val="0070C0"/>
              </a:solidFill>
              <a:ln>
                <a:solidFill>
                  <a:srgbClr val="0070C0"/>
                </a:solidFill>
              </a:ln>
            </c:spPr>
          </c:marker>
          <c:cat>
            <c:numRef>
              <c:f>'F10'!$Q$4:$Q$11</c:f>
              <c:numCache>
                <c:formatCode>General</c:formatCode>
                <c:ptCount val="8"/>
                <c:pt idx="0">
                  <c:v>2015</c:v>
                </c:pt>
                <c:pt idx="1">
                  <c:v>2016</c:v>
                </c:pt>
                <c:pt idx="2">
                  <c:v>2017</c:v>
                </c:pt>
                <c:pt idx="3">
                  <c:v>2018</c:v>
                </c:pt>
                <c:pt idx="4">
                  <c:v>2019</c:v>
                </c:pt>
                <c:pt idx="5">
                  <c:v>2020</c:v>
                </c:pt>
                <c:pt idx="6">
                  <c:v>2021</c:v>
                </c:pt>
                <c:pt idx="7">
                  <c:v>2022</c:v>
                </c:pt>
              </c:numCache>
            </c:numRef>
          </c:cat>
          <c:val>
            <c:numRef>
              <c:f>'F10'!$R$4:$R$11</c:f>
              <c:numCache>
                <c:formatCode>General</c:formatCode>
                <c:ptCount val="8"/>
                <c:pt idx="0">
                  <c:v>0.12663017213344574</c:v>
                </c:pt>
                <c:pt idx="1">
                  <c:v>0.12302740663290024</c:v>
                </c:pt>
                <c:pt idx="2">
                  <c:v>0.11800077557563782</c:v>
                </c:pt>
                <c:pt idx="3">
                  <c:v>0.11072466522455215</c:v>
                </c:pt>
                <c:pt idx="4">
                  <c:v>0.1053977832198143</c:v>
                </c:pt>
                <c:pt idx="5">
                  <c:v>0.10542494803667068</c:v>
                </c:pt>
                <c:pt idx="6">
                  <c:v>0.10230888426303864</c:v>
                </c:pt>
                <c:pt idx="7">
                  <c:v>0.12793222069740295</c:v>
                </c:pt>
              </c:numCache>
            </c:numRef>
          </c:val>
          <c:smooth val="0"/>
          <c:extLst>
            <c:ext xmlns:c16="http://schemas.microsoft.com/office/drawing/2014/chart" uri="{C3380CC4-5D6E-409C-BE32-E72D297353CC}">
              <c16:uniqueId val="{00000000-360E-46B5-B86B-925D4966F75D}"/>
            </c:ext>
          </c:extLst>
        </c:ser>
        <c:ser>
          <c:idx val="6"/>
          <c:order val="1"/>
          <c:tx>
            <c:strRef>
              <c:f>'F10'!$S$3</c:f>
              <c:strCache>
                <c:ptCount val="1"/>
                <c:pt idx="0">
                  <c:v>Households with Children</c:v>
                </c:pt>
              </c:strCache>
            </c:strRef>
          </c:tx>
          <c:spPr>
            <a:ln w="34925">
              <a:solidFill>
                <a:schemeClr val="accent3"/>
              </a:solidFill>
            </a:ln>
          </c:spPr>
          <c:marker>
            <c:symbol val="diamond"/>
            <c:size val="11"/>
            <c:spPr>
              <a:solidFill>
                <a:schemeClr val="accent3"/>
              </a:solidFill>
              <a:ln>
                <a:solidFill>
                  <a:schemeClr val="accent3"/>
                </a:solidFill>
              </a:ln>
            </c:spPr>
          </c:marker>
          <c:cat>
            <c:numRef>
              <c:f>'F10'!$Q$4:$Q$11</c:f>
              <c:numCache>
                <c:formatCode>General</c:formatCode>
                <c:ptCount val="8"/>
                <c:pt idx="0">
                  <c:v>2015</c:v>
                </c:pt>
                <c:pt idx="1">
                  <c:v>2016</c:v>
                </c:pt>
                <c:pt idx="2">
                  <c:v>2017</c:v>
                </c:pt>
                <c:pt idx="3">
                  <c:v>2018</c:v>
                </c:pt>
                <c:pt idx="4">
                  <c:v>2019</c:v>
                </c:pt>
                <c:pt idx="5">
                  <c:v>2020</c:v>
                </c:pt>
                <c:pt idx="6">
                  <c:v>2021</c:v>
                </c:pt>
                <c:pt idx="7">
                  <c:v>2022</c:v>
                </c:pt>
              </c:numCache>
            </c:numRef>
          </c:cat>
          <c:val>
            <c:numRef>
              <c:f>'F10'!$S$4:$S$11</c:f>
              <c:numCache>
                <c:formatCode>General</c:formatCode>
                <c:ptCount val="8"/>
                <c:pt idx="0">
                  <c:v>0.1657065749168396</c:v>
                </c:pt>
                <c:pt idx="1">
                  <c:v>0.16514700651168823</c:v>
                </c:pt>
                <c:pt idx="2">
                  <c:v>0.15726262331008911</c:v>
                </c:pt>
                <c:pt idx="3">
                  <c:v>0.13938502967357635</c:v>
                </c:pt>
                <c:pt idx="4">
                  <c:v>0.13649876415729523</c:v>
                </c:pt>
                <c:pt idx="5">
                  <c:v>0.14834621548652649</c:v>
                </c:pt>
                <c:pt idx="6">
                  <c:v>0.12498287856578827</c:v>
                </c:pt>
                <c:pt idx="7">
                  <c:v>0.17288175225257874</c:v>
                </c:pt>
              </c:numCache>
            </c:numRef>
          </c:val>
          <c:smooth val="0"/>
          <c:extLst>
            <c:ext xmlns:c16="http://schemas.microsoft.com/office/drawing/2014/chart" uri="{C3380CC4-5D6E-409C-BE32-E72D297353CC}">
              <c16:uniqueId val="{00000001-360E-46B5-B86B-925D4966F75D}"/>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3813058404193674E-2"/>
          <c:y val="0.70152360217261012"/>
          <c:w val="0.2553153967536535"/>
          <c:h val="0.14575552128765912"/>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12a. Change in Poverty Between 2020 and 2021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'F11-13'!$S$25</c:f>
              <c:strCache>
                <c:ptCount val="1"/>
                <c:pt idx="0">
                  <c:v>All</c:v>
                </c:pt>
              </c:strCache>
            </c:strRef>
          </c:tx>
          <c:spPr>
            <a:solidFill>
              <a:schemeClr val="accent1"/>
            </a:solidFill>
            <a:ln>
              <a:noFill/>
            </a:ln>
            <a:effectLst/>
          </c:spPr>
          <c:invertIfNegative val="0"/>
          <c:cat>
            <c:strRef>
              <c:f>'F11-13'!$R$26:$R$29</c:f>
              <c:strCache>
                <c:ptCount val="4"/>
                <c:pt idx="0">
                  <c:v>Baseline</c:v>
                </c:pt>
                <c:pt idx="1">
                  <c:v>Replacing Expanded CTC w/ Original CTC</c:v>
                </c:pt>
                <c:pt idx="2">
                  <c:v>Excluding EIPs 2 and 3</c:v>
                </c:pt>
                <c:pt idx="3">
                  <c:v>Excluding UI</c:v>
                </c:pt>
              </c:strCache>
            </c:strRef>
          </c:cat>
          <c:val>
            <c:numRef>
              <c:f>'F11-13'!$S$26:$S$29</c:f>
              <c:numCache>
                <c:formatCode>0.0</c:formatCode>
                <c:ptCount val="4"/>
                <c:pt idx="0">
                  <c:v>-2.2071879357099533</c:v>
                </c:pt>
                <c:pt idx="1">
                  <c:v>-1.8806561827659607</c:v>
                </c:pt>
                <c:pt idx="2">
                  <c:v>0.23679882287979126</c:v>
                </c:pt>
                <c:pt idx="3">
                  <c:v>-1.2136436998844147</c:v>
                </c:pt>
              </c:numCache>
            </c:numRef>
          </c:val>
          <c:extLst>
            <c:ext xmlns:c16="http://schemas.microsoft.com/office/drawing/2014/chart" uri="{C3380CC4-5D6E-409C-BE32-E72D297353CC}">
              <c16:uniqueId val="{00000000-E5E0-4692-B6CA-9C14F4B7A80A}"/>
            </c:ext>
          </c:extLst>
        </c:ser>
        <c:ser>
          <c:idx val="1"/>
          <c:order val="1"/>
          <c:tx>
            <c:strRef>
              <c:f>'F11-13'!$T$25</c:f>
              <c:strCache>
                <c:ptCount val="1"/>
                <c:pt idx="0">
                  <c:v>Children</c:v>
                </c:pt>
              </c:strCache>
            </c:strRef>
          </c:tx>
          <c:spPr>
            <a:solidFill>
              <a:schemeClr val="accent2"/>
            </a:solidFill>
            <a:ln>
              <a:noFill/>
            </a:ln>
            <a:effectLst/>
          </c:spPr>
          <c:invertIfNegative val="0"/>
          <c:cat>
            <c:strRef>
              <c:f>'F11-13'!$R$26:$R$29</c:f>
              <c:strCache>
                <c:ptCount val="4"/>
                <c:pt idx="0">
                  <c:v>Baseline</c:v>
                </c:pt>
                <c:pt idx="1">
                  <c:v>Replacing Expanded CTC w/ Original CTC</c:v>
                </c:pt>
                <c:pt idx="2">
                  <c:v>Excluding EIPs 2 and 3</c:v>
                </c:pt>
                <c:pt idx="3">
                  <c:v>Excluding UI</c:v>
                </c:pt>
              </c:strCache>
            </c:strRef>
          </c:cat>
          <c:val>
            <c:numRef>
              <c:f>'F11-13'!$T$26:$T$29</c:f>
              <c:numCache>
                <c:formatCode>0.0</c:formatCode>
                <c:ptCount val="4"/>
                <c:pt idx="0">
                  <c:v>-4.1145652532577515</c:v>
                </c:pt>
                <c:pt idx="1">
                  <c:v>-3.2574251294136047</c:v>
                </c:pt>
                <c:pt idx="2">
                  <c:v>-1.1241726577281952</c:v>
                </c:pt>
                <c:pt idx="3">
                  <c:v>-3.010297566652298</c:v>
                </c:pt>
              </c:numCache>
            </c:numRef>
          </c:val>
          <c:extLst>
            <c:ext xmlns:c16="http://schemas.microsoft.com/office/drawing/2014/chart" uri="{C3380CC4-5D6E-409C-BE32-E72D297353CC}">
              <c16:uniqueId val="{00000001-E5E0-4692-B6CA-9C14F4B7A80A}"/>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12b. Difference in Change in Poverty Between 2020 and 2021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'F11-13'!$S$25</c:f>
              <c:strCache>
                <c:ptCount val="1"/>
                <c:pt idx="0">
                  <c:v>All</c:v>
                </c:pt>
              </c:strCache>
            </c:strRef>
          </c:tx>
          <c:spPr>
            <a:solidFill>
              <a:schemeClr val="accent1"/>
            </a:solidFill>
            <a:ln>
              <a:noFill/>
            </a:ln>
            <a:effectLst/>
          </c:spPr>
          <c:invertIfNegative val="0"/>
          <c:cat>
            <c:strRef>
              <c:f>'F11-13'!$R$32:$R$34</c:f>
              <c:strCache>
                <c:ptCount val="3"/>
                <c:pt idx="0">
                  <c:v>Replacing Expanded CTC w/ Original CTC</c:v>
                </c:pt>
                <c:pt idx="1">
                  <c:v>Excluding EIPs 2 and 3</c:v>
                </c:pt>
                <c:pt idx="2">
                  <c:v>Excluding UI</c:v>
                </c:pt>
              </c:strCache>
            </c:strRef>
          </c:cat>
          <c:val>
            <c:numRef>
              <c:f>'F11-13'!$S$32:$S$34</c:f>
              <c:numCache>
                <c:formatCode>0.0</c:formatCode>
                <c:ptCount val="3"/>
                <c:pt idx="0">
                  <c:v>-0.32653175294399261</c:v>
                </c:pt>
                <c:pt idx="1">
                  <c:v>-2.4439867585897446</c:v>
                </c:pt>
                <c:pt idx="2">
                  <c:v>-0.99354423582553864</c:v>
                </c:pt>
              </c:numCache>
            </c:numRef>
          </c:val>
          <c:extLst>
            <c:ext xmlns:c16="http://schemas.microsoft.com/office/drawing/2014/chart" uri="{C3380CC4-5D6E-409C-BE32-E72D297353CC}">
              <c16:uniqueId val="{00000000-FAEE-47CD-B9C1-0F7DBB15C07D}"/>
            </c:ext>
          </c:extLst>
        </c:ser>
        <c:ser>
          <c:idx val="1"/>
          <c:order val="1"/>
          <c:tx>
            <c:strRef>
              <c:f>'F11-13'!$T$25</c:f>
              <c:strCache>
                <c:ptCount val="1"/>
                <c:pt idx="0">
                  <c:v>Children</c:v>
                </c:pt>
              </c:strCache>
            </c:strRef>
          </c:tx>
          <c:spPr>
            <a:solidFill>
              <a:schemeClr val="accent2"/>
            </a:solidFill>
            <a:ln>
              <a:noFill/>
            </a:ln>
            <a:effectLst/>
          </c:spPr>
          <c:invertIfNegative val="0"/>
          <c:cat>
            <c:strRef>
              <c:f>'F11-13'!$R$32:$R$34</c:f>
              <c:strCache>
                <c:ptCount val="3"/>
                <c:pt idx="0">
                  <c:v>Replacing Expanded CTC w/ Original CTC</c:v>
                </c:pt>
                <c:pt idx="1">
                  <c:v>Excluding EIPs 2 and 3</c:v>
                </c:pt>
                <c:pt idx="2">
                  <c:v>Excluding UI</c:v>
                </c:pt>
              </c:strCache>
            </c:strRef>
          </c:cat>
          <c:val>
            <c:numRef>
              <c:f>'F11-13'!$T$32:$T$34</c:f>
              <c:numCache>
                <c:formatCode>0.0</c:formatCode>
                <c:ptCount val="3"/>
                <c:pt idx="0">
                  <c:v>-0.85714012384414673</c:v>
                </c:pt>
                <c:pt idx="1">
                  <c:v>-2.9903925955295563</c:v>
                </c:pt>
                <c:pt idx="2">
                  <c:v>-1.1042676866054535</c:v>
                </c:pt>
              </c:numCache>
            </c:numRef>
          </c:val>
          <c:extLst>
            <c:ext xmlns:c16="http://schemas.microsoft.com/office/drawing/2014/chart" uri="{C3380CC4-5D6E-409C-BE32-E72D297353CC}">
              <c16:uniqueId val="{00000001-FAEE-47CD-B9C1-0F7DBB15C07D}"/>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11a. Change in Poverty Between 2019 and 2020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'F11-13'!$T$3</c:f>
              <c:strCache>
                <c:ptCount val="1"/>
                <c:pt idx="0">
                  <c:v>All</c:v>
                </c:pt>
              </c:strCache>
            </c:strRef>
          </c:tx>
          <c:spPr>
            <a:solidFill>
              <a:schemeClr val="accent1"/>
            </a:solidFill>
            <a:ln w="12700">
              <a:solidFill>
                <a:schemeClr val="accent1"/>
              </a:solidFill>
            </a:ln>
            <a:effectLst/>
          </c:spPr>
          <c:invertIfNegative val="0"/>
          <c:cat>
            <c:strRef>
              <c:f>'F11-13'!$S$4:$S$6</c:f>
              <c:strCache>
                <c:ptCount val="3"/>
                <c:pt idx="0">
                  <c:v>Baseline</c:v>
                </c:pt>
                <c:pt idx="1">
                  <c:v>Excluding EIP 1</c:v>
                </c:pt>
                <c:pt idx="2">
                  <c:v>Excluding UI</c:v>
                </c:pt>
              </c:strCache>
            </c:strRef>
          </c:cat>
          <c:val>
            <c:numRef>
              <c:f>'F11-13'!$T$4:$T$6</c:f>
              <c:numCache>
                <c:formatCode>0.0</c:formatCode>
                <c:ptCount val="3"/>
                <c:pt idx="0">
                  <c:v>-1.8073275685310364</c:v>
                </c:pt>
                <c:pt idx="1">
                  <c:v>-0.40301606059074402</c:v>
                </c:pt>
                <c:pt idx="2">
                  <c:v>0.39248466491699219</c:v>
                </c:pt>
              </c:numCache>
            </c:numRef>
          </c:val>
          <c:extLst>
            <c:ext xmlns:c16="http://schemas.microsoft.com/office/drawing/2014/chart" uri="{C3380CC4-5D6E-409C-BE32-E72D297353CC}">
              <c16:uniqueId val="{00000000-5445-4543-8DC2-524481B3F387}"/>
            </c:ext>
          </c:extLst>
        </c:ser>
        <c:ser>
          <c:idx val="1"/>
          <c:order val="1"/>
          <c:tx>
            <c:strRef>
              <c:f>'F11-13'!$U$3</c:f>
              <c:strCache>
                <c:ptCount val="1"/>
                <c:pt idx="0">
                  <c:v>Children</c:v>
                </c:pt>
              </c:strCache>
            </c:strRef>
          </c:tx>
          <c:spPr>
            <a:solidFill>
              <a:schemeClr val="accent2"/>
            </a:solidFill>
            <a:ln>
              <a:noFill/>
            </a:ln>
            <a:effectLst/>
          </c:spPr>
          <c:invertIfNegative val="0"/>
          <c:cat>
            <c:strRef>
              <c:f>'F11-13'!$S$4:$S$6</c:f>
              <c:strCache>
                <c:ptCount val="3"/>
                <c:pt idx="0">
                  <c:v>Baseline</c:v>
                </c:pt>
                <c:pt idx="1">
                  <c:v>Excluding EIP 1</c:v>
                </c:pt>
                <c:pt idx="2">
                  <c:v>Excluding UI</c:v>
                </c:pt>
              </c:strCache>
            </c:strRef>
          </c:cat>
          <c:val>
            <c:numRef>
              <c:f>'F11-13'!$U$4:$U$6</c:f>
              <c:numCache>
                <c:formatCode>0.0</c:formatCode>
                <c:ptCount val="3"/>
                <c:pt idx="0">
                  <c:v>-1.8209263682365417</c:v>
                </c:pt>
                <c:pt idx="1">
                  <c:v>-0.33567994832992554</c:v>
                </c:pt>
                <c:pt idx="2">
                  <c:v>0.87327659130096436</c:v>
                </c:pt>
              </c:numCache>
            </c:numRef>
          </c:val>
          <c:extLst>
            <c:ext xmlns:c16="http://schemas.microsoft.com/office/drawing/2014/chart" uri="{C3380CC4-5D6E-409C-BE32-E72D297353CC}">
              <c16:uniqueId val="{00000001-5445-4543-8DC2-524481B3F387}"/>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11b. Difference in Change in Poverty Between 2019 and 2020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'F11-13'!$T$3</c:f>
              <c:strCache>
                <c:ptCount val="1"/>
                <c:pt idx="0">
                  <c:v>All</c:v>
                </c:pt>
              </c:strCache>
            </c:strRef>
          </c:tx>
          <c:spPr>
            <a:solidFill>
              <a:schemeClr val="accent1"/>
            </a:solidFill>
            <a:ln>
              <a:noFill/>
            </a:ln>
            <a:effectLst/>
          </c:spPr>
          <c:invertIfNegative val="0"/>
          <c:cat>
            <c:strRef>
              <c:f>'F11-13'!$S$11:$S$12</c:f>
              <c:strCache>
                <c:ptCount val="2"/>
                <c:pt idx="0">
                  <c:v>Excluding EIP 1</c:v>
                </c:pt>
                <c:pt idx="1">
                  <c:v>Excluding UI</c:v>
                </c:pt>
              </c:strCache>
            </c:strRef>
          </c:cat>
          <c:val>
            <c:numRef>
              <c:f>'F11-13'!$T$11:$T$12</c:f>
              <c:numCache>
                <c:formatCode>0.0</c:formatCode>
                <c:ptCount val="2"/>
                <c:pt idx="0">
                  <c:v>-1.4043115079402924</c:v>
                </c:pt>
                <c:pt idx="1">
                  <c:v>-2.1998122334480286</c:v>
                </c:pt>
              </c:numCache>
            </c:numRef>
          </c:val>
          <c:extLst>
            <c:ext xmlns:c16="http://schemas.microsoft.com/office/drawing/2014/chart" uri="{C3380CC4-5D6E-409C-BE32-E72D297353CC}">
              <c16:uniqueId val="{00000000-AB52-424B-A310-FCA8434B975E}"/>
            </c:ext>
          </c:extLst>
        </c:ser>
        <c:ser>
          <c:idx val="1"/>
          <c:order val="1"/>
          <c:tx>
            <c:strRef>
              <c:f>'F11-13'!$U$3</c:f>
              <c:strCache>
                <c:ptCount val="1"/>
                <c:pt idx="0">
                  <c:v>Children</c:v>
                </c:pt>
              </c:strCache>
            </c:strRef>
          </c:tx>
          <c:spPr>
            <a:solidFill>
              <a:schemeClr val="accent2"/>
            </a:solidFill>
            <a:ln>
              <a:noFill/>
            </a:ln>
            <a:effectLst/>
          </c:spPr>
          <c:invertIfNegative val="0"/>
          <c:cat>
            <c:strRef>
              <c:f>'F11-13'!$S$11:$S$12</c:f>
              <c:strCache>
                <c:ptCount val="2"/>
                <c:pt idx="0">
                  <c:v>Excluding EIP 1</c:v>
                </c:pt>
                <c:pt idx="1">
                  <c:v>Excluding UI</c:v>
                </c:pt>
              </c:strCache>
            </c:strRef>
          </c:cat>
          <c:val>
            <c:numRef>
              <c:f>'F11-13'!$U$11:$U$12</c:f>
              <c:numCache>
                <c:formatCode>0.0</c:formatCode>
                <c:ptCount val="2"/>
                <c:pt idx="0">
                  <c:v>-1.4852464199066162</c:v>
                </c:pt>
                <c:pt idx="1">
                  <c:v>-2.6942029595375061</c:v>
                </c:pt>
              </c:numCache>
            </c:numRef>
          </c:val>
          <c:extLst>
            <c:ext xmlns:c16="http://schemas.microsoft.com/office/drawing/2014/chart" uri="{C3380CC4-5D6E-409C-BE32-E72D297353CC}">
              <c16:uniqueId val="{00000001-AB52-424B-A310-FCA8434B975E}"/>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13a. Change in Poverty Between 2021 and 2022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'F11-13'!$T$59</c:f>
              <c:strCache>
                <c:ptCount val="1"/>
                <c:pt idx="0">
                  <c:v>All</c:v>
                </c:pt>
              </c:strCache>
            </c:strRef>
          </c:tx>
          <c:spPr>
            <a:solidFill>
              <a:schemeClr val="accent1"/>
            </a:solidFill>
            <a:ln>
              <a:noFill/>
            </a:ln>
            <a:effectLst/>
          </c:spPr>
          <c:invertIfNegative val="0"/>
          <c:cat>
            <c:strRef>
              <c:f>'F11-13'!$S$60:$S$62</c:f>
              <c:strCache>
                <c:ptCount val="3"/>
                <c:pt idx="0">
                  <c:v>Baseline</c:v>
                </c:pt>
                <c:pt idx="1">
                  <c:v>Extending Expanded CTC into 2022</c:v>
                </c:pt>
                <c:pt idx="2">
                  <c:v>Extending EIPs 2 and 3 into 2022</c:v>
                </c:pt>
              </c:strCache>
            </c:strRef>
          </c:cat>
          <c:val>
            <c:numRef>
              <c:f>'F11-13'!$T$60:$T$62</c:f>
              <c:numCache>
                <c:formatCode>0.0</c:formatCode>
                <c:ptCount val="3"/>
                <c:pt idx="0">
                  <c:v>3.6465715616941452</c:v>
                </c:pt>
                <c:pt idx="1">
                  <c:v>3.0635025352239609</c:v>
                </c:pt>
                <c:pt idx="2">
                  <c:v>0.9469885379076004</c:v>
                </c:pt>
              </c:numCache>
            </c:numRef>
          </c:val>
          <c:extLst>
            <c:ext xmlns:c16="http://schemas.microsoft.com/office/drawing/2014/chart" uri="{C3380CC4-5D6E-409C-BE32-E72D297353CC}">
              <c16:uniqueId val="{00000000-0480-48B7-A0E1-5C9AB6754F89}"/>
            </c:ext>
          </c:extLst>
        </c:ser>
        <c:ser>
          <c:idx val="1"/>
          <c:order val="1"/>
          <c:tx>
            <c:strRef>
              <c:f>'F11-13'!$U$59</c:f>
              <c:strCache>
                <c:ptCount val="1"/>
                <c:pt idx="0">
                  <c:v>Children</c:v>
                </c:pt>
              </c:strCache>
            </c:strRef>
          </c:tx>
          <c:spPr>
            <a:solidFill>
              <a:schemeClr val="accent2"/>
            </a:solidFill>
            <a:ln>
              <a:noFill/>
            </a:ln>
            <a:effectLst/>
          </c:spPr>
          <c:invertIfNegative val="0"/>
          <c:cat>
            <c:strRef>
              <c:f>'F11-13'!$S$60:$S$62</c:f>
              <c:strCache>
                <c:ptCount val="3"/>
                <c:pt idx="0">
                  <c:v>Baseline</c:v>
                </c:pt>
                <c:pt idx="1">
                  <c:v>Extending Expanded CTC into 2022</c:v>
                </c:pt>
                <c:pt idx="2">
                  <c:v>Extending EIPs 2 and 3 into 2022</c:v>
                </c:pt>
              </c:strCache>
            </c:strRef>
          </c:cat>
          <c:val>
            <c:numRef>
              <c:f>'F11-13'!$U$60:$U$62</c:f>
              <c:numCache>
                <c:formatCode>0.0</c:formatCode>
                <c:ptCount val="3"/>
                <c:pt idx="0">
                  <c:v>4.1348353028297424</c:v>
                </c:pt>
                <c:pt idx="1">
                  <c:v>2.6153691112995148</c:v>
                </c:pt>
                <c:pt idx="2">
                  <c:v>0.63802562654018402</c:v>
                </c:pt>
              </c:numCache>
            </c:numRef>
          </c:val>
          <c:extLst>
            <c:ext xmlns:c16="http://schemas.microsoft.com/office/drawing/2014/chart" uri="{C3380CC4-5D6E-409C-BE32-E72D297353CC}">
              <c16:uniqueId val="{00000001-0480-48B7-A0E1-5C9AB6754F89}"/>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13b. Difference in Change in Poverty Between 2021 and 2022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'F11-13'!$T$59</c:f>
              <c:strCache>
                <c:ptCount val="1"/>
                <c:pt idx="0">
                  <c:v>All</c:v>
                </c:pt>
              </c:strCache>
            </c:strRef>
          </c:tx>
          <c:spPr>
            <a:solidFill>
              <a:schemeClr val="accent1"/>
            </a:solidFill>
            <a:ln>
              <a:noFill/>
            </a:ln>
            <a:effectLst/>
          </c:spPr>
          <c:invertIfNegative val="0"/>
          <c:cat>
            <c:strRef>
              <c:f>'F11-13'!$S$66:$S$67</c:f>
              <c:strCache>
                <c:ptCount val="2"/>
                <c:pt idx="0">
                  <c:v>Extending Expanded CTC into 2022</c:v>
                </c:pt>
                <c:pt idx="1">
                  <c:v>Extending EIPs 2 and 3 into 2022</c:v>
                </c:pt>
              </c:strCache>
            </c:strRef>
          </c:cat>
          <c:val>
            <c:numRef>
              <c:f>'F11-13'!$T$66:$T$67</c:f>
              <c:numCache>
                <c:formatCode>0.0</c:formatCode>
                <c:ptCount val="2"/>
                <c:pt idx="0">
                  <c:v>0.58306902647018433</c:v>
                </c:pt>
                <c:pt idx="1">
                  <c:v>2.6995830237865448</c:v>
                </c:pt>
              </c:numCache>
            </c:numRef>
          </c:val>
          <c:extLst>
            <c:ext xmlns:c16="http://schemas.microsoft.com/office/drawing/2014/chart" uri="{C3380CC4-5D6E-409C-BE32-E72D297353CC}">
              <c16:uniqueId val="{00000000-DCFA-4E44-B5EB-B172FF84FAEA}"/>
            </c:ext>
          </c:extLst>
        </c:ser>
        <c:ser>
          <c:idx val="1"/>
          <c:order val="1"/>
          <c:tx>
            <c:strRef>
              <c:f>'F11-13'!$U$59</c:f>
              <c:strCache>
                <c:ptCount val="1"/>
                <c:pt idx="0">
                  <c:v>Children</c:v>
                </c:pt>
              </c:strCache>
            </c:strRef>
          </c:tx>
          <c:spPr>
            <a:solidFill>
              <a:schemeClr val="accent2"/>
            </a:solidFill>
            <a:ln>
              <a:noFill/>
            </a:ln>
            <a:effectLst/>
          </c:spPr>
          <c:invertIfNegative val="0"/>
          <c:cat>
            <c:strRef>
              <c:f>'F11-13'!$S$66:$S$67</c:f>
              <c:strCache>
                <c:ptCount val="2"/>
                <c:pt idx="0">
                  <c:v>Extending Expanded CTC into 2022</c:v>
                </c:pt>
                <c:pt idx="1">
                  <c:v>Extending EIPs 2 and 3 into 2022</c:v>
                </c:pt>
              </c:strCache>
            </c:strRef>
          </c:cat>
          <c:val>
            <c:numRef>
              <c:f>'F11-13'!$U$66:$U$67</c:f>
              <c:numCache>
                <c:formatCode>0.0</c:formatCode>
                <c:ptCount val="2"/>
                <c:pt idx="0">
                  <c:v>1.5194661915302277</c:v>
                </c:pt>
                <c:pt idx="1">
                  <c:v>3.4968096762895584</c:v>
                </c:pt>
              </c:numCache>
            </c:numRef>
          </c:val>
          <c:extLst>
            <c:ext xmlns:c16="http://schemas.microsoft.com/office/drawing/2014/chart" uri="{C3380CC4-5D6E-409C-BE32-E72D297353CC}">
              <c16:uniqueId val="{00000001-DCFA-4E44-B5EB-B172FF84FAEA}"/>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'AF1'!$S$1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'AF1'!$Q$3:$Q$10</c:f>
              <c:numCache>
                <c:formatCode>General</c:formatCode>
                <c:ptCount val="8"/>
                <c:pt idx="0">
                  <c:v>2015</c:v>
                </c:pt>
                <c:pt idx="1">
                  <c:v>2016</c:v>
                </c:pt>
                <c:pt idx="2">
                  <c:v>2017</c:v>
                </c:pt>
                <c:pt idx="3">
                  <c:v>2018</c:v>
                </c:pt>
                <c:pt idx="4">
                  <c:v>2019</c:v>
                </c:pt>
                <c:pt idx="5">
                  <c:v>2020</c:v>
                </c:pt>
                <c:pt idx="6">
                  <c:v>2021</c:v>
                </c:pt>
                <c:pt idx="7">
                  <c:v>2022</c:v>
                </c:pt>
              </c:numCache>
            </c:numRef>
          </c:cat>
          <c:val>
            <c:numRef>
              <c:f>'AF1'!$S$3:$S$10</c:f>
              <c:numCache>
                <c:formatCode>General</c:formatCode>
                <c:ptCount val="8"/>
                <c:pt idx="0">
                  <c:v>0.13498726487159729</c:v>
                </c:pt>
                <c:pt idx="1">
                  <c:v>0.12537944316864014</c:v>
                </c:pt>
                <c:pt idx="2">
                  <c:v>0.12367713451385498</c:v>
                </c:pt>
                <c:pt idx="3">
                  <c:v>0.11503075063228607</c:v>
                </c:pt>
                <c:pt idx="4">
                  <c:v>9.9147789180278778E-2</c:v>
                </c:pt>
                <c:pt idx="5">
                  <c:v>8.1074513494968414E-2</c:v>
                </c:pt>
                <c:pt idx="6">
                  <c:v>5.9002634137868881E-2</c:v>
                </c:pt>
                <c:pt idx="7">
                  <c:v>9.5468349754810333E-2</c:v>
                </c:pt>
              </c:numCache>
            </c:numRef>
          </c:val>
          <c:smooth val="0"/>
          <c:extLst>
            <c:ext xmlns:c16="http://schemas.microsoft.com/office/drawing/2014/chart" uri="{C3380CC4-5D6E-409C-BE32-E72D297353CC}">
              <c16:uniqueId val="{00000002-6BF3-4BD3-BDAE-CACB4A44C219}"/>
            </c:ext>
          </c:extLst>
        </c:ser>
        <c:ser>
          <c:idx val="0"/>
          <c:order val="1"/>
          <c:tx>
            <c:strRef>
              <c:f>'AF1'!$V$1</c:f>
              <c:strCache>
                <c:ptCount val="1"/>
                <c:pt idx="0">
                  <c:v>Supplemental Poverty Measure</c:v>
                </c:pt>
              </c:strCache>
            </c:strRef>
          </c:tx>
          <c:cat>
            <c:numRef>
              <c:f>'AF1'!$Q$3:$Q$10</c:f>
              <c:numCache>
                <c:formatCode>General</c:formatCode>
                <c:ptCount val="8"/>
                <c:pt idx="0">
                  <c:v>2015</c:v>
                </c:pt>
                <c:pt idx="1">
                  <c:v>2016</c:v>
                </c:pt>
                <c:pt idx="2">
                  <c:v>2017</c:v>
                </c:pt>
                <c:pt idx="3">
                  <c:v>2018</c:v>
                </c:pt>
                <c:pt idx="4">
                  <c:v>2019</c:v>
                </c:pt>
                <c:pt idx="5">
                  <c:v>2020</c:v>
                </c:pt>
                <c:pt idx="6">
                  <c:v>2021</c:v>
                </c:pt>
                <c:pt idx="7">
                  <c:v>2022</c:v>
                </c:pt>
              </c:numCache>
            </c:numRef>
          </c:cat>
          <c:val>
            <c:numRef>
              <c:f>'AF1'!$V$3:$V$10</c:f>
              <c:numCache>
                <c:formatCode>General</c:formatCode>
                <c:ptCount val="8"/>
                <c:pt idx="0">
                  <c:v>0.14499999999999999</c:v>
                </c:pt>
                <c:pt idx="1">
                  <c:v>0.14000000000000001</c:v>
                </c:pt>
                <c:pt idx="2">
                  <c:v>0.13</c:v>
                </c:pt>
                <c:pt idx="3">
                  <c:v>0.128</c:v>
                </c:pt>
                <c:pt idx="4">
                  <c:v>0.11800000000000001</c:v>
                </c:pt>
                <c:pt idx="5">
                  <c:v>9.1999999999999998E-2</c:v>
                </c:pt>
                <c:pt idx="6">
                  <c:v>7.8E-2</c:v>
                </c:pt>
                <c:pt idx="7">
                  <c:v>0.124</c:v>
                </c:pt>
              </c:numCache>
            </c:numRef>
          </c:val>
          <c:smooth val="0"/>
          <c:extLst>
            <c:ext xmlns:c16="http://schemas.microsoft.com/office/drawing/2014/chart" uri="{C3380CC4-5D6E-409C-BE32-E72D297353CC}">
              <c16:uniqueId val="{00000004-6BF3-4BD3-BDAE-CACB4A44C219}"/>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8663375766274528"/>
          <c:w val="0.28259685052365086"/>
          <c:h val="0.25901818490746581"/>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1"/>
          <c:order val="0"/>
          <c:tx>
            <c:strRef>
              <c:f>'AF1'!$S$1</c:f>
              <c:strCache>
                <c:ptCount val="1"/>
                <c:pt idx="0">
                  <c:v>Disposable Income Poverty </c:v>
                </c:pt>
              </c:strCache>
            </c:strRef>
          </c:tx>
          <c:spPr>
            <a:ln w="38100">
              <a:solidFill>
                <a:srgbClr val="FFC000"/>
              </a:solidFill>
            </a:ln>
          </c:spPr>
          <c:marker>
            <c:spPr>
              <a:solidFill>
                <a:srgbClr val="FFC000"/>
              </a:solidFill>
              <a:ln>
                <a:solidFill>
                  <a:srgbClr val="FFC000"/>
                </a:solidFill>
              </a:ln>
            </c:spPr>
          </c:marker>
          <c:cat>
            <c:numRef>
              <c:f>'AF1'!$Q$36:$Q$43</c:f>
              <c:numCache>
                <c:formatCode>General</c:formatCode>
                <c:ptCount val="8"/>
                <c:pt idx="0">
                  <c:v>2015</c:v>
                </c:pt>
                <c:pt idx="1">
                  <c:v>2016</c:v>
                </c:pt>
                <c:pt idx="2">
                  <c:v>2017</c:v>
                </c:pt>
                <c:pt idx="3">
                  <c:v>2018</c:v>
                </c:pt>
                <c:pt idx="4">
                  <c:v>2019</c:v>
                </c:pt>
                <c:pt idx="5">
                  <c:v>2020</c:v>
                </c:pt>
                <c:pt idx="6">
                  <c:v>2021</c:v>
                </c:pt>
                <c:pt idx="7">
                  <c:v>2022</c:v>
                </c:pt>
              </c:numCache>
            </c:numRef>
          </c:cat>
          <c:val>
            <c:numRef>
              <c:f>'AF1'!$S$36:$S$43</c:f>
              <c:numCache>
                <c:formatCode>General</c:formatCode>
                <c:ptCount val="8"/>
                <c:pt idx="0">
                  <c:v>0.16347445547580719</c:v>
                </c:pt>
                <c:pt idx="1">
                  <c:v>0.14859388768672943</c:v>
                </c:pt>
                <c:pt idx="2">
                  <c:v>0.1460513174533844</c:v>
                </c:pt>
                <c:pt idx="3">
                  <c:v>0.13027502596378326</c:v>
                </c:pt>
                <c:pt idx="4">
                  <c:v>0.1119672879576683</c:v>
                </c:pt>
                <c:pt idx="5">
                  <c:v>9.3758024275302887E-2</c:v>
                </c:pt>
                <c:pt idx="6">
                  <c:v>5.2612371742725372E-2</c:v>
                </c:pt>
                <c:pt idx="7">
                  <c:v>9.3960724771022797E-2</c:v>
                </c:pt>
              </c:numCache>
            </c:numRef>
          </c:val>
          <c:smooth val="0"/>
          <c:extLst>
            <c:ext xmlns:c16="http://schemas.microsoft.com/office/drawing/2014/chart" uri="{C3380CC4-5D6E-409C-BE32-E72D297353CC}">
              <c16:uniqueId val="{00000002-CEDE-4830-8779-2E8DF2FE2E05}"/>
            </c:ext>
          </c:extLst>
        </c:ser>
        <c:ser>
          <c:idx val="0"/>
          <c:order val="1"/>
          <c:tx>
            <c:strRef>
              <c:f>'AF1'!$V$34</c:f>
              <c:strCache>
                <c:ptCount val="1"/>
                <c:pt idx="0">
                  <c:v>Supplemental Poverty Measure</c:v>
                </c:pt>
              </c:strCache>
            </c:strRef>
          </c:tx>
          <c:cat>
            <c:numRef>
              <c:f>'AF1'!$Q$36:$Q$43</c:f>
              <c:numCache>
                <c:formatCode>General</c:formatCode>
                <c:ptCount val="8"/>
                <c:pt idx="0">
                  <c:v>2015</c:v>
                </c:pt>
                <c:pt idx="1">
                  <c:v>2016</c:v>
                </c:pt>
                <c:pt idx="2">
                  <c:v>2017</c:v>
                </c:pt>
                <c:pt idx="3">
                  <c:v>2018</c:v>
                </c:pt>
                <c:pt idx="4">
                  <c:v>2019</c:v>
                </c:pt>
                <c:pt idx="5">
                  <c:v>2020</c:v>
                </c:pt>
                <c:pt idx="6">
                  <c:v>2021</c:v>
                </c:pt>
                <c:pt idx="7">
                  <c:v>2022</c:v>
                </c:pt>
              </c:numCache>
            </c:numRef>
          </c:cat>
          <c:val>
            <c:numRef>
              <c:f>'AF1'!$V$36:$V$43</c:f>
              <c:numCache>
                <c:formatCode>General</c:formatCode>
                <c:ptCount val="8"/>
                <c:pt idx="0">
                  <c:v>0.16200000000000001</c:v>
                </c:pt>
                <c:pt idx="1">
                  <c:v>0.152</c:v>
                </c:pt>
                <c:pt idx="2">
                  <c:v>0.14199999999999999</c:v>
                </c:pt>
                <c:pt idx="3">
                  <c:v>0.13699999999999998</c:v>
                </c:pt>
                <c:pt idx="4">
                  <c:v>0.126</c:v>
                </c:pt>
                <c:pt idx="5">
                  <c:v>9.6999999999999989E-2</c:v>
                </c:pt>
                <c:pt idx="6">
                  <c:v>5.2000000000000005E-2</c:v>
                </c:pt>
                <c:pt idx="7">
                  <c:v>0.124</c:v>
                </c:pt>
              </c:numCache>
            </c:numRef>
          </c:val>
          <c:smooth val="0"/>
          <c:extLst>
            <c:ext xmlns:c16="http://schemas.microsoft.com/office/drawing/2014/chart" uri="{C3380CC4-5D6E-409C-BE32-E72D297353CC}">
              <c16:uniqueId val="{00000004-CEDE-4830-8779-2E8DF2FE2E05}"/>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0414156736E-2"/>
          <c:y val="0.59810706708686068"/>
          <c:w val="0.28095828828146735"/>
          <c:h val="0.24560391689640382"/>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57921565515751"/>
          <c:y val="0.11384976525821597"/>
          <c:w val="0.87468398832211069"/>
          <c:h val="0.76995379098739414"/>
        </c:manualLayout>
      </c:layout>
      <c:lineChart>
        <c:grouping val="standard"/>
        <c:varyColors val="0"/>
        <c:ser>
          <c:idx val="0"/>
          <c:order val="0"/>
          <c:tx>
            <c:strRef>
              <c:f>'AF2'!$R$2</c:f>
              <c:strCache>
                <c:ptCount val="1"/>
                <c:pt idx="0">
                  <c:v>Bias-corrected CPI-U-RS</c:v>
                </c:pt>
              </c:strCache>
            </c:strRef>
          </c:tx>
          <c:spPr>
            <a:ln w="38100"/>
          </c:spPr>
          <c:cat>
            <c:numRef>
              <c:f>'AF2'!$Q$3:$Q$10</c:f>
              <c:numCache>
                <c:formatCode>General</c:formatCode>
                <c:ptCount val="8"/>
                <c:pt idx="0">
                  <c:v>2015</c:v>
                </c:pt>
                <c:pt idx="1">
                  <c:v>2016</c:v>
                </c:pt>
                <c:pt idx="2">
                  <c:v>2017</c:v>
                </c:pt>
                <c:pt idx="3">
                  <c:v>2018</c:v>
                </c:pt>
                <c:pt idx="4">
                  <c:v>2019</c:v>
                </c:pt>
                <c:pt idx="5">
                  <c:v>2020</c:v>
                </c:pt>
                <c:pt idx="6">
                  <c:v>2021</c:v>
                </c:pt>
                <c:pt idx="7">
                  <c:v>2022</c:v>
                </c:pt>
              </c:numCache>
            </c:numRef>
          </c:cat>
          <c:val>
            <c:numRef>
              <c:f>'AF2'!$R$3:$R$10</c:f>
              <c:numCache>
                <c:formatCode>General</c:formatCode>
                <c:ptCount val="8"/>
                <c:pt idx="0">
                  <c:v>24036</c:v>
                </c:pt>
                <c:pt idx="1">
                  <c:v>24153.776399999999</c:v>
                </c:pt>
                <c:pt idx="2">
                  <c:v>24473.4552</c:v>
                </c:pt>
                <c:pt idx="3">
                  <c:v>24877.26</c:v>
                </c:pt>
                <c:pt idx="4">
                  <c:v>25129.638000000003</c:v>
                </c:pt>
                <c:pt idx="5">
                  <c:v>25261.835999999999</c:v>
                </c:pt>
                <c:pt idx="6">
                  <c:v>26280.962399999997</c:v>
                </c:pt>
                <c:pt idx="7">
                  <c:v>28196.631600000001</c:v>
                </c:pt>
              </c:numCache>
            </c:numRef>
          </c:val>
          <c:smooth val="0"/>
          <c:extLst>
            <c:ext xmlns:c16="http://schemas.microsoft.com/office/drawing/2014/chart" uri="{C3380CC4-5D6E-409C-BE32-E72D297353CC}">
              <c16:uniqueId val="{00000000-1688-4453-95A6-AB296E66DDA5}"/>
            </c:ext>
          </c:extLst>
        </c:ser>
        <c:ser>
          <c:idx val="1"/>
          <c:order val="1"/>
          <c:tx>
            <c:strRef>
              <c:f>'AF2'!$S$2</c:f>
              <c:strCache>
                <c:ptCount val="1"/>
                <c:pt idx="0">
                  <c:v>CPI-U-RS</c:v>
                </c:pt>
              </c:strCache>
            </c:strRef>
          </c:tx>
          <c:spPr>
            <a:ln w="38100"/>
          </c:spPr>
          <c:cat>
            <c:numRef>
              <c:f>'AF2'!$Q$3:$Q$10</c:f>
              <c:numCache>
                <c:formatCode>General</c:formatCode>
                <c:ptCount val="8"/>
                <c:pt idx="0">
                  <c:v>2015</c:v>
                </c:pt>
                <c:pt idx="1">
                  <c:v>2016</c:v>
                </c:pt>
                <c:pt idx="2">
                  <c:v>2017</c:v>
                </c:pt>
                <c:pt idx="3">
                  <c:v>2018</c:v>
                </c:pt>
                <c:pt idx="4">
                  <c:v>2019</c:v>
                </c:pt>
                <c:pt idx="5">
                  <c:v>2020</c:v>
                </c:pt>
                <c:pt idx="6">
                  <c:v>2021</c:v>
                </c:pt>
                <c:pt idx="7">
                  <c:v>2022</c:v>
                </c:pt>
              </c:numCache>
            </c:numRef>
          </c:cat>
          <c:val>
            <c:numRef>
              <c:f>'AF2'!$S$3:$S$10</c:f>
              <c:numCache>
                <c:formatCode>General</c:formatCode>
                <c:ptCount val="8"/>
                <c:pt idx="0">
                  <c:v>24036</c:v>
                </c:pt>
                <c:pt idx="1">
                  <c:v>24346.064399999999</c:v>
                </c:pt>
                <c:pt idx="2">
                  <c:v>24862.838400000001</c:v>
                </c:pt>
                <c:pt idx="3">
                  <c:v>25470.949200000003</c:v>
                </c:pt>
                <c:pt idx="4">
                  <c:v>25932.440399999999</c:v>
                </c:pt>
                <c:pt idx="5">
                  <c:v>26278.558799999999</c:v>
                </c:pt>
                <c:pt idx="6">
                  <c:v>27547.659599999999</c:v>
                </c:pt>
                <c:pt idx="7">
                  <c:v>29778.200399999998</c:v>
                </c:pt>
              </c:numCache>
            </c:numRef>
          </c:val>
          <c:smooth val="0"/>
          <c:extLst>
            <c:ext xmlns:c16="http://schemas.microsoft.com/office/drawing/2014/chart" uri="{C3380CC4-5D6E-409C-BE32-E72D297353CC}">
              <c16:uniqueId val="{00000001-1688-4453-95A6-AB296E66DDA5}"/>
            </c:ext>
          </c:extLst>
        </c:ser>
        <c:ser>
          <c:idx val="2"/>
          <c:order val="2"/>
          <c:tx>
            <c:strRef>
              <c:f>'AF2'!$T$2</c:f>
              <c:strCache>
                <c:ptCount val="1"/>
                <c:pt idx="0">
                  <c:v>CPI-U</c:v>
                </c:pt>
              </c:strCache>
            </c:strRef>
          </c:tx>
          <c:spPr>
            <a:ln w="38100"/>
          </c:spPr>
          <c:cat>
            <c:numRef>
              <c:f>'AF2'!$Q$3:$Q$10</c:f>
              <c:numCache>
                <c:formatCode>General</c:formatCode>
                <c:ptCount val="8"/>
                <c:pt idx="0">
                  <c:v>2015</c:v>
                </c:pt>
                <c:pt idx="1">
                  <c:v>2016</c:v>
                </c:pt>
                <c:pt idx="2">
                  <c:v>2017</c:v>
                </c:pt>
                <c:pt idx="3">
                  <c:v>2018</c:v>
                </c:pt>
                <c:pt idx="4">
                  <c:v>2019</c:v>
                </c:pt>
                <c:pt idx="5">
                  <c:v>2020</c:v>
                </c:pt>
                <c:pt idx="6">
                  <c:v>2021</c:v>
                </c:pt>
                <c:pt idx="7">
                  <c:v>2022</c:v>
                </c:pt>
              </c:numCache>
            </c:numRef>
          </c:cat>
          <c:val>
            <c:numRef>
              <c:f>'AF2'!$T$3:$T$10</c:f>
              <c:numCache>
                <c:formatCode>General</c:formatCode>
                <c:ptCount val="8"/>
                <c:pt idx="0">
                  <c:v>24036</c:v>
                </c:pt>
                <c:pt idx="1">
                  <c:v>24338.853599999999</c:v>
                </c:pt>
                <c:pt idx="2">
                  <c:v>24858.031200000001</c:v>
                </c:pt>
                <c:pt idx="3">
                  <c:v>25463.738399999998</c:v>
                </c:pt>
                <c:pt idx="4">
                  <c:v>25925.229599999999</c:v>
                </c:pt>
                <c:pt idx="5">
                  <c:v>26247.312000000002</c:v>
                </c:pt>
                <c:pt idx="6">
                  <c:v>27480.358799999998</c:v>
                </c:pt>
                <c:pt idx="7">
                  <c:v>29677.249199999998</c:v>
                </c:pt>
              </c:numCache>
            </c:numRef>
          </c:val>
          <c:smooth val="0"/>
          <c:extLst>
            <c:ext xmlns:c16="http://schemas.microsoft.com/office/drawing/2014/chart" uri="{C3380CC4-5D6E-409C-BE32-E72D297353CC}">
              <c16:uniqueId val="{00000002-1688-4453-95A6-AB296E66DDA5}"/>
            </c:ext>
          </c:extLst>
        </c:ser>
        <c:ser>
          <c:idx val="3"/>
          <c:order val="3"/>
          <c:tx>
            <c:strRef>
              <c:f>'AF2'!$U$2</c:f>
              <c:strCache>
                <c:ptCount val="1"/>
                <c:pt idx="0">
                  <c:v>PCE</c:v>
                </c:pt>
              </c:strCache>
            </c:strRef>
          </c:tx>
          <c:cat>
            <c:numRef>
              <c:f>'AF2'!$Q$3:$Q$10</c:f>
              <c:numCache>
                <c:formatCode>General</c:formatCode>
                <c:ptCount val="8"/>
                <c:pt idx="0">
                  <c:v>2015</c:v>
                </c:pt>
                <c:pt idx="1">
                  <c:v>2016</c:v>
                </c:pt>
                <c:pt idx="2">
                  <c:v>2017</c:v>
                </c:pt>
                <c:pt idx="3">
                  <c:v>2018</c:v>
                </c:pt>
                <c:pt idx="4">
                  <c:v>2019</c:v>
                </c:pt>
                <c:pt idx="5">
                  <c:v>2020</c:v>
                </c:pt>
                <c:pt idx="6">
                  <c:v>2021</c:v>
                </c:pt>
                <c:pt idx="7">
                  <c:v>2022</c:v>
                </c:pt>
              </c:numCache>
            </c:numRef>
          </c:cat>
          <c:val>
            <c:numRef>
              <c:f>'AF2'!$U$3:$U$10</c:f>
              <c:numCache>
                <c:formatCode>General</c:formatCode>
                <c:ptCount val="8"/>
                <c:pt idx="0">
                  <c:v>24036</c:v>
                </c:pt>
                <c:pt idx="1">
                  <c:v>24276.36</c:v>
                </c:pt>
                <c:pt idx="2">
                  <c:v>24721.025999999998</c:v>
                </c:pt>
                <c:pt idx="3">
                  <c:v>25247.414400000001</c:v>
                </c:pt>
                <c:pt idx="4">
                  <c:v>25624.779600000002</c:v>
                </c:pt>
                <c:pt idx="5">
                  <c:v>25908.404400000003</c:v>
                </c:pt>
                <c:pt idx="6">
                  <c:v>26951.566800000001</c:v>
                </c:pt>
                <c:pt idx="7">
                  <c:v>28638.894</c:v>
                </c:pt>
              </c:numCache>
            </c:numRef>
          </c:val>
          <c:smooth val="0"/>
          <c:extLst>
            <c:ext xmlns:c16="http://schemas.microsoft.com/office/drawing/2014/chart" uri="{C3380CC4-5D6E-409C-BE32-E72D297353CC}">
              <c16:uniqueId val="{00000003-1688-4453-95A6-AB296E66DDA5}"/>
            </c:ext>
          </c:extLst>
        </c:ser>
        <c:ser>
          <c:idx val="4"/>
          <c:order val="4"/>
          <c:tx>
            <c:strRef>
              <c:f>'AF2'!$V$2</c:f>
              <c:strCache>
                <c:ptCount val="1"/>
                <c:pt idx="0">
                  <c:v>Chained-CPI-U</c:v>
                </c:pt>
              </c:strCache>
            </c:strRef>
          </c:tx>
          <c:cat>
            <c:numRef>
              <c:f>'AF2'!$Q$3:$Q$10</c:f>
              <c:numCache>
                <c:formatCode>General</c:formatCode>
                <c:ptCount val="8"/>
                <c:pt idx="0">
                  <c:v>2015</c:v>
                </c:pt>
                <c:pt idx="1">
                  <c:v>2016</c:v>
                </c:pt>
                <c:pt idx="2">
                  <c:v>2017</c:v>
                </c:pt>
                <c:pt idx="3">
                  <c:v>2018</c:v>
                </c:pt>
                <c:pt idx="4">
                  <c:v>2019</c:v>
                </c:pt>
                <c:pt idx="5">
                  <c:v>2020</c:v>
                </c:pt>
                <c:pt idx="6">
                  <c:v>2021</c:v>
                </c:pt>
                <c:pt idx="7">
                  <c:v>2022</c:v>
                </c:pt>
              </c:numCache>
            </c:numRef>
          </c:cat>
          <c:val>
            <c:numRef>
              <c:f>'AF2'!$V$3:$V$10</c:f>
              <c:numCache>
                <c:formatCode>General</c:formatCode>
                <c:ptCount val="8"/>
                <c:pt idx="0">
                  <c:v>24036</c:v>
                </c:pt>
                <c:pt idx="1">
                  <c:v>24260.223816571324</c:v>
                </c:pt>
                <c:pt idx="2">
                  <c:v>24688.280740333968</c:v>
                </c:pt>
                <c:pt idx="3">
                  <c:v>25186.565753151419</c:v>
                </c:pt>
                <c:pt idx="4">
                  <c:v>25552.666290720957</c:v>
                </c:pt>
                <c:pt idx="5">
                  <c:v>25827.127014654492</c:v>
                </c:pt>
                <c:pt idx="6">
                  <c:v>26981.362503601442</c:v>
                </c:pt>
                <c:pt idx="7">
                  <c:v>29052.987549466005</c:v>
                </c:pt>
              </c:numCache>
            </c:numRef>
          </c:val>
          <c:smooth val="0"/>
          <c:extLst>
            <c:ext xmlns:c16="http://schemas.microsoft.com/office/drawing/2014/chart" uri="{C3380CC4-5D6E-409C-BE32-E72D297353CC}">
              <c16:uniqueId val="{00000004-1688-4453-95A6-AB296E66DDA5}"/>
            </c:ext>
          </c:extLst>
        </c:ser>
        <c:dLbls>
          <c:showLegendKey val="0"/>
          <c:showVal val="0"/>
          <c:showCatName val="0"/>
          <c:showSerName val="0"/>
          <c:showPercent val="0"/>
          <c:showBubbleSize val="0"/>
        </c:dLbls>
        <c:marker val="1"/>
        <c:smooth val="0"/>
        <c:axId val="702059263"/>
        <c:axId val="1"/>
      </c:lineChart>
      <c:catAx>
        <c:axId val="702059263"/>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max val="30000"/>
          <c:min val="24000"/>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Dollar </a:t>
                </a:r>
              </a:p>
            </c:rich>
          </c:tx>
          <c:layout>
            <c:manualLayout>
              <c:xMode val="edge"/>
              <c:yMode val="edge"/>
              <c:x val="5.263130220098191E-3"/>
              <c:y val="0.3802821519381745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702059263"/>
        <c:crosses val="autoZero"/>
        <c:crossBetween val="between"/>
        <c:majorUnit val="2000"/>
      </c:valAx>
      <c:spPr>
        <a:solidFill>
          <a:srgbClr val="FFFFFF"/>
        </a:solidFill>
        <a:ln w="12700">
          <a:solidFill>
            <a:srgbClr val="808080"/>
          </a:solidFill>
          <a:prstDash val="solid"/>
        </a:ln>
      </c:spPr>
    </c:plotArea>
    <c:legend>
      <c:legendPos val="r"/>
      <c:layout>
        <c:manualLayout>
          <c:xMode val="edge"/>
          <c:yMode val="edge"/>
          <c:x val="0.10833019368735698"/>
          <c:y val="0.11712416536369417"/>
          <c:w val="0.26854981901483038"/>
          <c:h val="0.25252858316206606"/>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'AF3'!$S$1</c:f>
              <c:strCache>
                <c:ptCount val="1"/>
                <c:pt idx="0">
                  <c:v>Consumption Poverty (Chained CPI)</c:v>
                </c:pt>
              </c:strCache>
            </c:strRef>
          </c:tx>
          <c:spPr>
            <a:ln w="38100">
              <a:solidFill>
                <a:srgbClr val="00B0F0"/>
              </a:solidFill>
              <a:prstDash val="solid"/>
            </a:ln>
          </c:spPr>
          <c:marker>
            <c:symbol val="diamond"/>
            <c:size val="9"/>
            <c:spPr>
              <a:solidFill>
                <a:srgbClr val="00B0F0"/>
              </a:solidFill>
              <a:ln>
                <a:solidFill>
                  <a:srgbClr val="00B0F0"/>
                </a:solidFill>
                <a:prstDash val="solid"/>
              </a:ln>
            </c:spPr>
          </c:marker>
          <c:cat>
            <c:numRef>
              <c:f>'AF3'!$Q$3:$Q$10</c:f>
              <c:numCache>
                <c:formatCode>General</c:formatCode>
                <c:ptCount val="8"/>
                <c:pt idx="0">
                  <c:v>2015</c:v>
                </c:pt>
                <c:pt idx="1">
                  <c:v>2016</c:v>
                </c:pt>
                <c:pt idx="2">
                  <c:v>2017</c:v>
                </c:pt>
                <c:pt idx="3">
                  <c:v>2018</c:v>
                </c:pt>
                <c:pt idx="4">
                  <c:v>2019</c:v>
                </c:pt>
                <c:pt idx="5">
                  <c:v>2020</c:v>
                </c:pt>
                <c:pt idx="6">
                  <c:v>2021</c:v>
                </c:pt>
                <c:pt idx="7">
                  <c:v>2022</c:v>
                </c:pt>
              </c:numCache>
            </c:numRef>
          </c:cat>
          <c:val>
            <c:numRef>
              <c:f>'AF3'!$S$3:$S$10</c:f>
              <c:numCache>
                <c:formatCode>General</c:formatCode>
                <c:ptCount val="8"/>
                <c:pt idx="0">
                  <c:v>0.13497227430343628</c:v>
                </c:pt>
                <c:pt idx="1">
                  <c:v>0.12983250617980957</c:v>
                </c:pt>
                <c:pt idx="2">
                  <c:v>0.1237991526722908</c:v>
                </c:pt>
                <c:pt idx="3">
                  <c:v>0.11316335201263428</c:v>
                </c:pt>
                <c:pt idx="4">
                  <c:v>0.10415948182344437</c:v>
                </c:pt>
                <c:pt idx="5">
                  <c:v>8.9752450585365295E-2</c:v>
                </c:pt>
                <c:pt idx="6">
                  <c:v>8.1201091408729553E-2</c:v>
                </c:pt>
                <c:pt idx="7">
                  <c:v>6.7475348711013794E-2</c:v>
                </c:pt>
              </c:numCache>
            </c:numRef>
          </c:val>
          <c:smooth val="0"/>
          <c:extLst>
            <c:ext xmlns:c16="http://schemas.microsoft.com/office/drawing/2014/chart" uri="{C3380CC4-5D6E-409C-BE32-E72D297353CC}">
              <c16:uniqueId val="{00000000-5AD7-4A90-B4B5-5247B3DDFB31}"/>
            </c:ext>
          </c:extLst>
        </c:ser>
        <c:ser>
          <c:idx val="1"/>
          <c:order val="1"/>
          <c:tx>
            <c:strRef>
              <c:f>'AF3'!$T$1</c:f>
              <c:strCache>
                <c:ptCount val="1"/>
                <c:pt idx="0">
                  <c:v>Consumption Poverty (Bias-Corrected CPI-U-RS)</c:v>
                </c:pt>
              </c:strCache>
            </c:strRef>
          </c:tx>
          <c:spPr>
            <a:ln w="38100">
              <a:solidFill>
                <a:srgbClr val="FF0000"/>
              </a:solidFill>
            </a:ln>
          </c:spPr>
          <c:marker>
            <c:spPr>
              <a:solidFill>
                <a:srgbClr val="FF0000"/>
              </a:solidFill>
              <a:ln>
                <a:solidFill>
                  <a:srgbClr val="FF0000"/>
                </a:solidFill>
              </a:ln>
            </c:spPr>
          </c:marker>
          <c:cat>
            <c:numRef>
              <c:f>'AF3'!$Q$3:$Q$10</c:f>
              <c:numCache>
                <c:formatCode>General</c:formatCode>
                <c:ptCount val="8"/>
                <c:pt idx="0">
                  <c:v>2015</c:v>
                </c:pt>
                <c:pt idx="1">
                  <c:v>2016</c:v>
                </c:pt>
                <c:pt idx="2">
                  <c:v>2017</c:v>
                </c:pt>
                <c:pt idx="3">
                  <c:v>2018</c:v>
                </c:pt>
                <c:pt idx="4">
                  <c:v>2019</c:v>
                </c:pt>
                <c:pt idx="5">
                  <c:v>2020</c:v>
                </c:pt>
                <c:pt idx="6">
                  <c:v>2021</c:v>
                </c:pt>
                <c:pt idx="7">
                  <c:v>2022</c:v>
                </c:pt>
              </c:numCache>
            </c:numRef>
          </c:cat>
          <c:val>
            <c:numRef>
              <c:f>'AF3'!$T$3:$T$10</c:f>
              <c:numCache>
                <c:formatCode>General</c:formatCode>
                <c:ptCount val="8"/>
                <c:pt idx="0">
                  <c:v>0.13497227430343628</c:v>
                </c:pt>
                <c:pt idx="1">
                  <c:v>0.12762996554374695</c:v>
                </c:pt>
                <c:pt idx="2">
                  <c:v>0.12051744014024734</c:v>
                </c:pt>
                <c:pt idx="3">
                  <c:v>0.1081540659070015</c:v>
                </c:pt>
                <c:pt idx="4">
                  <c:v>9.8137892782688141E-2</c:v>
                </c:pt>
                <c:pt idx="5">
                  <c:v>8.137965202331543E-2</c:v>
                </c:pt>
                <c:pt idx="6">
                  <c:v>7.4362434446811676E-2</c:v>
                </c:pt>
                <c:pt idx="7">
                  <c:v>6.0355763882398605E-2</c:v>
                </c:pt>
              </c:numCache>
            </c:numRef>
          </c:val>
          <c:smooth val="0"/>
          <c:extLst>
            <c:ext xmlns:c16="http://schemas.microsoft.com/office/drawing/2014/chart" uri="{C3380CC4-5D6E-409C-BE32-E72D297353CC}">
              <c16:uniqueId val="{00000001-5AD7-4A90-B4B5-5247B3DDFB31}"/>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646315497691502"/>
          <c:w val="0.33710634735775591"/>
          <c:h val="0.28031288168186896"/>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'AF3'!$S$1</c:f>
              <c:strCache>
                <c:ptCount val="1"/>
                <c:pt idx="0">
                  <c:v>Consumption Poverty (Chained CPI)</c:v>
                </c:pt>
              </c:strCache>
            </c:strRef>
          </c:tx>
          <c:spPr>
            <a:ln w="38100">
              <a:solidFill>
                <a:srgbClr val="00B0F0"/>
              </a:solidFill>
              <a:prstDash val="solid"/>
            </a:ln>
          </c:spPr>
          <c:marker>
            <c:symbol val="diamond"/>
            <c:size val="9"/>
            <c:spPr>
              <a:solidFill>
                <a:srgbClr val="00B0F0"/>
              </a:solidFill>
              <a:ln>
                <a:solidFill>
                  <a:srgbClr val="00B0F0"/>
                </a:solidFill>
                <a:prstDash val="solid"/>
              </a:ln>
            </c:spPr>
          </c:marker>
          <c:cat>
            <c:numRef>
              <c:f>'AF3'!$Q$36:$Q$43</c:f>
              <c:numCache>
                <c:formatCode>General</c:formatCode>
                <c:ptCount val="8"/>
                <c:pt idx="0">
                  <c:v>2015</c:v>
                </c:pt>
                <c:pt idx="1">
                  <c:v>2016</c:v>
                </c:pt>
                <c:pt idx="2">
                  <c:v>2017</c:v>
                </c:pt>
                <c:pt idx="3">
                  <c:v>2018</c:v>
                </c:pt>
                <c:pt idx="4">
                  <c:v>2019</c:v>
                </c:pt>
                <c:pt idx="5">
                  <c:v>2020</c:v>
                </c:pt>
                <c:pt idx="6">
                  <c:v>2021</c:v>
                </c:pt>
                <c:pt idx="7">
                  <c:v>2022</c:v>
                </c:pt>
              </c:numCache>
            </c:numRef>
          </c:cat>
          <c:val>
            <c:numRef>
              <c:f>'AF3'!$S$36:$S$43</c:f>
              <c:numCache>
                <c:formatCode>General</c:formatCode>
                <c:ptCount val="8"/>
                <c:pt idx="0">
                  <c:v>0.19632710516452789</c:v>
                </c:pt>
                <c:pt idx="1">
                  <c:v>0.18843373656272888</c:v>
                </c:pt>
                <c:pt idx="2">
                  <c:v>0.18136338889598846</c:v>
                </c:pt>
                <c:pt idx="3">
                  <c:v>0.17017775774002075</c:v>
                </c:pt>
                <c:pt idx="4">
                  <c:v>0.15504762530326843</c:v>
                </c:pt>
                <c:pt idx="5">
                  <c:v>0.12804925441741943</c:v>
                </c:pt>
                <c:pt idx="6">
                  <c:v>0.12009253352880478</c:v>
                </c:pt>
                <c:pt idx="7">
                  <c:v>9.4702601432800293E-2</c:v>
                </c:pt>
              </c:numCache>
            </c:numRef>
          </c:val>
          <c:smooth val="0"/>
          <c:extLst>
            <c:ext xmlns:c16="http://schemas.microsoft.com/office/drawing/2014/chart" uri="{C3380CC4-5D6E-409C-BE32-E72D297353CC}">
              <c16:uniqueId val="{00000000-CAE3-44BC-8DEA-6A14A16990CD}"/>
            </c:ext>
          </c:extLst>
        </c:ser>
        <c:ser>
          <c:idx val="1"/>
          <c:order val="1"/>
          <c:tx>
            <c:strRef>
              <c:f>'AF3'!$T$1</c:f>
              <c:strCache>
                <c:ptCount val="1"/>
                <c:pt idx="0">
                  <c:v>Consumption Poverty (Bias-Corrected CPI-U-RS)</c:v>
                </c:pt>
              </c:strCache>
            </c:strRef>
          </c:tx>
          <c:spPr>
            <a:ln w="38100">
              <a:solidFill>
                <a:srgbClr val="FF0000"/>
              </a:solidFill>
            </a:ln>
          </c:spPr>
          <c:marker>
            <c:spPr>
              <a:solidFill>
                <a:srgbClr val="FF0000"/>
              </a:solidFill>
              <a:ln>
                <a:solidFill>
                  <a:srgbClr val="FF0000"/>
                </a:solidFill>
              </a:ln>
            </c:spPr>
          </c:marker>
          <c:cat>
            <c:numRef>
              <c:f>'AF3'!$Q$36:$Q$43</c:f>
              <c:numCache>
                <c:formatCode>General</c:formatCode>
                <c:ptCount val="8"/>
                <c:pt idx="0">
                  <c:v>2015</c:v>
                </c:pt>
                <c:pt idx="1">
                  <c:v>2016</c:v>
                </c:pt>
                <c:pt idx="2">
                  <c:v>2017</c:v>
                </c:pt>
                <c:pt idx="3">
                  <c:v>2018</c:v>
                </c:pt>
                <c:pt idx="4">
                  <c:v>2019</c:v>
                </c:pt>
                <c:pt idx="5">
                  <c:v>2020</c:v>
                </c:pt>
                <c:pt idx="6">
                  <c:v>2021</c:v>
                </c:pt>
                <c:pt idx="7">
                  <c:v>2022</c:v>
                </c:pt>
              </c:numCache>
            </c:numRef>
          </c:cat>
          <c:val>
            <c:numRef>
              <c:f>'AF3'!$T$36:$T$43</c:f>
              <c:numCache>
                <c:formatCode>General</c:formatCode>
                <c:ptCount val="8"/>
                <c:pt idx="0">
                  <c:v>0.19632710516452789</c:v>
                </c:pt>
                <c:pt idx="1">
                  <c:v>0.18557238578796387</c:v>
                </c:pt>
                <c:pt idx="2">
                  <c:v>0.17667238414287567</c:v>
                </c:pt>
                <c:pt idx="3">
                  <c:v>0.16292569041252136</c:v>
                </c:pt>
                <c:pt idx="4">
                  <c:v>0.14649122953414917</c:v>
                </c:pt>
                <c:pt idx="5">
                  <c:v>0.11599357426166534</c:v>
                </c:pt>
                <c:pt idx="6">
                  <c:v>0.11006379127502441</c:v>
                </c:pt>
                <c:pt idx="7">
                  <c:v>8.5189618170261383E-2</c:v>
                </c:pt>
              </c:numCache>
            </c:numRef>
          </c:val>
          <c:smooth val="0"/>
          <c:extLst>
            <c:ext xmlns:c16="http://schemas.microsoft.com/office/drawing/2014/chart" uri="{C3380CC4-5D6E-409C-BE32-E72D297353CC}">
              <c16:uniqueId val="{00000001-CAE3-44BC-8DEA-6A14A16990CD}"/>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8663375766274528"/>
          <c:w val="0.33692376501173549"/>
          <c:h val="0.2600829270269175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'AF4'!$R$1</c:f>
              <c:strCache>
                <c:ptCount val="1"/>
                <c:pt idx="0">
                  <c:v>Expenditure Poverty</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cat>
            <c:numRef>
              <c:f>'AF4'!$Q$3:$Q$10</c:f>
              <c:numCache>
                <c:formatCode>General</c:formatCode>
                <c:ptCount val="8"/>
                <c:pt idx="0">
                  <c:v>2015</c:v>
                </c:pt>
                <c:pt idx="1">
                  <c:v>2016</c:v>
                </c:pt>
                <c:pt idx="2">
                  <c:v>2017</c:v>
                </c:pt>
                <c:pt idx="3">
                  <c:v>2018</c:v>
                </c:pt>
                <c:pt idx="4">
                  <c:v>2019</c:v>
                </c:pt>
                <c:pt idx="5">
                  <c:v>2020</c:v>
                </c:pt>
                <c:pt idx="6">
                  <c:v>2021</c:v>
                </c:pt>
                <c:pt idx="7">
                  <c:v>2022</c:v>
                </c:pt>
              </c:numCache>
            </c:numRef>
          </c:cat>
          <c:val>
            <c:numRef>
              <c:f>'AF4'!$R$3:$R$10</c:f>
              <c:numCache>
                <c:formatCode>General</c:formatCode>
                <c:ptCount val="8"/>
                <c:pt idx="0">
                  <c:v>0.13498474657535553</c:v>
                </c:pt>
                <c:pt idx="1">
                  <c:v>0.12370704114437103</c:v>
                </c:pt>
                <c:pt idx="2">
                  <c:v>0.11898282170295715</c:v>
                </c:pt>
                <c:pt idx="3">
                  <c:v>0.10987701267004013</c:v>
                </c:pt>
                <c:pt idx="4">
                  <c:v>0.10130201280117035</c:v>
                </c:pt>
                <c:pt idx="5">
                  <c:v>8.2804322242736816E-2</c:v>
                </c:pt>
                <c:pt idx="6">
                  <c:v>8.2420378923416138E-2</c:v>
                </c:pt>
                <c:pt idx="7">
                  <c:v>7.1318335831165314E-2</c:v>
                </c:pt>
              </c:numCache>
            </c:numRef>
          </c:val>
          <c:smooth val="0"/>
          <c:extLst>
            <c:ext xmlns:c16="http://schemas.microsoft.com/office/drawing/2014/chart" uri="{C3380CC4-5D6E-409C-BE32-E72D297353CC}">
              <c16:uniqueId val="{00000000-8C9F-4FA8-BAD3-9684045ADCA0}"/>
            </c:ext>
          </c:extLst>
        </c:ser>
        <c:ser>
          <c:idx val="3"/>
          <c:order val="1"/>
          <c:tx>
            <c:strRef>
              <c:f>'AF4'!$T$1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'AF4'!$Q$3:$Q$10</c:f>
              <c:numCache>
                <c:formatCode>General</c:formatCode>
                <c:ptCount val="8"/>
                <c:pt idx="0">
                  <c:v>2015</c:v>
                </c:pt>
                <c:pt idx="1">
                  <c:v>2016</c:v>
                </c:pt>
                <c:pt idx="2">
                  <c:v>2017</c:v>
                </c:pt>
                <c:pt idx="3">
                  <c:v>2018</c:v>
                </c:pt>
                <c:pt idx="4">
                  <c:v>2019</c:v>
                </c:pt>
                <c:pt idx="5">
                  <c:v>2020</c:v>
                </c:pt>
                <c:pt idx="6">
                  <c:v>2021</c:v>
                </c:pt>
                <c:pt idx="7">
                  <c:v>2022</c:v>
                </c:pt>
              </c:numCache>
            </c:numRef>
          </c:cat>
          <c:val>
            <c:numRef>
              <c:f>'AF4'!$T$3:$T$10</c:f>
              <c:numCache>
                <c:formatCode>General</c:formatCode>
                <c:ptCount val="8"/>
                <c:pt idx="0">
                  <c:v>0.13497227430343628</c:v>
                </c:pt>
                <c:pt idx="1">
                  <c:v>0.12762996554374695</c:v>
                </c:pt>
                <c:pt idx="2">
                  <c:v>0.12051744014024734</c:v>
                </c:pt>
                <c:pt idx="3">
                  <c:v>0.1081540659070015</c:v>
                </c:pt>
                <c:pt idx="4">
                  <c:v>9.8137892782688141E-2</c:v>
                </c:pt>
                <c:pt idx="5">
                  <c:v>8.137965202331543E-2</c:v>
                </c:pt>
                <c:pt idx="6">
                  <c:v>7.4362434446811676E-2</c:v>
                </c:pt>
                <c:pt idx="7">
                  <c:v>6.0355763882398605E-2</c:v>
                </c:pt>
              </c:numCache>
            </c:numRef>
          </c:val>
          <c:smooth val="0"/>
          <c:extLst>
            <c:ext xmlns:c16="http://schemas.microsoft.com/office/drawing/2014/chart" uri="{C3380CC4-5D6E-409C-BE32-E72D297353CC}">
              <c16:uniqueId val="{00000002-8C9F-4FA8-BAD3-9684045ADCA0}"/>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646315497691502"/>
          <c:w val="0.28037190196529876"/>
          <c:h val="0.28031288168186896"/>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0"/>
          <c:order val="0"/>
          <c:tx>
            <c:strRef>
              <c:f>'AF4'!$R$1</c:f>
              <c:strCache>
                <c:ptCount val="1"/>
                <c:pt idx="0">
                  <c:v>Expenditure Poverty</c:v>
                </c:pt>
              </c:strCache>
            </c:strRef>
          </c:tx>
          <c:spPr>
            <a:ln w="38100">
              <a:solidFill>
                <a:srgbClr val="000080"/>
              </a:solidFill>
              <a:prstDash val="solid"/>
            </a:ln>
          </c:spPr>
          <c:marker>
            <c:symbol val="diamond"/>
            <c:size val="9"/>
            <c:spPr>
              <a:solidFill>
                <a:srgbClr val="000080"/>
              </a:solidFill>
              <a:ln>
                <a:solidFill>
                  <a:srgbClr val="000080"/>
                </a:solidFill>
                <a:prstDash val="solid"/>
              </a:ln>
            </c:spPr>
          </c:marker>
          <c:cat>
            <c:numRef>
              <c:f>'AF4'!$Q$36:$Q$43</c:f>
              <c:numCache>
                <c:formatCode>General</c:formatCode>
                <c:ptCount val="8"/>
                <c:pt idx="0">
                  <c:v>2015</c:v>
                </c:pt>
                <c:pt idx="1">
                  <c:v>2016</c:v>
                </c:pt>
                <c:pt idx="2">
                  <c:v>2017</c:v>
                </c:pt>
                <c:pt idx="3">
                  <c:v>2018</c:v>
                </c:pt>
                <c:pt idx="4">
                  <c:v>2019</c:v>
                </c:pt>
                <c:pt idx="5">
                  <c:v>2020</c:v>
                </c:pt>
                <c:pt idx="6">
                  <c:v>2021</c:v>
                </c:pt>
                <c:pt idx="7">
                  <c:v>2022</c:v>
                </c:pt>
              </c:numCache>
            </c:numRef>
          </c:cat>
          <c:val>
            <c:numRef>
              <c:f>'AF4'!$R$36:$R$43</c:f>
              <c:numCache>
                <c:formatCode>General</c:formatCode>
                <c:ptCount val="8"/>
                <c:pt idx="0">
                  <c:v>0.17838621139526367</c:v>
                </c:pt>
                <c:pt idx="1">
                  <c:v>0.16565340757369995</c:v>
                </c:pt>
                <c:pt idx="2">
                  <c:v>0.1564958393573761</c:v>
                </c:pt>
                <c:pt idx="3">
                  <c:v>0.15112204849720001</c:v>
                </c:pt>
                <c:pt idx="4">
                  <c:v>0.13583560287952423</c:v>
                </c:pt>
                <c:pt idx="5">
                  <c:v>0.10790304839611053</c:v>
                </c:pt>
                <c:pt idx="6">
                  <c:v>0.10453437268733978</c:v>
                </c:pt>
                <c:pt idx="7">
                  <c:v>9.4508059322834015E-2</c:v>
                </c:pt>
              </c:numCache>
            </c:numRef>
          </c:val>
          <c:smooth val="0"/>
          <c:extLst>
            <c:ext xmlns:c16="http://schemas.microsoft.com/office/drawing/2014/chart" uri="{C3380CC4-5D6E-409C-BE32-E72D297353CC}">
              <c16:uniqueId val="{00000000-65DD-4D93-8691-9C605B7F18DB}"/>
            </c:ext>
          </c:extLst>
        </c:ser>
        <c:ser>
          <c:idx val="3"/>
          <c:order val="1"/>
          <c:tx>
            <c:strRef>
              <c:f>'AF4'!$T$1</c:f>
              <c:strCache>
                <c:ptCount val="1"/>
                <c:pt idx="0">
                  <c:v>Consumption Poverty</c:v>
                </c:pt>
              </c:strCache>
            </c:strRef>
          </c:tx>
          <c:spPr>
            <a:ln w="38100">
              <a:solidFill>
                <a:srgbClr val="008000"/>
              </a:solidFill>
              <a:prstDash val="solid"/>
            </a:ln>
          </c:spPr>
          <c:marker>
            <c:symbol val="circle"/>
            <c:size val="9"/>
            <c:spPr>
              <a:noFill/>
              <a:ln>
                <a:solidFill>
                  <a:srgbClr val="008000"/>
                </a:solidFill>
                <a:prstDash val="solid"/>
              </a:ln>
            </c:spPr>
          </c:marker>
          <c:cat>
            <c:numRef>
              <c:f>'AF4'!$Q$36:$Q$43</c:f>
              <c:numCache>
                <c:formatCode>General</c:formatCode>
                <c:ptCount val="8"/>
                <c:pt idx="0">
                  <c:v>2015</c:v>
                </c:pt>
                <c:pt idx="1">
                  <c:v>2016</c:v>
                </c:pt>
                <c:pt idx="2">
                  <c:v>2017</c:v>
                </c:pt>
                <c:pt idx="3">
                  <c:v>2018</c:v>
                </c:pt>
                <c:pt idx="4">
                  <c:v>2019</c:v>
                </c:pt>
                <c:pt idx="5">
                  <c:v>2020</c:v>
                </c:pt>
                <c:pt idx="6">
                  <c:v>2021</c:v>
                </c:pt>
                <c:pt idx="7">
                  <c:v>2022</c:v>
                </c:pt>
              </c:numCache>
            </c:numRef>
          </c:cat>
          <c:val>
            <c:numRef>
              <c:f>'AF4'!$T$36:$T$43</c:f>
              <c:numCache>
                <c:formatCode>General</c:formatCode>
                <c:ptCount val="8"/>
                <c:pt idx="0">
                  <c:v>0.19632710516452789</c:v>
                </c:pt>
                <c:pt idx="1">
                  <c:v>0.18557238578796387</c:v>
                </c:pt>
                <c:pt idx="2">
                  <c:v>0.17667238414287567</c:v>
                </c:pt>
                <c:pt idx="3">
                  <c:v>0.16292569041252136</c:v>
                </c:pt>
                <c:pt idx="4">
                  <c:v>0.14649122953414917</c:v>
                </c:pt>
                <c:pt idx="5">
                  <c:v>0.11599357426166534</c:v>
                </c:pt>
                <c:pt idx="6">
                  <c:v>0.11006379127502441</c:v>
                </c:pt>
                <c:pt idx="7">
                  <c:v>8.5189618170261383E-2</c:v>
                </c:pt>
              </c:numCache>
            </c:numRef>
          </c:val>
          <c:smooth val="0"/>
          <c:extLst>
            <c:ext xmlns:c16="http://schemas.microsoft.com/office/drawing/2014/chart" uri="{C3380CC4-5D6E-409C-BE32-E72D297353CC}">
              <c16:uniqueId val="{00000002-65DD-4D93-8691-9C605B7F18DB}"/>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8663375766274528"/>
          <c:w val="0.28037539999431838"/>
          <c:h val="0.2600829270269175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'AF5'!$W$1</c:f>
              <c:strCache>
                <c:ptCount val="1"/>
                <c:pt idx="0">
                  <c:v>Consumption Poverty (full sample)</c:v>
                </c:pt>
              </c:strCache>
            </c:strRef>
          </c:tx>
          <c:spPr>
            <a:ln w="38100">
              <a:solidFill>
                <a:srgbClr val="008000"/>
              </a:solidFill>
            </a:ln>
          </c:spPr>
          <c:marker>
            <c:symbol val="circle"/>
            <c:size val="9"/>
            <c:spPr>
              <a:noFill/>
              <a:ln w="9525">
                <a:solidFill>
                  <a:srgbClr val="008000"/>
                </a:solidFill>
              </a:ln>
            </c:spPr>
          </c:marker>
          <c:cat>
            <c:numRef>
              <c:f>'AF5'!$Q$3:$Q$10</c:f>
              <c:numCache>
                <c:formatCode>General</c:formatCode>
                <c:ptCount val="8"/>
                <c:pt idx="0">
                  <c:v>2015</c:v>
                </c:pt>
                <c:pt idx="1">
                  <c:v>2016</c:v>
                </c:pt>
                <c:pt idx="2">
                  <c:v>2017</c:v>
                </c:pt>
                <c:pt idx="3">
                  <c:v>2018</c:v>
                </c:pt>
                <c:pt idx="4">
                  <c:v>2019</c:v>
                </c:pt>
                <c:pt idx="5">
                  <c:v>2020</c:v>
                </c:pt>
                <c:pt idx="6">
                  <c:v>2021</c:v>
                </c:pt>
                <c:pt idx="7">
                  <c:v>2022</c:v>
                </c:pt>
              </c:numCache>
            </c:numRef>
          </c:cat>
          <c:val>
            <c:numRef>
              <c:f>'AF5'!$W$3:$W$10</c:f>
              <c:numCache>
                <c:formatCode>General</c:formatCode>
                <c:ptCount val="8"/>
                <c:pt idx="0">
                  <c:v>0.13497227430343628</c:v>
                </c:pt>
                <c:pt idx="1">
                  <c:v>0.12762996554374695</c:v>
                </c:pt>
                <c:pt idx="2">
                  <c:v>0.12051744014024734</c:v>
                </c:pt>
                <c:pt idx="3">
                  <c:v>0.1081540659070015</c:v>
                </c:pt>
                <c:pt idx="4">
                  <c:v>9.8137892782688141E-2</c:v>
                </c:pt>
                <c:pt idx="5">
                  <c:v>8.137965202331543E-2</c:v>
                </c:pt>
                <c:pt idx="6">
                  <c:v>7.4362434446811676E-2</c:v>
                </c:pt>
                <c:pt idx="7">
                  <c:v>6.0355763882398605E-2</c:v>
                </c:pt>
              </c:numCache>
            </c:numRef>
          </c:val>
          <c:smooth val="0"/>
          <c:extLst>
            <c:ext xmlns:c16="http://schemas.microsoft.com/office/drawing/2014/chart" uri="{C3380CC4-5D6E-409C-BE32-E72D297353CC}">
              <c16:uniqueId val="{00000002-CC32-44D3-A7BB-6950212FCCD8}"/>
            </c:ext>
          </c:extLst>
        </c:ser>
        <c:ser>
          <c:idx val="1"/>
          <c:order val="1"/>
          <c:tx>
            <c:strRef>
              <c:f>'AF5'!$V$1</c:f>
              <c:strCache>
                <c:ptCount val="1"/>
                <c:pt idx="0">
                  <c:v>Consumption Poverty (restricted sample)</c:v>
                </c:pt>
              </c:strCache>
            </c:strRef>
          </c:tx>
          <c:spPr>
            <a:ln w="38100">
              <a:solidFill>
                <a:srgbClr val="FFC000"/>
              </a:solidFill>
            </a:ln>
          </c:spPr>
          <c:marker>
            <c:spPr>
              <a:solidFill>
                <a:srgbClr val="FFC000"/>
              </a:solidFill>
              <a:ln>
                <a:solidFill>
                  <a:srgbClr val="FFC000"/>
                </a:solidFill>
              </a:ln>
            </c:spPr>
          </c:marker>
          <c:cat>
            <c:numRef>
              <c:f>'AF5'!$Q$3:$Q$10</c:f>
              <c:numCache>
                <c:formatCode>General</c:formatCode>
                <c:ptCount val="8"/>
                <c:pt idx="0">
                  <c:v>2015</c:v>
                </c:pt>
                <c:pt idx="1">
                  <c:v>2016</c:v>
                </c:pt>
                <c:pt idx="2">
                  <c:v>2017</c:v>
                </c:pt>
                <c:pt idx="3">
                  <c:v>2018</c:v>
                </c:pt>
                <c:pt idx="4">
                  <c:v>2019</c:v>
                </c:pt>
                <c:pt idx="5">
                  <c:v>2020</c:v>
                </c:pt>
                <c:pt idx="6">
                  <c:v>2021</c:v>
                </c:pt>
                <c:pt idx="7">
                  <c:v>2022</c:v>
                </c:pt>
              </c:numCache>
            </c:numRef>
          </c:cat>
          <c:val>
            <c:numRef>
              <c:f>'AF5'!$V$3:$V$10</c:f>
              <c:numCache>
                <c:formatCode>General</c:formatCode>
                <c:ptCount val="8"/>
                <c:pt idx="0">
                  <c:v>0.13461396098136902</c:v>
                </c:pt>
                <c:pt idx="1">
                  <c:v>0.12205053865909576</c:v>
                </c:pt>
                <c:pt idx="2">
                  <c:v>0.11811334639787674</c:v>
                </c:pt>
                <c:pt idx="3">
                  <c:v>0.11269731074571609</c:v>
                </c:pt>
                <c:pt idx="4">
                  <c:v>9.7902014851570129E-2</c:v>
                </c:pt>
                <c:pt idx="5">
                  <c:v>8.377385139465332E-2</c:v>
                </c:pt>
                <c:pt idx="6">
                  <c:v>5.8462120592594147E-2</c:v>
                </c:pt>
                <c:pt idx="7">
                  <c:v>6.5752923488616943E-2</c:v>
                </c:pt>
              </c:numCache>
            </c:numRef>
          </c:val>
          <c:smooth val="0"/>
          <c:extLst>
            <c:ext xmlns:c16="http://schemas.microsoft.com/office/drawing/2014/chart" uri="{C3380CC4-5D6E-409C-BE32-E72D297353CC}">
              <c16:uniqueId val="{00000001-9C9F-4216-87FE-0479441A128A}"/>
            </c:ext>
          </c:extLst>
        </c:ser>
        <c:ser>
          <c:idx val="0"/>
          <c:order val="2"/>
          <c:tx>
            <c:strRef>
              <c:f>'AF5'!$U$1</c:f>
              <c:strCache>
                <c:ptCount val="1"/>
                <c:pt idx="0">
                  <c:v>Consumption + Net Saving Poverty (restricted sample)</c:v>
                </c:pt>
              </c:strCache>
            </c:strRef>
          </c:tx>
          <c:spPr>
            <a:ln w="38100">
              <a:solidFill>
                <a:srgbClr val="000080"/>
              </a:solidFill>
              <a:prstDash val="solid"/>
            </a:ln>
          </c:spPr>
          <c:marker>
            <c:symbol val="diamond"/>
            <c:size val="9"/>
            <c:spPr>
              <a:solidFill>
                <a:srgbClr val="000080"/>
              </a:solidFill>
              <a:ln w="9525">
                <a:solidFill>
                  <a:srgbClr val="000080"/>
                </a:solidFill>
                <a:prstDash val="solid"/>
              </a:ln>
            </c:spPr>
          </c:marker>
          <c:cat>
            <c:numRef>
              <c:f>'AF5'!$Q$3:$Q$10</c:f>
              <c:numCache>
                <c:formatCode>General</c:formatCode>
                <c:ptCount val="8"/>
                <c:pt idx="0">
                  <c:v>2015</c:v>
                </c:pt>
                <c:pt idx="1">
                  <c:v>2016</c:v>
                </c:pt>
                <c:pt idx="2">
                  <c:v>2017</c:v>
                </c:pt>
                <c:pt idx="3">
                  <c:v>2018</c:v>
                </c:pt>
                <c:pt idx="4">
                  <c:v>2019</c:v>
                </c:pt>
                <c:pt idx="5">
                  <c:v>2020</c:v>
                </c:pt>
                <c:pt idx="6">
                  <c:v>2021</c:v>
                </c:pt>
                <c:pt idx="7">
                  <c:v>2022</c:v>
                </c:pt>
              </c:numCache>
            </c:numRef>
          </c:cat>
          <c:val>
            <c:numRef>
              <c:f>'AF5'!$U$3:$U$10</c:f>
              <c:numCache>
                <c:formatCode>General</c:formatCode>
                <c:ptCount val="8"/>
                <c:pt idx="0">
                  <c:v>0.13481238484382629</c:v>
                </c:pt>
                <c:pt idx="1">
                  <c:v>0.11823923140764236</c:v>
                </c:pt>
                <c:pt idx="2">
                  <c:v>0.12021073698997498</c:v>
                </c:pt>
                <c:pt idx="3">
                  <c:v>0.11263519525527954</c:v>
                </c:pt>
                <c:pt idx="4">
                  <c:v>9.8145768046379089E-2</c:v>
                </c:pt>
                <c:pt idx="5">
                  <c:v>9.0952612459659576E-2</c:v>
                </c:pt>
                <c:pt idx="6">
                  <c:v>5.8706391602754593E-2</c:v>
                </c:pt>
                <c:pt idx="7">
                  <c:v>8.3117499947547913E-2</c:v>
                </c:pt>
              </c:numCache>
            </c:numRef>
          </c:val>
          <c:smooth val="0"/>
          <c:extLst>
            <c:ext xmlns:c16="http://schemas.microsoft.com/office/drawing/2014/chart" uri="{C3380CC4-5D6E-409C-BE32-E72D297353CC}">
              <c16:uniqueId val="{00000000-9C9F-4216-87FE-0479441A128A}"/>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2721818941264846E-2"/>
          <c:y val="0.65898458111647218"/>
          <c:w val="0.40199965890467382"/>
          <c:h val="0.18194904828191358"/>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'AF5'!$W$34</c:f>
              <c:strCache>
                <c:ptCount val="1"/>
                <c:pt idx="0">
                  <c:v>Consumption Poverty (full sample)</c:v>
                </c:pt>
              </c:strCache>
            </c:strRef>
          </c:tx>
          <c:spPr>
            <a:ln w="38100">
              <a:solidFill>
                <a:srgbClr val="008000"/>
              </a:solidFill>
            </a:ln>
          </c:spPr>
          <c:marker>
            <c:symbol val="circle"/>
            <c:size val="9"/>
            <c:spPr>
              <a:noFill/>
              <a:ln w="9525">
                <a:solidFill>
                  <a:srgbClr val="008000"/>
                </a:solidFill>
              </a:ln>
            </c:spPr>
          </c:marker>
          <c:cat>
            <c:numRef>
              <c:f>'AF5'!$Q$36:$Q$43</c:f>
              <c:numCache>
                <c:formatCode>General</c:formatCode>
                <c:ptCount val="8"/>
                <c:pt idx="0">
                  <c:v>2015</c:v>
                </c:pt>
                <c:pt idx="1">
                  <c:v>2016</c:v>
                </c:pt>
                <c:pt idx="2">
                  <c:v>2017</c:v>
                </c:pt>
                <c:pt idx="3">
                  <c:v>2018</c:v>
                </c:pt>
                <c:pt idx="4">
                  <c:v>2019</c:v>
                </c:pt>
                <c:pt idx="5">
                  <c:v>2020</c:v>
                </c:pt>
                <c:pt idx="6">
                  <c:v>2021</c:v>
                </c:pt>
                <c:pt idx="7">
                  <c:v>2022</c:v>
                </c:pt>
              </c:numCache>
            </c:numRef>
          </c:cat>
          <c:val>
            <c:numRef>
              <c:f>'AF5'!$W$36:$W$43</c:f>
              <c:numCache>
                <c:formatCode>General</c:formatCode>
                <c:ptCount val="8"/>
                <c:pt idx="0">
                  <c:v>0.19632710516452789</c:v>
                </c:pt>
                <c:pt idx="1">
                  <c:v>0.18557238578796387</c:v>
                </c:pt>
                <c:pt idx="2">
                  <c:v>0.17667238414287567</c:v>
                </c:pt>
                <c:pt idx="3">
                  <c:v>0.16292569041252136</c:v>
                </c:pt>
                <c:pt idx="4">
                  <c:v>0.14649122953414917</c:v>
                </c:pt>
                <c:pt idx="5">
                  <c:v>0.11599357426166534</c:v>
                </c:pt>
                <c:pt idx="6">
                  <c:v>0.11006379127502441</c:v>
                </c:pt>
                <c:pt idx="7">
                  <c:v>8.5189618170261383E-2</c:v>
                </c:pt>
              </c:numCache>
            </c:numRef>
          </c:val>
          <c:smooth val="0"/>
          <c:extLst>
            <c:ext xmlns:c16="http://schemas.microsoft.com/office/drawing/2014/chart" uri="{C3380CC4-5D6E-409C-BE32-E72D297353CC}">
              <c16:uniqueId val="{00000001-C495-4809-A474-6760AEC3C0CE}"/>
            </c:ext>
          </c:extLst>
        </c:ser>
        <c:ser>
          <c:idx val="1"/>
          <c:order val="1"/>
          <c:tx>
            <c:strRef>
              <c:f>'AF5'!$V$34</c:f>
              <c:strCache>
                <c:ptCount val="1"/>
                <c:pt idx="0">
                  <c:v>Consumption Poverty (restricted sample)</c:v>
                </c:pt>
              </c:strCache>
            </c:strRef>
          </c:tx>
          <c:spPr>
            <a:ln w="38100">
              <a:solidFill>
                <a:srgbClr val="FFC000"/>
              </a:solidFill>
            </a:ln>
          </c:spPr>
          <c:marker>
            <c:spPr>
              <a:solidFill>
                <a:srgbClr val="FFC000"/>
              </a:solidFill>
              <a:ln>
                <a:solidFill>
                  <a:srgbClr val="FFC000"/>
                </a:solidFill>
              </a:ln>
            </c:spPr>
          </c:marker>
          <c:cat>
            <c:numRef>
              <c:f>'AF5'!$Q$36:$Q$43</c:f>
              <c:numCache>
                <c:formatCode>General</c:formatCode>
                <c:ptCount val="8"/>
                <c:pt idx="0">
                  <c:v>2015</c:v>
                </c:pt>
                <c:pt idx="1">
                  <c:v>2016</c:v>
                </c:pt>
                <c:pt idx="2">
                  <c:v>2017</c:v>
                </c:pt>
                <c:pt idx="3">
                  <c:v>2018</c:v>
                </c:pt>
                <c:pt idx="4">
                  <c:v>2019</c:v>
                </c:pt>
                <c:pt idx="5">
                  <c:v>2020</c:v>
                </c:pt>
                <c:pt idx="6">
                  <c:v>2021</c:v>
                </c:pt>
                <c:pt idx="7">
                  <c:v>2022</c:v>
                </c:pt>
              </c:numCache>
            </c:numRef>
          </c:cat>
          <c:val>
            <c:numRef>
              <c:f>'AF5'!$V$36:$V$43</c:f>
              <c:numCache>
                <c:formatCode>General</c:formatCode>
                <c:ptCount val="8"/>
                <c:pt idx="0">
                  <c:v>0.19014428555965424</c:v>
                </c:pt>
                <c:pt idx="1">
                  <c:v>0.16763189435005188</c:v>
                </c:pt>
                <c:pt idx="2">
                  <c:v>0.17659878730773926</c:v>
                </c:pt>
                <c:pt idx="3">
                  <c:v>0.1690225750207901</c:v>
                </c:pt>
                <c:pt idx="4">
                  <c:v>0.13019730150699615</c:v>
                </c:pt>
                <c:pt idx="5">
                  <c:v>0.12191213667392731</c:v>
                </c:pt>
                <c:pt idx="6">
                  <c:v>8.5357248783111572E-2</c:v>
                </c:pt>
                <c:pt idx="7">
                  <c:v>9.4627223908901215E-2</c:v>
                </c:pt>
              </c:numCache>
            </c:numRef>
          </c:val>
          <c:smooth val="0"/>
          <c:extLst>
            <c:ext xmlns:c16="http://schemas.microsoft.com/office/drawing/2014/chart" uri="{C3380CC4-5D6E-409C-BE32-E72D297353CC}">
              <c16:uniqueId val="{00000001-8B43-455A-91C4-38EE9C257846}"/>
            </c:ext>
          </c:extLst>
        </c:ser>
        <c:ser>
          <c:idx val="0"/>
          <c:order val="2"/>
          <c:tx>
            <c:strRef>
              <c:f>'AF5'!$U$34</c:f>
              <c:strCache>
                <c:ptCount val="1"/>
                <c:pt idx="0">
                  <c:v>Consumption + Net Saving Poverty (restricted sample)</c:v>
                </c:pt>
              </c:strCache>
            </c:strRef>
          </c:tx>
          <c:spPr>
            <a:ln w="38100">
              <a:solidFill>
                <a:srgbClr val="000080"/>
              </a:solidFill>
              <a:prstDash val="solid"/>
            </a:ln>
          </c:spPr>
          <c:marker>
            <c:symbol val="diamond"/>
            <c:size val="9"/>
            <c:spPr>
              <a:solidFill>
                <a:srgbClr val="000080"/>
              </a:solidFill>
              <a:ln w="9525">
                <a:solidFill>
                  <a:srgbClr val="000080"/>
                </a:solidFill>
                <a:prstDash val="solid"/>
              </a:ln>
            </c:spPr>
          </c:marker>
          <c:cat>
            <c:numRef>
              <c:f>'AF5'!$Q$36:$Q$43</c:f>
              <c:numCache>
                <c:formatCode>General</c:formatCode>
                <c:ptCount val="8"/>
                <c:pt idx="0">
                  <c:v>2015</c:v>
                </c:pt>
                <c:pt idx="1">
                  <c:v>2016</c:v>
                </c:pt>
                <c:pt idx="2">
                  <c:v>2017</c:v>
                </c:pt>
                <c:pt idx="3">
                  <c:v>2018</c:v>
                </c:pt>
                <c:pt idx="4">
                  <c:v>2019</c:v>
                </c:pt>
                <c:pt idx="5">
                  <c:v>2020</c:v>
                </c:pt>
                <c:pt idx="6">
                  <c:v>2021</c:v>
                </c:pt>
                <c:pt idx="7">
                  <c:v>2022</c:v>
                </c:pt>
              </c:numCache>
            </c:numRef>
          </c:cat>
          <c:val>
            <c:numRef>
              <c:f>'AF5'!$U$36:$U$43</c:f>
              <c:numCache>
                <c:formatCode>General</c:formatCode>
                <c:ptCount val="8"/>
                <c:pt idx="0">
                  <c:v>0.17214606702327728</c:v>
                </c:pt>
                <c:pt idx="1">
                  <c:v>0.14687405526638031</c:v>
                </c:pt>
                <c:pt idx="2">
                  <c:v>0.17066732048988342</c:v>
                </c:pt>
                <c:pt idx="3">
                  <c:v>0.15727913379669189</c:v>
                </c:pt>
                <c:pt idx="4">
                  <c:v>0.12993171811103821</c:v>
                </c:pt>
                <c:pt idx="5">
                  <c:v>0.12292538583278656</c:v>
                </c:pt>
                <c:pt idx="6">
                  <c:v>7.5299888849258423E-2</c:v>
                </c:pt>
                <c:pt idx="7">
                  <c:v>0.10755141079425812</c:v>
                </c:pt>
              </c:numCache>
            </c:numRef>
          </c:val>
          <c:smooth val="0"/>
          <c:extLst>
            <c:ext xmlns:c16="http://schemas.microsoft.com/office/drawing/2014/chart" uri="{C3380CC4-5D6E-409C-BE32-E72D297353CC}">
              <c16:uniqueId val="{00000000-8B43-455A-91C4-38EE9C257846}"/>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Fraction</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valAx>
      <c:spPr>
        <a:solidFill>
          <a:srgbClr val="FFFFFF"/>
        </a:solidFill>
        <a:ln w="12700">
          <a:solidFill>
            <a:srgbClr val="808080"/>
          </a:solidFill>
          <a:prstDash val="solid"/>
        </a:ln>
      </c:spPr>
    </c:plotArea>
    <c:legend>
      <c:legendPos val="r"/>
      <c:layout>
        <c:manualLayout>
          <c:xMode val="edge"/>
          <c:yMode val="edge"/>
          <c:x val="8.5422841782239425E-2"/>
          <c:y val="0.58663375766274528"/>
          <c:w val="0.39314870312590083"/>
          <c:h val="0.20722325148977283"/>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'AF6'!$R$2</c:f>
              <c:strCache>
                <c:ptCount val="1"/>
                <c:pt idx="0">
                  <c:v>Income - Decreased</c:v>
                </c:pt>
              </c:strCache>
            </c:strRef>
          </c:tx>
          <c:spPr>
            <a:ln>
              <a:solidFill>
                <a:srgbClr val="0070C0"/>
              </a:solidFill>
            </a:ln>
          </c:spPr>
          <c:marker>
            <c:symbol val="square"/>
            <c:size val="8"/>
            <c:spPr>
              <a:solidFill>
                <a:srgbClr val="0070C0"/>
              </a:solidFill>
              <a:ln>
                <a:solidFill>
                  <a:srgbClr val="0070C0"/>
                </a:solidFill>
              </a:ln>
            </c:spPr>
          </c:marker>
          <c:cat>
            <c:numRef>
              <c:f>'AF6'!$Q$18:$Q$20</c:f>
              <c:numCache>
                <c:formatCode>General</c:formatCode>
                <c:ptCount val="3"/>
                <c:pt idx="0">
                  <c:v>2020</c:v>
                </c:pt>
                <c:pt idx="1">
                  <c:v>2021</c:v>
                </c:pt>
                <c:pt idx="2">
                  <c:v>2022</c:v>
                </c:pt>
              </c:numCache>
            </c:numRef>
          </c:cat>
          <c:val>
            <c:numRef>
              <c:f>'AF6'!$R$18:$R$20</c:f>
              <c:numCache>
                <c:formatCode>General</c:formatCode>
                <c:ptCount val="3"/>
                <c:pt idx="0">
                  <c:v>0.2404504269361496</c:v>
                </c:pt>
                <c:pt idx="1">
                  <c:v>0.14562493562698364</c:v>
                </c:pt>
                <c:pt idx="2">
                  <c:v>0.14556750655174255</c:v>
                </c:pt>
              </c:numCache>
            </c:numRef>
          </c:val>
          <c:smooth val="0"/>
          <c:extLst>
            <c:ext xmlns:c16="http://schemas.microsoft.com/office/drawing/2014/chart" uri="{C3380CC4-5D6E-409C-BE32-E72D297353CC}">
              <c16:uniqueId val="{00000000-BF27-4F0F-8008-E749436E03E2}"/>
            </c:ext>
          </c:extLst>
        </c:ser>
        <c:ser>
          <c:idx val="6"/>
          <c:order val="1"/>
          <c:tx>
            <c:strRef>
              <c:f>'AF6'!$S$2</c:f>
              <c:strCache>
                <c:ptCount val="1"/>
                <c:pt idx="0">
                  <c:v>Income - About the same</c:v>
                </c:pt>
              </c:strCache>
            </c:strRef>
          </c:tx>
          <c:spPr>
            <a:ln w="34925">
              <a:solidFill>
                <a:schemeClr val="accent3"/>
              </a:solidFill>
            </a:ln>
          </c:spPr>
          <c:marker>
            <c:symbol val="triangle"/>
            <c:size val="8"/>
            <c:spPr>
              <a:solidFill>
                <a:schemeClr val="accent3"/>
              </a:solidFill>
              <a:ln>
                <a:solidFill>
                  <a:schemeClr val="accent3"/>
                </a:solidFill>
              </a:ln>
            </c:spPr>
          </c:marker>
          <c:cat>
            <c:numRef>
              <c:f>'AF6'!$Q$18:$Q$20</c:f>
              <c:numCache>
                <c:formatCode>General</c:formatCode>
                <c:ptCount val="3"/>
                <c:pt idx="0">
                  <c:v>2020</c:v>
                </c:pt>
                <c:pt idx="1">
                  <c:v>2021</c:v>
                </c:pt>
                <c:pt idx="2">
                  <c:v>2022</c:v>
                </c:pt>
              </c:numCache>
            </c:numRef>
          </c:cat>
          <c:val>
            <c:numRef>
              <c:f>'AF6'!$S$18:$S$20</c:f>
              <c:numCache>
                <c:formatCode>General</c:formatCode>
                <c:ptCount val="3"/>
                <c:pt idx="0">
                  <c:v>0.49978369474411011</c:v>
                </c:pt>
                <c:pt idx="1">
                  <c:v>0.51552665233612061</c:v>
                </c:pt>
                <c:pt idx="2">
                  <c:v>0.50777417421340942</c:v>
                </c:pt>
              </c:numCache>
            </c:numRef>
          </c:val>
          <c:smooth val="0"/>
          <c:extLst>
            <c:ext xmlns:c16="http://schemas.microsoft.com/office/drawing/2014/chart" uri="{C3380CC4-5D6E-409C-BE32-E72D297353CC}">
              <c16:uniqueId val="{00000001-BF27-4F0F-8008-E749436E03E2}"/>
            </c:ext>
          </c:extLst>
        </c:ser>
        <c:ser>
          <c:idx val="1"/>
          <c:order val="2"/>
          <c:tx>
            <c:strRef>
              <c:f>'AF6'!$T$2</c:f>
              <c:strCache>
                <c:ptCount val="1"/>
                <c:pt idx="0">
                  <c:v>Income - Increased</c:v>
                </c:pt>
              </c:strCache>
            </c:strRef>
          </c:tx>
          <c:spPr>
            <a:ln w="34925"/>
          </c:spPr>
          <c:marker>
            <c:symbol val="circle"/>
            <c:size val="8"/>
          </c:marker>
          <c:cat>
            <c:numRef>
              <c:f>'AF6'!$Q$18:$Q$20</c:f>
              <c:numCache>
                <c:formatCode>General</c:formatCode>
                <c:ptCount val="3"/>
                <c:pt idx="0">
                  <c:v>2020</c:v>
                </c:pt>
                <c:pt idx="1">
                  <c:v>2021</c:v>
                </c:pt>
                <c:pt idx="2">
                  <c:v>2022</c:v>
                </c:pt>
              </c:numCache>
            </c:numRef>
          </c:cat>
          <c:val>
            <c:numRef>
              <c:f>'AF6'!$T$18:$T$20</c:f>
              <c:numCache>
                <c:formatCode>General</c:formatCode>
                <c:ptCount val="3"/>
                <c:pt idx="0">
                  <c:v>0.25561371445655823</c:v>
                </c:pt>
                <c:pt idx="1">
                  <c:v>0.33884844183921814</c:v>
                </c:pt>
                <c:pt idx="2">
                  <c:v>0.34665834903717041</c:v>
                </c:pt>
              </c:numCache>
            </c:numRef>
          </c:val>
          <c:smooth val="0"/>
          <c:extLst>
            <c:ext xmlns:c16="http://schemas.microsoft.com/office/drawing/2014/chart" uri="{C3380CC4-5D6E-409C-BE32-E72D297353CC}">
              <c16:uniqueId val="{00000002-BF27-4F0F-8008-E749436E03E2}"/>
            </c:ext>
          </c:extLst>
        </c:ser>
        <c:ser>
          <c:idx val="5"/>
          <c:order val="3"/>
          <c:tx>
            <c:strRef>
              <c:f>'AF6'!$U$2</c:f>
              <c:strCache>
                <c:ptCount val="1"/>
                <c:pt idx="0">
                  <c:v>Spending - Decreased</c:v>
                </c:pt>
              </c:strCache>
            </c:strRef>
          </c:tx>
          <c:spPr>
            <a:ln w="38100">
              <a:solidFill>
                <a:srgbClr val="FF0000"/>
              </a:solidFill>
              <a:prstDash val="solid"/>
            </a:ln>
          </c:spPr>
          <c:marker>
            <c:symbol val="square"/>
            <c:size val="8"/>
            <c:spPr>
              <a:noFill/>
              <a:ln>
                <a:solidFill>
                  <a:srgbClr val="FF0000"/>
                </a:solidFill>
                <a:prstDash val="solid"/>
              </a:ln>
            </c:spPr>
          </c:marker>
          <c:cat>
            <c:numRef>
              <c:f>'AF6'!$Q$18:$Q$20</c:f>
              <c:numCache>
                <c:formatCode>General</c:formatCode>
                <c:ptCount val="3"/>
                <c:pt idx="0">
                  <c:v>2020</c:v>
                </c:pt>
                <c:pt idx="1">
                  <c:v>2021</c:v>
                </c:pt>
                <c:pt idx="2">
                  <c:v>2022</c:v>
                </c:pt>
              </c:numCache>
            </c:numRef>
          </c:cat>
          <c:val>
            <c:numRef>
              <c:f>'AF6'!$U$18:$U$20</c:f>
              <c:numCache>
                <c:formatCode>General</c:formatCode>
                <c:ptCount val="3"/>
                <c:pt idx="0">
                  <c:v>0.21196044981479645</c:v>
                </c:pt>
                <c:pt idx="1">
                  <c:v>0.11129939556121826</c:v>
                </c:pt>
                <c:pt idx="2">
                  <c:v>9.183916449546814E-2</c:v>
                </c:pt>
              </c:numCache>
            </c:numRef>
          </c:val>
          <c:smooth val="0"/>
          <c:extLst>
            <c:ext xmlns:c16="http://schemas.microsoft.com/office/drawing/2014/chart" uri="{C3380CC4-5D6E-409C-BE32-E72D297353CC}">
              <c16:uniqueId val="{00000003-BF27-4F0F-8008-E749436E03E2}"/>
            </c:ext>
          </c:extLst>
        </c:ser>
        <c:ser>
          <c:idx val="0"/>
          <c:order val="4"/>
          <c:tx>
            <c:strRef>
              <c:f>'AF6'!$V$2</c:f>
              <c:strCache>
                <c:ptCount val="1"/>
                <c:pt idx="0">
                  <c:v>Spending - About the same</c:v>
                </c:pt>
              </c:strCache>
            </c:strRef>
          </c:tx>
          <c:marker>
            <c:symbol val="triangle"/>
            <c:size val="8"/>
            <c:spPr>
              <a:noFill/>
            </c:spPr>
          </c:marker>
          <c:cat>
            <c:numRef>
              <c:f>'AF6'!$Q$18:$Q$20</c:f>
              <c:numCache>
                <c:formatCode>General</c:formatCode>
                <c:ptCount val="3"/>
                <c:pt idx="0">
                  <c:v>2020</c:v>
                </c:pt>
                <c:pt idx="1">
                  <c:v>2021</c:v>
                </c:pt>
                <c:pt idx="2">
                  <c:v>2022</c:v>
                </c:pt>
              </c:numCache>
            </c:numRef>
          </c:cat>
          <c:val>
            <c:numRef>
              <c:f>'AF6'!$V$18:$V$20</c:f>
              <c:numCache>
                <c:formatCode>General</c:formatCode>
                <c:ptCount val="3"/>
                <c:pt idx="0">
                  <c:v>0.54047530889511108</c:v>
                </c:pt>
                <c:pt idx="1">
                  <c:v>0.59929096698760986</c:v>
                </c:pt>
                <c:pt idx="2">
                  <c:v>0.46613270044326782</c:v>
                </c:pt>
              </c:numCache>
            </c:numRef>
          </c:val>
          <c:smooth val="0"/>
          <c:extLst>
            <c:ext xmlns:c16="http://schemas.microsoft.com/office/drawing/2014/chart" uri="{C3380CC4-5D6E-409C-BE32-E72D297353CC}">
              <c16:uniqueId val="{00000004-BF27-4F0F-8008-E749436E03E2}"/>
            </c:ext>
          </c:extLst>
        </c:ser>
        <c:ser>
          <c:idx val="3"/>
          <c:order val="5"/>
          <c:tx>
            <c:strRef>
              <c:f>'AF6'!$W$2</c:f>
              <c:strCache>
                <c:ptCount val="1"/>
                <c:pt idx="0">
                  <c:v>Spending - Increased</c:v>
                </c:pt>
              </c:strCache>
            </c:strRef>
          </c:tx>
          <c:marker>
            <c:symbol val="circle"/>
            <c:size val="8"/>
            <c:spPr>
              <a:noFill/>
            </c:spPr>
          </c:marker>
          <c:cat>
            <c:numRef>
              <c:f>'AF6'!$Q$18:$Q$20</c:f>
              <c:numCache>
                <c:formatCode>General</c:formatCode>
                <c:ptCount val="3"/>
                <c:pt idx="0">
                  <c:v>2020</c:v>
                </c:pt>
                <c:pt idx="1">
                  <c:v>2021</c:v>
                </c:pt>
                <c:pt idx="2">
                  <c:v>2022</c:v>
                </c:pt>
              </c:numCache>
            </c:numRef>
          </c:cat>
          <c:val>
            <c:numRef>
              <c:f>'AF6'!$W$18:$W$20</c:f>
              <c:numCache>
                <c:formatCode>General</c:formatCode>
                <c:ptCount val="3"/>
                <c:pt idx="0">
                  <c:v>0.24178265035152435</c:v>
                </c:pt>
                <c:pt idx="1">
                  <c:v>0.28940963745117188</c:v>
                </c:pt>
                <c:pt idx="2">
                  <c:v>0.44202816486358643</c:v>
                </c:pt>
              </c:numCache>
            </c:numRef>
          </c:val>
          <c:smooth val="0"/>
          <c:extLst>
            <c:ext xmlns:c16="http://schemas.microsoft.com/office/drawing/2014/chart" uri="{C3380CC4-5D6E-409C-BE32-E72D297353CC}">
              <c16:uniqueId val="{00000005-BF27-4F0F-8008-E749436E03E2}"/>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47465452359E-2"/>
          <c:y val="0.75723588100723094"/>
          <c:w val="0.90325760987308279"/>
          <c:h val="8.9251845712315855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'AF6'!$R$2</c:f>
              <c:strCache>
                <c:ptCount val="1"/>
                <c:pt idx="0">
                  <c:v>Income - Decreased</c:v>
                </c:pt>
              </c:strCache>
            </c:strRef>
          </c:tx>
          <c:spPr>
            <a:ln>
              <a:solidFill>
                <a:srgbClr val="0070C0"/>
              </a:solidFill>
            </a:ln>
          </c:spPr>
          <c:marker>
            <c:symbol val="square"/>
            <c:size val="7"/>
            <c:spPr>
              <a:solidFill>
                <a:srgbClr val="0070C0"/>
              </a:solidFill>
              <a:ln>
                <a:solidFill>
                  <a:srgbClr val="0070C0"/>
                </a:solidFill>
              </a:ln>
            </c:spPr>
          </c:marker>
          <c:dPt>
            <c:idx val="2"/>
            <c:marker>
              <c:symbol val="square"/>
              <c:size val="8"/>
            </c:marker>
            <c:bubble3D val="0"/>
            <c:extLst>
              <c:ext xmlns:c16="http://schemas.microsoft.com/office/drawing/2014/chart" uri="{C3380CC4-5D6E-409C-BE32-E72D297353CC}">
                <c16:uniqueId val="{00000000-78A5-4310-B6C1-DB26D4197CD2}"/>
              </c:ext>
            </c:extLst>
          </c:dPt>
          <c:cat>
            <c:numRef>
              <c:f>'AF6'!$Q$8:$Q$10</c:f>
              <c:numCache>
                <c:formatCode>General</c:formatCode>
                <c:ptCount val="3"/>
                <c:pt idx="0">
                  <c:v>2020</c:v>
                </c:pt>
                <c:pt idx="1">
                  <c:v>2021</c:v>
                </c:pt>
                <c:pt idx="2">
                  <c:v>2022</c:v>
                </c:pt>
              </c:numCache>
            </c:numRef>
          </c:cat>
          <c:val>
            <c:numRef>
              <c:f>'AF6'!$R$8:$R$10</c:f>
              <c:numCache>
                <c:formatCode>General</c:formatCode>
                <c:ptCount val="3"/>
                <c:pt idx="0">
                  <c:v>0.19183127582073212</c:v>
                </c:pt>
                <c:pt idx="1">
                  <c:v>0.13005104660987854</c:v>
                </c:pt>
                <c:pt idx="2">
                  <c:v>0.12690441310405731</c:v>
                </c:pt>
              </c:numCache>
            </c:numRef>
          </c:val>
          <c:smooth val="0"/>
          <c:extLst>
            <c:ext xmlns:c16="http://schemas.microsoft.com/office/drawing/2014/chart" uri="{C3380CC4-5D6E-409C-BE32-E72D297353CC}">
              <c16:uniqueId val="{00000001-78A5-4310-B6C1-DB26D4197CD2}"/>
            </c:ext>
          </c:extLst>
        </c:ser>
        <c:ser>
          <c:idx val="6"/>
          <c:order val="1"/>
          <c:tx>
            <c:strRef>
              <c:f>'AF6'!$S$2</c:f>
              <c:strCache>
                <c:ptCount val="1"/>
                <c:pt idx="0">
                  <c:v>Income - About the same</c:v>
                </c:pt>
              </c:strCache>
            </c:strRef>
          </c:tx>
          <c:spPr>
            <a:ln w="34925">
              <a:solidFill>
                <a:schemeClr val="accent3"/>
              </a:solidFill>
            </a:ln>
          </c:spPr>
          <c:marker>
            <c:symbol val="triangle"/>
            <c:size val="8"/>
            <c:spPr>
              <a:solidFill>
                <a:schemeClr val="accent3"/>
              </a:solidFill>
              <a:ln>
                <a:solidFill>
                  <a:schemeClr val="accent3"/>
                </a:solidFill>
              </a:ln>
            </c:spPr>
          </c:marker>
          <c:cat>
            <c:numRef>
              <c:f>'AF6'!$Q$8:$Q$10</c:f>
              <c:numCache>
                <c:formatCode>General</c:formatCode>
                <c:ptCount val="3"/>
                <c:pt idx="0">
                  <c:v>2020</c:v>
                </c:pt>
                <c:pt idx="1">
                  <c:v>2021</c:v>
                </c:pt>
                <c:pt idx="2">
                  <c:v>2022</c:v>
                </c:pt>
              </c:numCache>
            </c:numRef>
          </c:cat>
          <c:val>
            <c:numRef>
              <c:f>'AF6'!$S$8:$S$10</c:f>
              <c:numCache>
                <c:formatCode>General</c:formatCode>
                <c:ptCount val="3"/>
                <c:pt idx="0">
                  <c:v>0.56472069025039673</c:v>
                </c:pt>
                <c:pt idx="1">
                  <c:v>0.57403963804244995</c:v>
                </c:pt>
                <c:pt idx="2">
                  <c:v>0.54502010345458984</c:v>
                </c:pt>
              </c:numCache>
            </c:numRef>
          </c:val>
          <c:smooth val="0"/>
          <c:extLst>
            <c:ext xmlns:c16="http://schemas.microsoft.com/office/drawing/2014/chart" uri="{C3380CC4-5D6E-409C-BE32-E72D297353CC}">
              <c16:uniqueId val="{00000002-78A5-4310-B6C1-DB26D4197CD2}"/>
            </c:ext>
          </c:extLst>
        </c:ser>
        <c:ser>
          <c:idx val="1"/>
          <c:order val="2"/>
          <c:tx>
            <c:strRef>
              <c:f>'AF6'!$T$2</c:f>
              <c:strCache>
                <c:ptCount val="1"/>
                <c:pt idx="0">
                  <c:v>Income - Increased</c:v>
                </c:pt>
              </c:strCache>
            </c:strRef>
          </c:tx>
          <c:spPr>
            <a:ln w="34925"/>
          </c:spPr>
          <c:marker>
            <c:symbol val="circle"/>
            <c:size val="8"/>
          </c:marker>
          <c:cat>
            <c:numRef>
              <c:f>'AF6'!$Q$8:$Q$10</c:f>
              <c:numCache>
                <c:formatCode>General</c:formatCode>
                <c:ptCount val="3"/>
                <c:pt idx="0">
                  <c:v>2020</c:v>
                </c:pt>
                <c:pt idx="1">
                  <c:v>2021</c:v>
                </c:pt>
                <c:pt idx="2">
                  <c:v>2022</c:v>
                </c:pt>
              </c:numCache>
            </c:numRef>
          </c:cat>
          <c:val>
            <c:numRef>
              <c:f>'AF6'!$T$8:$T$10</c:f>
              <c:numCache>
                <c:formatCode>General</c:formatCode>
                <c:ptCount val="3"/>
                <c:pt idx="0">
                  <c:v>0.24059806764125824</c:v>
                </c:pt>
                <c:pt idx="1">
                  <c:v>0.29590931534767151</c:v>
                </c:pt>
                <c:pt idx="2">
                  <c:v>0.32807549834251404</c:v>
                </c:pt>
              </c:numCache>
            </c:numRef>
          </c:val>
          <c:smooth val="0"/>
          <c:extLst>
            <c:ext xmlns:c16="http://schemas.microsoft.com/office/drawing/2014/chart" uri="{C3380CC4-5D6E-409C-BE32-E72D297353CC}">
              <c16:uniqueId val="{00000003-78A5-4310-B6C1-DB26D4197CD2}"/>
            </c:ext>
          </c:extLst>
        </c:ser>
        <c:ser>
          <c:idx val="5"/>
          <c:order val="3"/>
          <c:tx>
            <c:strRef>
              <c:f>'AF6'!$U$2</c:f>
              <c:strCache>
                <c:ptCount val="1"/>
                <c:pt idx="0">
                  <c:v>Spending - Decreased</c:v>
                </c:pt>
              </c:strCache>
            </c:strRef>
          </c:tx>
          <c:spPr>
            <a:ln w="38100">
              <a:solidFill>
                <a:srgbClr val="FF0000"/>
              </a:solidFill>
              <a:prstDash val="solid"/>
            </a:ln>
          </c:spPr>
          <c:marker>
            <c:symbol val="square"/>
            <c:size val="8"/>
            <c:spPr>
              <a:noFill/>
              <a:ln>
                <a:solidFill>
                  <a:srgbClr val="FF0000"/>
                </a:solidFill>
                <a:prstDash val="solid"/>
              </a:ln>
            </c:spPr>
          </c:marker>
          <c:cat>
            <c:numRef>
              <c:f>'AF6'!$Q$8:$Q$10</c:f>
              <c:numCache>
                <c:formatCode>General</c:formatCode>
                <c:ptCount val="3"/>
                <c:pt idx="0">
                  <c:v>2020</c:v>
                </c:pt>
                <c:pt idx="1">
                  <c:v>2021</c:v>
                </c:pt>
                <c:pt idx="2">
                  <c:v>2022</c:v>
                </c:pt>
              </c:numCache>
            </c:numRef>
          </c:cat>
          <c:val>
            <c:numRef>
              <c:f>'AF6'!$U$8:$U$10</c:f>
              <c:numCache>
                <c:formatCode>General</c:formatCode>
                <c:ptCount val="3"/>
                <c:pt idx="0">
                  <c:v>0.22282524406909943</c:v>
                </c:pt>
                <c:pt idx="1">
                  <c:v>0.12276986241340637</c:v>
                </c:pt>
                <c:pt idx="2">
                  <c:v>9.9343262612819672E-2</c:v>
                </c:pt>
              </c:numCache>
            </c:numRef>
          </c:val>
          <c:smooth val="0"/>
          <c:extLst>
            <c:ext xmlns:c16="http://schemas.microsoft.com/office/drawing/2014/chart" uri="{C3380CC4-5D6E-409C-BE32-E72D297353CC}">
              <c16:uniqueId val="{00000004-78A5-4310-B6C1-DB26D4197CD2}"/>
            </c:ext>
          </c:extLst>
        </c:ser>
        <c:ser>
          <c:idx val="0"/>
          <c:order val="4"/>
          <c:tx>
            <c:strRef>
              <c:f>'AF6'!$V$2</c:f>
              <c:strCache>
                <c:ptCount val="1"/>
                <c:pt idx="0">
                  <c:v>Spending - About the same</c:v>
                </c:pt>
              </c:strCache>
            </c:strRef>
          </c:tx>
          <c:marker>
            <c:symbol val="triangle"/>
            <c:size val="8"/>
            <c:spPr>
              <a:noFill/>
            </c:spPr>
          </c:marker>
          <c:cat>
            <c:numRef>
              <c:f>'AF6'!$Q$8:$Q$10</c:f>
              <c:numCache>
                <c:formatCode>General</c:formatCode>
                <c:ptCount val="3"/>
                <c:pt idx="0">
                  <c:v>2020</c:v>
                </c:pt>
                <c:pt idx="1">
                  <c:v>2021</c:v>
                </c:pt>
                <c:pt idx="2">
                  <c:v>2022</c:v>
                </c:pt>
              </c:numCache>
            </c:numRef>
          </c:cat>
          <c:val>
            <c:numRef>
              <c:f>'AF6'!$V$8:$V$10</c:f>
              <c:numCache>
                <c:formatCode>General</c:formatCode>
                <c:ptCount val="3"/>
                <c:pt idx="0">
                  <c:v>0.57794618606567383</c:v>
                </c:pt>
                <c:pt idx="1">
                  <c:v>0.62254220247268677</c:v>
                </c:pt>
                <c:pt idx="2">
                  <c:v>0.50516343116760254</c:v>
                </c:pt>
              </c:numCache>
            </c:numRef>
          </c:val>
          <c:smooth val="0"/>
          <c:extLst>
            <c:ext xmlns:c16="http://schemas.microsoft.com/office/drawing/2014/chart" uri="{C3380CC4-5D6E-409C-BE32-E72D297353CC}">
              <c16:uniqueId val="{00000005-78A5-4310-B6C1-DB26D4197CD2}"/>
            </c:ext>
          </c:extLst>
        </c:ser>
        <c:ser>
          <c:idx val="3"/>
          <c:order val="5"/>
          <c:tx>
            <c:strRef>
              <c:f>'AF6'!$W$2</c:f>
              <c:strCache>
                <c:ptCount val="1"/>
                <c:pt idx="0">
                  <c:v>Spending - Increased</c:v>
                </c:pt>
              </c:strCache>
            </c:strRef>
          </c:tx>
          <c:marker>
            <c:symbol val="circle"/>
            <c:size val="8"/>
            <c:spPr>
              <a:noFill/>
            </c:spPr>
          </c:marker>
          <c:cat>
            <c:numRef>
              <c:f>'AF6'!$Q$8:$Q$10</c:f>
              <c:numCache>
                <c:formatCode>General</c:formatCode>
                <c:ptCount val="3"/>
                <c:pt idx="0">
                  <c:v>2020</c:v>
                </c:pt>
                <c:pt idx="1">
                  <c:v>2021</c:v>
                </c:pt>
                <c:pt idx="2">
                  <c:v>2022</c:v>
                </c:pt>
              </c:numCache>
            </c:numRef>
          </c:cat>
          <c:val>
            <c:numRef>
              <c:f>'AF6'!$W$8:$W$10</c:f>
              <c:numCache>
                <c:formatCode>General</c:formatCode>
                <c:ptCount val="3"/>
                <c:pt idx="0">
                  <c:v>0.19564807415008545</c:v>
                </c:pt>
                <c:pt idx="1">
                  <c:v>0.25468790531158447</c:v>
                </c:pt>
                <c:pt idx="2">
                  <c:v>0.39549329876899719</c:v>
                </c:pt>
              </c:numCache>
            </c:numRef>
          </c:val>
          <c:smooth val="0"/>
          <c:extLst>
            <c:ext xmlns:c16="http://schemas.microsoft.com/office/drawing/2014/chart" uri="{C3380CC4-5D6E-409C-BE32-E72D297353CC}">
              <c16:uniqueId val="{00000006-78A5-4310-B6C1-DB26D4197CD2}"/>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r>
                  <a:rPr lang="en-US"/>
                  <a:t>Fraction</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rgbClr val="000000"/>
                    </a:solidFill>
                    <a:latin typeface="Arial"/>
                    <a:ea typeface="Arial"/>
                    <a:cs typeface="Arial"/>
                  </a:defRPr>
                </a:pPr>
                <a:endParaRPr lang="en-US"/>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47465452359E-2"/>
          <c:y val="0.7664939270990202"/>
          <c:w val="0.90325760987308279"/>
          <c:h val="7.9993799620526607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'AF7'!$R$1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'AF7'!$Q$2:$Q$9</c:f>
              <c:numCache>
                <c:formatCode>General</c:formatCode>
                <c:ptCount val="8"/>
                <c:pt idx="0">
                  <c:v>2015</c:v>
                </c:pt>
                <c:pt idx="1">
                  <c:v>2016</c:v>
                </c:pt>
                <c:pt idx="2">
                  <c:v>2017</c:v>
                </c:pt>
                <c:pt idx="3">
                  <c:v>2018</c:v>
                </c:pt>
                <c:pt idx="4">
                  <c:v>2019</c:v>
                </c:pt>
                <c:pt idx="5">
                  <c:v>2020</c:v>
                </c:pt>
                <c:pt idx="6">
                  <c:v>2021</c:v>
                </c:pt>
                <c:pt idx="7">
                  <c:v>2022</c:v>
                </c:pt>
              </c:numCache>
            </c:numRef>
          </c:cat>
          <c:val>
            <c:numRef>
              <c:f>'AF7'!$R$2:$R$9</c:f>
              <c:numCache>
                <c:formatCode>General</c:formatCode>
                <c:ptCount val="8"/>
                <c:pt idx="0">
                  <c:v>0.3143438994884491</c:v>
                </c:pt>
                <c:pt idx="1">
                  <c:v>0.3008275032043457</c:v>
                </c:pt>
                <c:pt idx="2">
                  <c:v>0.26401117444038391</c:v>
                </c:pt>
                <c:pt idx="3">
                  <c:v>0.25384971499443054</c:v>
                </c:pt>
                <c:pt idx="4">
                  <c:v>0.2460891455411911</c:v>
                </c:pt>
                <c:pt idx="5">
                  <c:v>0.24950988590717316</c:v>
                </c:pt>
                <c:pt idx="6">
                  <c:v>0.22273409366607666</c:v>
                </c:pt>
                <c:pt idx="7">
                  <c:v>0.26864519715309143</c:v>
                </c:pt>
              </c:numCache>
            </c:numRef>
          </c:val>
          <c:smooth val="0"/>
          <c:extLst>
            <c:ext xmlns:c16="http://schemas.microsoft.com/office/drawing/2014/chart" uri="{C3380CC4-5D6E-409C-BE32-E72D297353CC}">
              <c16:uniqueId val="{00000000-81EA-4A7C-8C5A-939D8F350775}"/>
            </c:ext>
          </c:extLst>
        </c:ser>
        <c:ser>
          <c:idx val="6"/>
          <c:order val="1"/>
          <c:tx>
            <c:strRef>
              <c:f>'AF7'!$S$1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'AF7'!$Q$2:$Q$9</c:f>
              <c:numCache>
                <c:formatCode>General</c:formatCode>
                <c:ptCount val="8"/>
                <c:pt idx="0">
                  <c:v>2015</c:v>
                </c:pt>
                <c:pt idx="1">
                  <c:v>2016</c:v>
                </c:pt>
                <c:pt idx="2">
                  <c:v>2017</c:v>
                </c:pt>
                <c:pt idx="3">
                  <c:v>2018</c:v>
                </c:pt>
                <c:pt idx="4">
                  <c:v>2019</c:v>
                </c:pt>
                <c:pt idx="5">
                  <c:v>2020</c:v>
                </c:pt>
                <c:pt idx="6">
                  <c:v>2021</c:v>
                </c:pt>
                <c:pt idx="7">
                  <c:v>2022</c:v>
                </c:pt>
              </c:numCache>
            </c:numRef>
          </c:cat>
          <c:val>
            <c:numRef>
              <c:f>'AF7'!$S$2:$S$9</c:f>
              <c:numCache>
                <c:formatCode>General</c:formatCode>
                <c:ptCount val="8"/>
                <c:pt idx="0">
                  <c:v>0.51909637451171875</c:v>
                </c:pt>
                <c:pt idx="1">
                  <c:v>0.51310032606124878</c:v>
                </c:pt>
                <c:pt idx="2">
                  <c:v>0.49455887079238892</c:v>
                </c:pt>
                <c:pt idx="3">
                  <c:v>0.48536372184753418</c:v>
                </c:pt>
                <c:pt idx="4">
                  <c:v>0.46677157282829285</c:v>
                </c:pt>
                <c:pt idx="5">
                  <c:v>0.44631654024124146</c:v>
                </c:pt>
                <c:pt idx="6">
                  <c:v>0.40876695513725281</c:v>
                </c:pt>
                <c:pt idx="7">
                  <c:v>0.45916798710823059</c:v>
                </c:pt>
              </c:numCache>
            </c:numRef>
          </c:val>
          <c:smooth val="0"/>
          <c:extLst>
            <c:ext xmlns:c16="http://schemas.microsoft.com/office/drawing/2014/chart" uri="{C3380CC4-5D6E-409C-BE32-E72D297353CC}">
              <c16:uniqueId val="{00000001-81EA-4A7C-8C5A-939D8F350775}"/>
            </c:ext>
          </c:extLst>
        </c:ser>
        <c:ser>
          <c:idx val="1"/>
          <c:order val="2"/>
          <c:tx>
            <c:strRef>
              <c:f>'AF7'!$T$1</c:f>
              <c:strCache>
                <c:ptCount val="1"/>
                <c:pt idx="0">
                  <c:v>No means to cover 3 months of expenses in an emergency</c:v>
                </c:pt>
              </c:strCache>
            </c:strRef>
          </c:tx>
          <c:spPr>
            <a:ln w="34925"/>
          </c:spPr>
          <c:marker>
            <c:symbol val="square"/>
            <c:size val="6"/>
          </c:marker>
          <c:cat>
            <c:numRef>
              <c:f>'AF7'!$Q$2:$Q$9</c:f>
              <c:numCache>
                <c:formatCode>General</c:formatCode>
                <c:ptCount val="8"/>
                <c:pt idx="0">
                  <c:v>2015</c:v>
                </c:pt>
                <c:pt idx="1">
                  <c:v>2016</c:v>
                </c:pt>
                <c:pt idx="2">
                  <c:v>2017</c:v>
                </c:pt>
                <c:pt idx="3">
                  <c:v>2018</c:v>
                </c:pt>
                <c:pt idx="4">
                  <c:v>2019</c:v>
                </c:pt>
                <c:pt idx="5">
                  <c:v>2020</c:v>
                </c:pt>
                <c:pt idx="6">
                  <c:v>2021</c:v>
                </c:pt>
                <c:pt idx="7">
                  <c:v>2022</c:v>
                </c:pt>
              </c:numCache>
            </c:numRef>
          </c:cat>
          <c:val>
            <c:numRef>
              <c:f>'AF7'!$T$2:$T$9</c:f>
              <c:numCache>
                <c:formatCode>General</c:formatCode>
                <c:ptCount val="8"/>
                <c:pt idx="0">
                  <c:v>0.31249585747718811</c:v>
                </c:pt>
                <c:pt idx="1">
                  <c:v>0.2932407557964325</c:v>
                </c:pt>
                <c:pt idx="2">
                  <c:v>0.28583446145057678</c:v>
                </c:pt>
                <c:pt idx="3">
                  <c:v>0.29730644822120667</c:v>
                </c:pt>
                <c:pt idx="4">
                  <c:v>0.29230329394340515</c:v>
                </c:pt>
                <c:pt idx="5">
                  <c:v>0.29676532745361328</c:v>
                </c:pt>
                <c:pt idx="6">
                  <c:v>0.26753753423690796</c:v>
                </c:pt>
                <c:pt idx="7">
                  <c:v>0.29851579666137695</c:v>
                </c:pt>
              </c:numCache>
            </c:numRef>
          </c:val>
          <c:smooth val="0"/>
          <c:extLst>
            <c:ext xmlns:c16="http://schemas.microsoft.com/office/drawing/2014/chart" uri="{C3380CC4-5D6E-409C-BE32-E72D297353CC}">
              <c16:uniqueId val="{00000002-81EA-4A7C-8C5A-939D8F350775}"/>
            </c:ext>
          </c:extLst>
        </c:ser>
        <c:ser>
          <c:idx val="5"/>
          <c:order val="3"/>
          <c:tx>
            <c:strRef>
              <c:f>'AF7'!$U$1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'AF7'!$Q$2:$Q$9</c:f>
              <c:numCache>
                <c:formatCode>General</c:formatCode>
                <c:ptCount val="8"/>
                <c:pt idx="0">
                  <c:v>2015</c:v>
                </c:pt>
                <c:pt idx="1">
                  <c:v>2016</c:v>
                </c:pt>
                <c:pt idx="2">
                  <c:v>2017</c:v>
                </c:pt>
                <c:pt idx="3">
                  <c:v>2018</c:v>
                </c:pt>
                <c:pt idx="4">
                  <c:v>2019</c:v>
                </c:pt>
                <c:pt idx="5">
                  <c:v>2020</c:v>
                </c:pt>
                <c:pt idx="6">
                  <c:v>2021</c:v>
                </c:pt>
                <c:pt idx="7">
                  <c:v>2022</c:v>
                </c:pt>
              </c:numCache>
            </c:numRef>
          </c:cat>
          <c:val>
            <c:numRef>
              <c:f>'AF7'!$U$2:$U$9</c:f>
              <c:numCache>
                <c:formatCode>General</c:formatCode>
                <c:ptCount val="8"/>
                <c:pt idx="1">
                  <c:v>0.23226702213287354</c:v>
                </c:pt>
                <c:pt idx="2">
                  <c:v>0.21567247807979584</c:v>
                </c:pt>
                <c:pt idx="3">
                  <c:v>0.17365802824497223</c:v>
                </c:pt>
                <c:pt idx="4">
                  <c:v>0.16243742406368256</c:v>
                </c:pt>
                <c:pt idx="5">
                  <c:v>0.1613425612449646</c:v>
                </c:pt>
                <c:pt idx="6">
                  <c:v>0.13997559249401093</c:v>
                </c:pt>
                <c:pt idx="7">
                  <c:v>0.1842445582151413</c:v>
                </c:pt>
              </c:numCache>
            </c:numRef>
          </c:val>
          <c:smooth val="0"/>
          <c:extLst>
            <c:ext xmlns:c16="http://schemas.microsoft.com/office/drawing/2014/chart" uri="{C3380CC4-5D6E-409C-BE32-E72D297353CC}">
              <c16:uniqueId val="{00000003-81EA-4A7C-8C5A-939D8F350775}"/>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Percent</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56527810861716177"/>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'AF7'!$R$1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'AF7'!$Q$72:$Q$79</c:f>
              <c:numCache>
                <c:formatCode>General</c:formatCode>
                <c:ptCount val="8"/>
                <c:pt idx="0">
                  <c:v>2015</c:v>
                </c:pt>
                <c:pt idx="1">
                  <c:v>2016</c:v>
                </c:pt>
                <c:pt idx="2">
                  <c:v>2017</c:v>
                </c:pt>
                <c:pt idx="3">
                  <c:v>2018</c:v>
                </c:pt>
                <c:pt idx="4">
                  <c:v>2019</c:v>
                </c:pt>
                <c:pt idx="5">
                  <c:v>2020</c:v>
                </c:pt>
                <c:pt idx="6">
                  <c:v>2021</c:v>
                </c:pt>
                <c:pt idx="7">
                  <c:v>2022</c:v>
                </c:pt>
              </c:numCache>
            </c:numRef>
          </c:cat>
          <c:val>
            <c:numRef>
              <c:f>'AF7'!$R$72:$R$79</c:f>
              <c:numCache>
                <c:formatCode>General</c:formatCode>
                <c:ptCount val="8"/>
                <c:pt idx="0">
                  <c:v>0.29953655600547791</c:v>
                </c:pt>
                <c:pt idx="1">
                  <c:v>0.28683459758758545</c:v>
                </c:pt>
                <c:pt idx="2">
                  <c:v>0.2474457174539566</c:v>
                </c:pt>
                <c:pt idx="3">
                  <c:v>0.23365786671638489</c:v>
                </c:pt>
                <c:pt idx="4">
                  <c:v>0.23477686941623688</c:v>
                </c:pt>
                <c:pt idx="5">
                  <c:v>0.2226957231760025</c:v>
                </c:pt>
                <c:pt idx="6">
                  <c:v>0.20684342086315155</c:v>
                </c:pt>
                <c:pt idx="7">
                  <c:v>0.24997609853744507</c:v>
                </c:pt>
              </c:numCache>
            </c:numRef>
          </c:val>
          <c:smooth val="0"/>
          <c:extLst>
            <c:ext xmlns:c16="http://schemas.microsoft.com/office/drawing/2014/chart" uri="{C3380CC4-5D6E-409C-BE32-E72D297353CC}">
              <c16:uniqueId val="{00000000-ED16-491D-99CD-12E6A26F5A0C}"/>
            </c:ext>
          </c:extLst>
        </c:ser>
        <c:ser>
          <c:idx val="6"/>
          <c:order val="1"/>
          <c:tx>
            <c:strRef>
              <c:f>'AF7'!$S$1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'AF7'!$Q$72:$Q$79</c:f>
              <c:numCache>
                <c:formatCode>General</c:formatCode>
                <c:ptCount val="8"/>
                <c:pt idx="0">
                  <c:v>2015</c:v>
                </c:pt>
                <c:pt idx="1">
                  <c:v>2016</c:v>
                </c:pt>
                <c:pt idx="2">
                  <c:v>2017</c:v>
                </c:pt>
                <c:pt idx="3">
                  <c:v>2018</c:v>
                </c:pt>
                <c:pt idx="4">
                  <c:v>2019</c:v>
                </c:pt>
                <c:pt idx="5">
                  <c:v>2020</c:v>
                </c:pt>
                <c:pt idx="6">
                  <c:v>2021</c:v>
                </c:pt>
                <c:pt idx="7">
                  <c:v>2022</c:v>
                </c:pt>
              </c:numCache>
            </c:numRef>
          </c:cat>
          <c:val>
            <c:numRef>
              <c:f>'AF7'!$S$72:$S$79</c:f>
              <c:numCache>
                <c:formatCode>General</c:formatCode>
                <c:ptCount val="8"/>
                <c:pt idx="0">
                  <c:v>0.48339954018592834</c:v>
                </c:pt>
                <c:pt idx="1">
                  <c:v>0.47081011533737183</c:v>
                </c:pt>
                <c:pt idx="2">
                  <c:v>0.45133733749389648</c:v>
                </c:pt>
                <c:pt idx="3">
                  <c:v>0.43841308355331421</c:v>
                </c:pt>
                <c:pt idx="4">
                  <c:v>0.43255490064620972</c:v>
                </c:pt>
                <c:pt idx="5">
                  <c:v>0.40485396981239319</c:v>
                </c:pt>
                <c:pt idx="6">
                  <c:v>0.3774665892124176</c:v>
                </c:pt>
                <c:pt idx="7">
                  <c:v>0.42421972751617432</c:v>
                </c:pt>
              </c:numCache>
            </c:numRef>
          </c:val>
          <c:smooth val="0"/>
          <c:extLst>
            <c:ext xmlns:c16="http://schemas.microsoft.com/office/drawing/2014/chart" uri="{C3380CC4-5D6E-409C-BE32-E72D297353CC}">
              <c16:uniqueId val="{00000001-ED16-491D-99CD-12E6A26F5A0C}"/>
            </c:ext>
          </c:extLst>
        </c:ser>
        <c:ser>
          <c:idx val="1"/>
          <c:order val="2"/>
          <c:tx>
            <c:strRef>
              <c:f>'AF7'!$T$1</c:f>
              <c:strCache>
                <c:ptCount val="1"/>
                <c:pt idx="0">
                  <c:v>No means to cover 3 months of expenses in an emergency</c:v>
                </c:pt>
              </c:strCache>
            </c:strRef>
          </c:tx>
          <c:spPr>
            <a:ln w="34925"/>
          </c:spPr>
          <c:marker>
            <c:symbol val="square"/>
            <c:size val="6"/>
          </c:marker>
          <c:cat>
            <c:numRef>
              <c:f>'AF7'!$Q$72:$Q$79</c:f>
              <c:numCache>
                <c:formatCode>General</c:formatCode>
                <c:ptCount val="8"/>
                <c:pt idx="0">
                  <c:v>2015</c:v>
                </c:pt>
                <c:pt idx="1">
                  <c:v>2016</c:v>
                </c:pt>
                <c:pt idx="2">
                  <c:v>2017</c:v>
                </c:pt>
                <c:pt idx="3">
                  <c:v>2018</c:v>
                </c:pt>
                <c:pt idx="4">
                  <c:v>2019</c:v>
                </c:pt>
                <c:pt idx="5">
                  <c:v>2020</c:v>
                </c:pt>
                <c:pt idx="6">
                  <c:v>2021</c:v>
                </c:pt>
                <c:pt idx="7">
                  <c:v>2022</c:v>
                </c:pt>
              </c:numCache>
            </c:numRef>
          </c:cat>
          <c:val>
            <c:numRef>
              <c:f>'AF7'!$T$72:$T$79</c:f>
              <c:numCache>
                <c:formatCode>General</c:formatCode>
                <c:ptCount val="8"/>
                <c:pt idx="0">
                  <c:v>0.28356879949569702</c:v>
                </c:pt>
                <c:pt idx="1">
                  <c:v>0.25834351778030396</c:v>
                </c:pt>
                <c:pt idx="2">
                  <c:v>0.2527749240398407</c:v>
                </c:pt>
                <c:pt idx="3">
                  <c:v>0.26140990853309631</c:v>
                </c:pt>
                <c:pt idx="4">
                  <c:v>0.26456072926521301</c:v>
                </c:pt>
                <c:pt idx="5">
                  <c:v>0.25866585969924927</c:v>
                </c:pt>
                <c:pt idx="6">
                  <c:v>0.23825445771217346</c:v>
                </c:pt>
                <c:pt idx="7">
                  <c:v>0.26992315053939819</c:v>
                </c:pt>
              </c:numCache>
            </c:numRef>
          </c:val>
          <c:smooth val="0"/>
          <c:extLst>
            <c:ext xmlns:c16="http://schemas.microsoft.com/office/drawing/2014/chart" uri="{C3380CC4-5D6E-409C-BE32-E72D297353CC}">
              <c16:uniqueId val="{00000002-ED16-491D-99CD-12E6A26F5A0C}"/>
            </c:ext>
          </c:extLst>
        </c:ser>
        <c:ser>
          <c:idx val="5"/>
          <c:order val="3"/>
          <c:tx>
            <c:strRef>
              <c:f>'AF7'!$U$1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'AF7'!$Q$72:$Q$79</c:f>
              <c:numCache>
                <c:formatCode>General</c:formatCode>
                <c:ptCount val="8"/>
                <c:pt idx="0">
                  <c:v>2015</c:v>
                </c:pt>
                <c:pt idx="1">
                  <c:v>2016</c:v>
                </c:pt>
                <c:pt idx="2">
                  <c:v>2017</c:v>
                </c:pt>
                <c:pt idx="3">
                  <c:v>2018</c:v>
                </c:pt>
                <c:pt idx="4">
                  <c:v>2019</c:v>
                </c:pt>
                <c:pt idx="5">
                  <c:v>2020</c:v>
                </c:pt>
                <c:pt idx="6">
                  <c:v>2021</c:v>
                </c:pt>
                <c:pt idx="7">
                  <c:v>2022</c:v>
                </c:pt>
              </c:numCache>
            </c:numRef>
          </c:cat>
          <c:val>
            <c:numRef>
              <c:f>'AF7'!$U$72:$U$79</c:f>
              <c:numCache>
                <c:formatCode>General</c:formatCode>
                <c:ptCount val="8"/>
                <c:pt idx="1">
                  <c:v>0.20732250809669495</c:v>
                </c:pt>
                <c:pt idx="2">
                  <c:v>0.1945948600769043</c:v>
                </c:pt>
                <c:pt idx="3">
                  <c:v>0.1518130898475647</c:v>
                </c:pt>
                <c:pt idx="4">
                  <c:v>0.14603325724601746</c:v>
                </c:pt>
                <c:pt idx="5">
                  <c:v>0.13532023131847382</c:v>
                </c:pt>
                <c:pt idx="6">
                  <c:v>0.12225520610809326</c:v>
                </c:pt>
                <c:pt idx="7">
                  <c:v>0.15948858857154846</c:v>
                </c:pt>
              </c:numCache>
            </c:numRef>
          </c:val>
          <c:smooth val="0"/>
          <c:extLst>
            <c:ext xmlns:c16="http://schemas.microsoft.com/office/drawing/2014/chart" uri="{C3380CC4-5D6E-409C-BE32-E72D297353CC}">
              <c16:uniqueId val="{00000003-ED16-491D-99CD-12E6A26F5A0C}"/>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Percent</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56481152227525888"/>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978779840848811E-2"/>
          <c:y val="9.2093335893988867E-2"/>
          <c:w val="0.90526315789473688"/>
          <c:h val="0.75528233941937462"/>
        </c:manualLayout>
      </c:layout>
      <c:lineChart>
        <c:grouping val="standard"/>
        <c:varyColors val="0"/>
        <c:ser>
          <c:idx val="2"/>
          <c:order val="0"/>
          <c:tx>
            <c:strRef>
              <c:f>'AF7'!$R$1</c:f>
              <c:strCache>
                <c:ptCount val="1"/>
                <c:pt idx="0">
                  <c:v>Not doing well financially these days</c:v>
                </c:pt>
              </c:strCache>
            </c:strRef>
          </c:tx>
          <c:spPr>
            <a:ln>
              <a:solidFill>
                <a:srgbClr val="0070C0"/>
              </a:solidFill>
            </a:ln>
          </c:spPr>
          <c:marker>
            <c:spPr>
              <a:solidFill>
                <a:srgbClr val="0070C0"/>
              </a:solidFill>
              <a:ln>
                <a:solidFill>
                  <a:srgbClr val="0070C0"/>
                </a:solidFill>
              </a:ln>
            </c:spPr>
          </c:marker>
          <c:cat>
            <c:numRef>
              <c:f>'AF7'!$Q$36:$Q$43</c:f>
              <c:numCache>
                <c:formatCode>General</c:formatCode>
                <c:ptCount val="8"/>
                <c:pt idx="0">
                  <c:v>2015</c:v>
                </c:pt>
                <c:pt idx="1">
                  <c:v>2016</c:v>
                </c:pt>
                <c:pt idx="2">
                  <c:v>2017</c:v>
                </c:pt>
                <c:pt idx="3">
                  <c:v>2018</c:v>
                </c:pt>
                <c:pt idx="4">
                  <c:v>2019</c:v>
                </c:pt>
                <c:pt idx="5">
                  <c:v>2020</c:v>
                </c:pt>
                <c:pt idx="6">
                  <c:v>2021</c:v>
                </c:pt>
                <c:pt idx="7">
                  <c:v>2022</c:v>
                </c:pt>
              </c:numCache>
            </c:numRef>
          </c:cat>
          <c:val>
            <c:numRef>
              <c:f>'AF7'!$R$36:$R$43</c:f>
              <c:numCache>
                <c:formatCode>General</c:formatCode>
                <c:ptCount val="8"/>
                <c:pt idx="0">
                  <c:v>0.34887686371803284</c:v>
                </c:pt>
                <c:pt idx="1">
                  <c:v>0.33326193690299988</c:v>
                </c:pt>
                <c:pt idx="2">
                  <c:v>0.30412426590919495</c:v>
                </c:pt>
                <c:pt idx="3">
                  <c:v>0.30012381076812744</c:v>
                </c:pt>
                <c:pt idx="4">
                  <c:v>0.27980178594589233</c:v>
                </c:pt>
                <c:pt idx="5">
                  <c:v>0.31911960244178772</c:v>
                </c:pt>
                <c:pt idx="6">
                  <c:v>0.2630009651184082</c:v>
                </c:pt>
                <c:pt idx="7">
                  <c:v>0.31232756376266479</c:v>
                </c:pt>
              </c:numCache>
            </c:numRef>
          </c:val>
          <c:smooth val="0"/>
          <c:extLst>
            <c:ext xmlns:c16="http://schemas.microsoft.com/office/drawing/2014/chart" uri="{C3380CC4-5D6E-409C-BE32-E72D297353CC}">
              <c16:uniqueId val="{00000000-7E82-4CA2-B11C-41C2DA912D0E}"/>
            </c:ext>
          </c:extLst>
        </c:ser>
        <c:ser>
          <c:idx val="6"/>
          <c:order val="1"/>
          <c:tx>
            <c:strRef>
              <c:f>'AF7'!$S$1</c:f>
              <c:strCache>
                <c:ptCount val="1"/>
                <c:pt idx="0">
                  <c:v>No emergency fund to cover 3 months of expenses</c:v>
                </c:pt>
              </c:strCache>
            </c:strRef>
          </c:tx>
          <c:spPr>
            <a:ln w="34925">
              <a:solidFill>
                <a:schemeClr val="accent3"/>
              </a:solidFill>
            </a:ln>
          </c:spPr>
          <c:marker>
            <c:symbol val="diamond"/>
            <c:size val="11"/>
            <c:spPr>
              <a:solidFill>
                <a:schemeClr val="accent3"/>
              </a:solidFill>
              <a:ln>
                <a:solidFill>
                  <a:schemeClr val="accent3"/>
                </a:solidFill>
              </a:ln>
            </c:spPr>
          </c:marker>
          <c:cat>
            <c:numRef>
              <c:f>'AF7'!$Q$36:$Q$43</c:f>
              <c:numCache>
                <c:formatCode>General</c:formatCode>
                <c:ptCount val="8"/>
                <c:pt idx="0">
                  <c:v>2015</c:v>
                </c:pt>
                <c:pt idx="1">
                  <c:v>2016</c:v>
                </c:pt>
                <c:pt idx="2">
                  <c:v>2017</c:v>
                </c:pt>
                <c:pt idx="3">
                  <c:v>2018</c:v>
                </c:pt>
                <c:pt idx="4">
                  <c:v>2019</c:v>
                </c:pt>
                <c:pt idx="5">
                  <c:v>2020</c:v>
                </c:pt>
                <c:pt idx="6">
                  <c:v>2021</c:v>
                </c:pt>
                <c:pt idx="7">
                  <c:v>2022</c:v>
                </c:pt>
              </c:numCache>
            </c:numRef>
          </c:cat>
          <c:val>
            <c:numRef>
              <c:f>'AF7'!$S$36:$S$43</c:f>
              <c:numCache>
                <c:formatCode>General</c:formatCode>
                <c:ptCount val="8"/>
                <c:pt idx="0">
                  <c:v>0.60234683752059937</c:v>
                </c:pt>
                <c:pt idx="1">
                  <c:v>0.61112546920776367</c:v>
                </c:pt>
                <c:pt idx="2">
                  <c:v>0.59921932220458984</c:v>
                </c:pt>
                <c:pt idx="3">
                  <c:v>0.59296143054962158</c:v>
                </c:pt>
                <c:pt idx="4">
                  <c:v>0.56874352693557739</c:v>
                </c:pt>
                <c:pt idx="5">
                  <c:v>0.55395364761352539</c:v>
                </c:pt>
                <c:pt idx="6">
                  <c:v>0.48808196187019348</c:v>
                </c:pt>
                <c:pt idx="7">
                  <c:v>0.54094064235687256</c:v>
                </c:pt>
              </c:numCache>
            </c:numRef>
          </c:val>
          <c:smooth val="0"/>
          <c:extLst>
            <c:ext xmlns:c16="http://schemas.microsoft.com/office/drawing/2014/chart" uri="{C3380CC4-5D6E-409C-BE32-E72D297353CC}">
              <c16:uniqueId val="{00000001-7E82-4CA2-B11C-41C2DA912D0E}"/>
            </c:ext>
          </c:extLst>
        </c:ser>
        <c:ser>
          <c:idx val="1"/>
          <c:order val="2"/>
          <c:tx>
            <c:strRef>
              <c:f>'AF7'!$T$1</c:f>
              <c:strCache>
                <c:ptCount val="1"/>
                <c:pt idx="0">
                  <c:v>No means to cover 3 months of expenses in an emergency</c:v>
                </c:pt>
              </c:strCache>
            </c:strRef>
          </c:tx>
          <c:spPr>
            <a:ln w="34925"/>
          </c:spPr>
          <c:marker>
            <c:symbol val="square"/>
            <c:size val="6"/>
          </c:marker>
          <c:cat>
            <c:numRef>
              <c:f>'AF7'!$Q$36:$Q$43</c:f>
              <c:numCache>
                <c:formatCode>General</c:formatCode>
                <c:ptCount val="8"/>
                <c:pt idx="0">
                  <c:v>2015</c:v>
                </c:pt>
                <c:pt idx="1">
                  <c:v>2016</c:v>
                </c:pt>
                <c:pt idx="2">
                  <c:v>2017</c:v>
                </c:pt>
                <c:pt idx="3">
                  <c:v>2018</c:v>
                </c:pt>
                <c:pt idx="4">
                  <c:v>2019</c:v>
                </c:pt>
                <c:pt idx="5">
                  <c:v>2020</c:v>
                </c:pt>
                <c:pt idx="6">
                  <c:v>2021</c:v>
                </c:pt>
                <c:pt idx="7">
                  <c:v>2022</c:v>
                </c:pt>
              </c:numCache>
            </c:numRef>
          </c:cat>
          <c:val>
            <c:numRef>
              <c:f>'AF7'!$T$36:$T$43</c:f>
              <c:numCache>
                <c:formatCode>General</c:formatCode>
                <c:ptCount val="8"/>
                <c:pt idx="0">
                  <c:v>0.37995830178260803</c:v>
                </c:pt>
                <c:pt idx="1">
                  <c:v>0.37412971258163452</c:v>
                </c:pt>
                <c:pt idx="2">
                  <c:v>0.36588782072067261</c:v>
                </c:pt>
                <c:pt idx="3">
                  <c:v>0.37957122921943665</c:v>
                </c:pt>
                <c:pt idx="4">
                  <c:v>0.37498128414154053</c:v>
                </c:pt>
                <c:pt idx="5">
                  <c:v>0.39567172527313232</c:v>
                </c:pt>
                <c:pt idx="6">
                  <c:v>0.34174069762229919</c:v>
                </c:pt>
                <c:pt idx="7">
                  <c:v>0.36541751027107239</c:v>
                </c:pt>
              </c:numCache>
            </c:numRef>
          </c:val>
          <c:smooth val="0"/>
          <c:extLst>
            <c:ext xmlns:c16="http://schemas.microsoft.com/office/drawing/2014/chart" uri="{C3380CC4-5D6E-409C-BE32-E72D297353CC}">
              <c16:uniqueId val="{00000002-7E82-4CA2-B11C-41C2DA912D0E}"/>
            </c:ext>
          </c:extLst>
        </c:ser>
        <c:ser>
          <c:idx val="5"/>
          <c:order val="3"/>
          <c:tx>
            <c:strRef>
              <c:f>'AF7'!$U$1</c:f>
              <c:strCache>
                <c:ptCount val="1"/>
                <c:pt idx="0">
                  <c:v>Can't pay all bills this month</c:v>
                </c:pt>
              </c:strCache>
            </c:strRef>
          </c:tx>
          <c:spPr>
            <a:ln w="38100">
              <a:solidFill>
                <a:srgbClr val="FF0000"/>
              </a:solidFill>
              <a:prstDash val="solid"/>
            </a:ln>
          </c:spPr>
          <c:marker>
            <c:symbol val="circle"/>
            <c:size val="9"/>
            <c:spPr>
              <a:solidFill>
                <a:srgbClr val="FF0000"/>
              </a:solidFill>
              <a:ln>
                <a:solidFill>
                  <a:srgbClr val="FF0000"/>
                </a:solidFill>
                <a:prstDash val="solid"/>
              </a:ln>
            </c:spPr>
          </c:marker>
          <c:cat>
            <c:numRef>
              <c:f>'AF7'!$Q$36:$Q$43</c:f>
              <c:numCache>
                <c:formatCode>General</c:formatCode>
                <c:ptCount val="8"/>
                <c:pt idx="0">
                  <c:v>2015</c:v>
                </c:pt>
                <c:pt idx="1">
                  <c:v>2016</c:v>
                </c:pt>
                <c:pt idx="2">
                  <c:v>2017</c:v>
                </c:pt>
                <c:pt idx="3">
                  <c:v>2018</c:v>
                </c:pt>
                <c:pt idx="4">
                  <c:v>2019</c:v>
                </c:pt>
                <c:pt idx="5">
                  <c:v>2020</c:v>
                </c:pt>
                <c:pt idx="6">
                  <c:v>2021</c:v>
                </c:pt>
                <c:pt idx="7">
                  <c:v>2022</c:v>
                </c:pt>
              </c:numCache>
            </c:numRef>
          </c:cat>
          <c:val>
            <c:numRef>
              <c:f>'AF7'!$U$36:$U$43</c:f>
              <c:numCache>
                <c:formatCode>General</c:formatCode>
                <c:ptCount val="8"/>
                <c:pt idx="1">
                  <c:v>0.29008632898330688</c:v>
                </c:pt>
                <c:pt idx="2">
                  <c:v>0.26671165227890015</c:v>
                </c:pt>
                <c:pt idx="3">
                  <c:v>0.22372046113014221</c:v>
                </c:pt>
                <c:pt idx="4">
                  <c:v>0.21132487058639526</c:v>
                </c:pt>
                <c:pt idx="5">
                  <c:v>0.22889667749404907</c:v>
                </c:pt>
                <c:pt idx="6">
                  <c:v>0.18487894535064697</c:v>
                </c:pt>
                <c:pt idx="7">
                  <c:v>0.2421690970659256</c:v>
                </c:pt>
              </c:numCache>
            </c:numRef>
          </c:val>
          <c:smooth val="0"/>
          <c:extLst>
            <c:ext xmlns:c16="http://schemas.microsoft.com/office/drawing/2014/chart" uri="{C3380CC4-5D6E-409C-BE32-E72D297353CC}">
              <c16:uniqueId val="{00000003-7E82-4CA2-B11C-41C2DA912D0E}"/>
            </c:ext>
          </c:extLst>
        </c:ser>
        <c:dLbls>
          <c:showLegendKey val="0"/>
          <c:showVal val="0"/>
          <c:showCatName val="0"/>
          <c:showSerName val="0"/>
          <c:showPercent val="0"/>
          <c:showBubbleSize val="0"/>
        </c:dLbls>
        <c:marker val="1"/>
        <c:smooth val="0"/>
        <c:axId val="1726615664"/>
        <c:axId val="1"/>
      </c:lineChart>
      <c:catAx>
        <c:axId val="1726615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Arial"/>
                <a:ea typeface="Arial"/>
                <a:cs typeface="Arial"/>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200" b="0" i="0" u="none" strike="noStrike" baseline="0">
                    <a:solidFill>
                      <a:srgbClr val="000000"/>
                    </a:solidFill>
                    <a:latin typeface="Arial"/>
                    <a:ea typeface="Arial"/>
                    <a:cs typeface="Arial"/>
                  </a:defRPr>
                </a:pPr>
                <a:r>
                  <a:rPr lang="en-US"/>
                  <a:t>Percent</a:t>
                </a:r>
              </a:p>
            </c:rich>
          </c:tx>
          <c:layout>
            <c:manualLayout>
              <c:xMode val="edge"/>
              <c:yMode val="edge"/>
              <c:x val="5.2630804327029219E-3"/>
              <c:y val="0.36443682901947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726615664"/>
        <c:crosses val="autoZero"/>
        <c:crossBetween val="between"/>
        <c:majorUnit val="0.1"/>
      </c:valAx>
      <c:spPr>
        <a:solidFill>
          <a:srgbClr val="FFFFFF"/>
        </a:solidFill>
        <a:ln w="12700">
          <a:solidFill>
            <a:srgbClr val="808080"/>
          </a:solidFill>
          <a:prstDash val="solid"/>
        </a:ln>
      </c:spPr>
    </c:plotArea>
    <c:legend>
      <c:legendPos val="r"/>
      <c:layout>
        <c:manualLayout>
          <c:xMode val="edge"/>
          <c:yMode val="edge"/>
          <c:x val="8.3813058404193674E-2"/>
          <c:y val="0.6788146932011454"/>
          <c:w val="0.56527810861716177"/>
          <c:h val="0.1684643238434007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Appendix Figure 9a. Change in Poverty Between 2020 and 2021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'AF8-10'!$S$25</c:f>
              <c:strCache>
                <c:ptCount val="1"/>
                <c:pt idx="0">
                  <c:v>All</c:v>
                </c:pt>
              </c:strCache>
            </c:strRef>
          </c:tx>
          <c:spPr>
            <a:solidFill>
              <a:schemeClr val="accent1"/>
            </a:solidFill>
            <a:ln>
              <a:noFill/>
            </a:ln>
            <a:effectLst/>
          </c:spPr>
          <c:invertIfNegative val="0"/>
          <c:cat>
            <c:strRef>
              <c:f>'AF8-10'!$R$26:$R$29</c:f>
              <c:strCache>
                <c:ptCount val="4"/>
                <c:pt idx="0">
                  <c:v>Baseline</c:v>
                </c:pt>
                <c:pt idx="1">
                  <c:v>Replacing Expanded CTC w/ Original CTC</c:v>
                </c:pt>
                <c:pt idx="2">
                  <c:v>Excluding EIPs 2 and 3</c:v>
                </c:pt>
                <c:pt idx="3">
                  <c:v>Excluding UI</c:v>
                </c:pt>
              </c:strCache>
            </c:strRef>
          </c:cat>
          <c:val>
            <c:numRef>
              <c:f>'AF8-10'!$S$26:$S$29</c:f>
              <c:numCache>
                <c:formatCode>0.0%</c:formatCode>
                <c:ptCount val="4"/>
                <c:pt idx="0">
                  <c:v>-1.400984451174736E-2</c:v>
                </c:pt>
                <c:pt idx="1">
                  <c:v>-5.5136755108833313E-3</c:v>
                </c:pt>
                <c:pt idx="2">
                  <c:v>4.3226331472396851E-3</c:v>
                </c:pt>
                <c:pt idx="3">
                  <c:v>-3.8702338933944702E-3</c:v>
                </c:pt>
              </c:numCache>
            </c:numRef>
          </c:val>
          <c:extLst>
            <c:ext xmlns:c16="http://schemas.microsoft.com/office/drawing/2014/chart" uri="{C3380CC4-5D6E-409C-BE32-E72D297353CC}">
              <c16:uniqueId val="{00000000-8BDD-4E57-A6D7-BD48A3CFF79B}"/>
            </c:ext>
          </c:extLst>
        </c:ser>
        <c:ser>
          <c:idx val="1"/>
          <c:order val="1"/>
          <c:tx>
            <c:strRef>
              <c:f>'AF8-10'!$T$25</c:f>
              <c:strCache>
                <c:ptCount val="1"/>
                <c:pt idx="0">
                  <c:v>Children</c:v>
                </c:pt>
              </c:strCache>
            </c:strRef>
          </c:tx>
          <c:spPr>
            <a:solidFill>
              <a:schemeClr val="accent2"/>
            </a:solidFill>
            <a:ln>
              <a:noFill/>
            </a:ln>
            <a:effectLst/>
          </c:spPr>
          <c:invertIfNegative val="0"/>
          <c:cat>
            <c:strRef>
              <c:f>'AF8-10'!$R$26:$R$29</c:f>
              <c:strCache>
                <c:ptCount val="4"/>
                <c:pt idx="0">
                  <c:v>Baseline</c:v>
                </c:pt>
                <c:pt idx="1">
                  <c:v>Replacing Expanded CTC w/ Original CTC</c:v>
                </c:pt>
                <c:pt idx="2">
                  <c:v>Excluding EIPs 2 and 3</c:v>
                </c:pt>
                <c:pt idx="3">
                  <c:v>Excluding UI</c:v>
                </c:pt>
              </c:strCache>
            </c:strRef>
          </c:cat>
          <c:val>
            <c:numRef>
              <c:f>'AF8-10'!$T$26:$T$29</c:f>
              <c:numCache>
                <c:formatCode>0.0%</c:formatCode>
                <c:ptCount val="4"/>
                <c:pt idx="0">
                  <c:v>-3.5981401801109314E-2</c:v>
                </c:pt>
                <c:pt idx="1">
                  <c:v>-1.3510726392269135E-2</c:v>
                </c:pt>
                <c:pt idx="2">
                  <c:v>-1.4687597751617432E-2</c:v>
                </c:pt>
                <c:pt idx="3">
                  <c:v>-2.5649644434452057E-2</c:v>
                </c:pt>
              </c:numCache>
            </c:numRef>
          </c:val>
          <c:extLst>
            <c:ext xmlns:c16="http://schemas.microsoft.com/office/drawing/2014/chart" uri="{C3380CC4-5D6E-409C-BE32-E72D297353CC}">
              <c16:uniqueId val="{00000001-8BDD-4E57-A6D7-BD48A3CFF79B}"/>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Appenidx Figure</a:t>
            </a:r>
            <a:r>
              <a:rPr lang="en-US" baseline="0"/>
              <a:t> 9</a:t>
            </a:r>
            <a:r>
              <a:rPr lang="en-US"/>
              <a:t>b. Difference in Change in Poverty Between 2020 and 2021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'AF8-10'!$S$25</c:f>
              <c:strCache>
                <c:ptCount val="1"/>
                <c:pt idx="0">
                  <c:v>All</c:v>
                </c:pt>
              </c:strCache>
            </c:strRef>
          </c:tx>
          <c:spPr>
            <a:solidFill>
              <a:schemeClr val="accent1"/>
            </a:solidFill>
            <a:ln>
              <a:noFill/>
            </a:ln>
            <a:effectLst/>
          </c:spPr>
          <c:invertIfNegative val="0"/>
          <c:cat>
            <c:strRef>
              <c:f>'AF8-10'!$R$32:$R$34</c:f>
              <c:strCache>
                <c:ptCount val="3"/>
                <c:pt idx="0">
                  <c:v>Replacing Expanded CTC w/ Original CTC</c:v>
                </c:pt>
                <c:pt idx="1">
                  <c:v>Excluding EIPs 2 and 3</c:v>
                </c:pt>
                <c:pt idx="2">
                  <c:v>Excluding UI</c:v>
                </c:pt>
              </c:strCache>
            </c:strRef>
          </c:cat>
          <c:val>
            <c:numRef>
              <c:f>'AF8-10'!$S$32:$S$34</c:f>
              <c:numCache>
                <c:formatCode>0.0%</c:formatCode>
                <c:ptCount val="3"/>
                <c:pt idx="0">
                  <c:v>-8.4961690008640289E-3</c:v>
                </c:pt>
                <c:pt idx="1">
                  <c:v>-1.8332477658987045E-2</c:v>
                </c:pt>
                <c:pt idx="2">
                  <c:v>-1.013961061835289E-2</c:v>
                </c:pt>
              </c:numCache>
            </c:numRef>
          </c:val>
          <c:extLst>
            <c:ext xmlns:c16="http://schemas.microsoft.com/office/drawing/2014/chart" uri="{C3380CC4-5D6E-409C-BE32-E72D297353CC}">
              <c16:uniqueId val="{00000000-F950-4C05-A33F-63062BB381B9}"/>
            </c:ext>
          </c:extLst>
        </c:ser>
        <c:ser>
          <c:idx val="1"/>
          <c:order val="1"/>
          <c:tx>
            <c:strRef>
              <c:f>'AF8-10'!$T$25</c:f>
              <c:strCache>
                <c:ptCount val="1"/>
                <c:pt idx="0">
                  <c:v>Children</c:v>
                </c:pt>
              </c:strCache>
            </c:strRef>
          </c:tx>
          <c:spPr>
            <a:solidFill>
              <a:schemeClr val="accent2"/>
            </a:solidFill>
            <a:ln>
              <a:noFill/>
            </a:ln>
            <a:effectLst/>
          </c:spPr>
          <c:invertIfNegative val="0"/>
          <c:cat>
            <c:strRef>
              <c:f>'AF8-10'!$R$32:$R$34</c:f>
              <c:strCache>
                <c:ptCount val="3"/>
                <c:pt idx="0">
                  <c:v>Replacing Expanded CTC w/ Original CTC</c:v>
                </c:pt>
                <c:pt idx="1">
                  <c:v>Excluding EIPs 2 and 3</c:v>
                </c:pt>
                <c:pt idx="2">
                  <c:v>Excluding UI</c:v>
                </c:pt>
              </c:strCache>
            </c:strRef>
          </c:cat>
          <c:val>
            <c:numRef>
              <c:f>'AF8-10'!$T$32:$T$34</c:f>
              <c:numCache>
                <c:formatCode>0.0%</c:formatCode>
                <c:ptCount val="3"/>
                <c:pt idx="0">
                  <c:v>-2.2470675408840179E-2</c:v>
                </c:pt>
                <c:pt idx="1">
                  <c:v>-2.1293804049491882E-2</c:v>
                </c:pt>
                <c:pt idx="2">
                  <c:v>-1.0331757366657257E-2</c:v>
                </c:pt>
              </c:numCache>
            </c:numRef>
          </c:val>
          <c:extLst>
            <c:ext xmlns:c16="http://schemas.microsoft.com/office/drawing/2014/chart" uri="{C3380CC4-5D6E-409C-BE32-E72D297353CC}">
              <c16:uniqueId val="{00000001-F950-4C05-A33F-63062BB381B9}"/>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Povedrty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Appendix Figure 8a. Change in Poverty Between 2019 and 2020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'AF8-10'!$T$3</c:f>
              <c:strCache>
                <c:ptCount val="1"/>
                <c:pt idx="0">
                  <c:v>All</c:v>
                </c:pt>
              </c:strCache>
            </c:strRef>
          </c:tx>
          <c:spPr>
            <a:solidFill>
              <a:schemeClr val="accent1"/>
            </a:solidFill>
            <a:ln>
              <a:noFill/>
            </a:ln>
            <a:effectLst/>
          </c:spPr>
          <c:invertIfNegative val="0"/>
          <c:cat>
            <c:strRef>
              <c:f>'AF8-10'!$S$4:$S$6</c:f>
              <c:strCache>
                <c:ptCount val="3"/>
                <c:pt idx="0">
                  <c:v>Baseline</c:v>
                </c:pt>
                <c:pt idx="1">
                  <c:v>Excluding EIP 1</c:v>
                </c:pt>
                <c:pt idx="2">
                  <c:v>Excluding UI</c:v>
                </c:pt>
              </c:strCache>
            </c:strRef>
          </c:cat>
          <c:val>
            <c:numRef>
              <c:f>'AF8-10'!$T$4:$T$6</c:f>
              <c:numCache>
                <c:formatCode>0.0%</c:formatCode>
                <c:ptCount val="3"/>
                <c:pt idx="0">
                  <c:v>-2.4865038692951202E-2</c:v>
                </c:pt>
                <c:pt idx="1">
                  <c:v>-3.9932727813720703E-3</c:v>
                </c:pt>
                <c:pt idx="2">
                  <c:v>-5.4132342338562012E-3</c:v>
                </c:pt>
              </c:numCache>
            </c:numRef>
          </c:val>
          <c:extLst>
            <c:ext xmlns:c16="http://schemas.microsoft.com/office/drawing/2014/chart" uri="{C3380CC4-5D6E-409C-BE32-E72D297353CC}">
              <c16:uniqueId val="{00000000-615F-429C-8093-BD53332F2A50}"/>
            </c:ext>
          </c:extLst>
        </c:ser>
        <c:ser>
          <c:idx val="1"/>
          <c:order val="1"/>
          <c:tx>
            <c:strRef>
              <c:f>'AF8-10'!$U$3</c:f>
              <c:strCache>
                <c:ptCount val="1"/>
                <c:pt idx="0">
                  <c:v>Children</c:v>
                </c:pt>
              </c:strCache>
            </c:strRef>
          </c:tx>
          <c:spPr>
            <a:solidFill>
              <a:schemeClr val="accent2"/>
            </a:solidFill>
            <a:ln>
              <a:noFill/>
            </a:ln>
            <a:effectLst/>
          </c:spPr>
          <c:invertIfNegative val="0"/>
          <c:cat>
            <c:strRef>
              <c:f>'AF8-10'!$S$4:$S$6</c:f>
              <c:strCache>
                <c:ptCount val="3"/>
                <c:pt idx="0">
                  <c:v>Baseline</c:v>
                </c:pt>
                <c:pt idx="1">
                  <c:v>Excluding EIP 1</c:v>
                </c:pt>
                <c:pt idx="2">
                  <c:v>Excluding UI</c:v>
                </c:pt>
              </c:strCache>
            </c:strRef>
          </c:cat>
          <c:val>
            <c:numRef>
              <c:f>'AF8-10'!$U$4:$U$6</c:f>
              <c:numCache>
                <c:formatCode>0.0%</c:formatCode>
                <c:ptCount val="3"/>
                <c:pt idx="0">
                  <c:v>-2.7865193784236908E-2</c:v>
                </c:pt>
                <c:pt idx="1">
                  <c:v>-3.2708644866943359E-3</c:v>
                </c:pt>
                <c:pt idx="2">
                  <c:v>-3.9209872484207153E-3</c:v>
                </c:pt>
              </c:numCache>
            </c:numRef>
          </c:val>
          <c:extLst>
            <c:ext xmlns:c16="http://schemas.microsoft.com/office/drawing/2014/chart" uri="{C3380CC4-5D6E-409C-BE32-E72D297353CC}">
              <c16:uniqueId val="{00000001-615F-429C-8093-BD53332F2A50}"/>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Povedrty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Appendix Figure</a:t>
            </a:r>
            <a:r>
              <a:rPr lang="en-US" baseline="0"/>
              <a:t> 8</a:t>
            </a:r>
            <a:r>
              <a:rPr lang="en-US"/>
              <a:t>b. Difference in Change in Poverty Between 2019 and 2020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'AF8-10'!$T$3</c:f>
              <c:strCache>
                <c:ptCount val="1"/>
                <c:pt idx="0">
                  <c:v>All</c:v>
                </c:pt>
              </c:strCache>
            </c:strRef>
          </c:tx>
          <c:spPr>
            <a:solidFill>
              <a:schemeClr val="accent1"/>
            </a:solidFill>
            <a:ln>
              <a:noFill/>
            </a:ln>
            <a:effectLst/>
          </c:spPr>
          <c:invertIfNegative val="0"/>
          <c:cat>
            <c:strRef>
              <c:f>'AF8-10'!$S$11:$S$12</c:f>
              <c:strCache>
                <c:ptCount val="2"/>
                <c:pt idx="0">
                  <c:v>Excluding EIP 1</c:v>
                </c:pt>
                <c:pt idx="1">
                  <c:v>Excluding UI</c:v>
                </c:pt>
              </c:strCache>
            </c:strRef>
          </c:cat>
          <c:val>
            <c:numRef>
              <c:f>'AF8-10'!$T$11:$T$12</c:f>
              <c:numCache>
                <c:formatCode>0.0%</c:formatCode>
                <c:ptCount val="2"/>
                <c:pt idx="0">
                  <c:v>-2.0871765911579132E-2</c:v>
                </c:pt>
                <c:pt idx="1">
                  <c:v>-1.9451804459095001E-2</c:v>
                </c:pt>
              </c:numCache>
            </c:numRef>
          </c:val>
          <c:extLst>
            <c:ext xmlns:c16="http://schemas.microsoft.com/office/drawing/2014/chart" uri="{C3380CC4-5D6E-409C-BE32-E72D297353CC}">
              <c16:uniqueId val="{00000000-455E-435C-8339-F4ECC0192097}"/>
            </c:ext>
          </c:extLst>
        </c:ser>
        <c:ser>
          <c:idx val="1"/>
          <c:order val="1"/>
          <c:tx>
            <c:strRef>
              <c:f>'AF8-10'!$U$3</c:f>
              <c:strCache>
                <c:ptCount val="1"/>
                <c:pt idx="0">
                  <c:v>Children</c:v>
                </c:pt>
              </c:strCache>
            </c:strRef>
          </c:tx>
          <c:spPr>
            <a:solidFill>
              <a:schemeClr val="accent2"/>
            </a:solidFill>
            <a:ln>
              <a:noFill/>
            </a:ln>
            <a:effectLst/>
          </c:spPr>
          <c:invertIfNegative val="0"/>
          <c:cat>
            <c:strRef>
              <c:f>'AF8-10'!$S$11:$S$12</c:f>
              <c:strCache>
                <c:ptCount val="2"/>
                <c:pt idx="0">
                  <c:v>Excluding EIP 1</c:v>
                </c:pt>
                <c:pt idx="1">
                  <c:v>Excluding UI</c:v>
                </c:pt>
              </c:strCache>
            </c:strRef>
          </c:cat>
          <c:val>
            <c:numRef>
              <c:f>'AF8-10'!$U$11:$U$12</c:f>
              <c:numCache>
                <c:formatCode>0.0%</c:formatCode>
                <c:ptCount val="2"/>
                <c:pt idx="0">
                  <c:v>-2.4594329297542572E-2</c:v>
                </c:pt>
                <c:pt idx="1">
                  <c:v>-2.3944206535816193E-2</c:v>
                </c:pt>
              </c:numCache>
            </c:numRef>
          </c:val>
          <c:extLst>
            <c:ext xmlns:c16="http://schemas.microsoft.com/office/drawing/2014/chart" uri="{C3380CC4-5D6E-409C-BE32-E72D297353CC}">
              <c16:uniqueId val="{00000001-455E-435C-8339-F4ECC0192097}"/>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Povedrty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Appendix Figure 10a. Change in Poverty Between 2021 and 2022 Under Different Policy Scenarios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'AF8-10'!$T$59</c:f>
              <c:strCache>
                <c:ptCount val="1"/>
                <c:pt idx="0">
                  <c:v>All</c:v>
                </c:pt>
              </c:strCache>
            </c:strRef>
          </c:tx>
          <c:spPr>
            <a:solidFill>
              <a:schemeClr val="accent1"/>
            </a:solidFill>
            <a:ln>
              <a:noFill/>
            </a:ln>
            <a:effectLst/>
          </c:spPr>
          <c:invertIfNegative val="0"/>
          <c:cat>
            <c:strRef>
              <c:f>'AF8-10'!$S$60:$S$62</c:f>
              <c:strCache>
                <c:ptCount val="3"/>
                <c:pt idx="0">
                  <c:v>Baseline</c:v>
                </c:pt>
                <c:pt idx="1">
                  <c:v>Extending Expanded CTC into 2022</c:v>
                </c:pt>
                <c:pt idx="2">
                  <c:v>Extending EIPs 2 and 3 into 2022</c:v>
                </c:pt>
              </c:strCache>
            </c:strRef>
          </c:cat>
          <c:val>
            <c:numRef>
              <c:f>'AF8-10'!$T$60:$T$62</c:f>
              <c:numCache>
                <c:formatCode>0.0%</c:formatCode>
                <c:ptCount val="3"/>
                <c:pt idx="0">
                  <c:v>4.0457133203744888E-2</c:v>
                </c:pt>
                <c:pt idx="1">
                  <c:v>2.549029141664505E-2</c:v>
                </c:pt>
                <c:pt idx="2">
                  <c:v>1.2243542820215225E-2</c:v>
                </c:pt>
              </c:numCache>
            </c:numRef>
          </c:val>
          <c:extLst>
            <c:ext xmlns:c16="http://schemas.microsoft.com/office/drawing/2014/chart" uri="{C3380CC4-5D6E-409C-BE32-E72D297353CC}">
              <c16:uniqueId val="{00000000-688A-4FC3-81C9-2BCE7C0BA907}"/>
            </c:ext>
          </c:extLst>
        </c:ser>
        <c:ser>
          <c:idx val="1"/>
          <c:order val="1"/>
          <c:tx>
            <c:strRef>
              <c:f>'AF8-10'!$U$59</c:f>
              <c:strCache>
                <c:ptCount val="1"/>
                <c:pt idx="0">
                  <c:v>Children</c:v>
                </c:pt>
              </c:strCache>
            </c:strRef>
          </c:tx>
          <c:spPr>
            <a:solidFill>
              <a:schemeClr val="accent2"/>
            </a:solidFill>
            <a:ln>
              <a:noFill/>
            </a:ln>
            <a:effectLst/>
          </c:spPr>
          <c:invertIfNegative val="0"/>
          <c:cat>
            <c:strRef>
              <c:f>'AF8-10'!$S$60:$S$62</c:f>
              <c:strCache>
                <c:ptCount val="3"/>
                <c:pt idx="0">
                  <c:v>Baseline</c:v>
                </c:pt>
                <c:pt idx="1">
                  <c:v>Extending Expanded CTC into 2022</c:v>
                </c:pt>
                <c:pt idx="2">
                  <c:v>Extending EIPs 2 and 3 into 2022</c:v>
                </c:pt>
              </c:strCache>
            </c:strRef>
          </c:cat>
          <c:val>
            <c:numRef>
              <c:f>'AF8-10'!$U$60:$U$62</c:f>
              <c:numCache>
                <c:formatCode>0.0%</c:formatCode>
                <c:ptCount val="3"/>
                <c:pt idx="0">
                  <c:v>6.0344122350215912E-2</c:v>
                </c:pt>
                <c:pt idx="1">
                  <c:v>2.0523581653833389E-2</c:v>
                </c:pt>
                <c:pt idx="2">
                  <c:v>2.205609530210495E-2</c:v>
                </c:pt>
              </c:numCache>
            </c:numRef>
          </c:val>
          <c:extLst>
            <c:ext xmlns:c16="http://schemas.microsoft.com/office/drawing/2014/chart" uri="{C3380CC4-5D6E-409C-BE32-E72D297353CC}">
              <c16:uniqueId val="{00000001-688A-4FC3-81C9-2BCE7C0BA907}"/>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Povedrty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Appendix Figure 10b. Difference in Change in Poverty Between 2021 and 2022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'AF8-10'!$T$59</c:f>
              <c:strCache>
                <c:ptCount val="1"/>
                <c:pt idx="0">
                  <c:v>All</c:v>
                </c:pt>
              </c:strCache>
            </c:strRef>
          </c:tx>
          <c:spPr>
            <a:solidFill>
              <a:schemeClr val="accent1"/>
            </a:solidFill>
            <a:ln>
              <a:noFill/>
            </a:ln>
            <a:effectLst/>
          </c:spPr>
          <c:invertIfNegative val="0"/>
          <c:cat>
            <c:strRef>
              <c:f>'AF8-10'!$S$66:$S$67</c:f>
              <c:strCache>
                <c:ptCount val="2"/>
                <c:pt idx="0">
                  <c:v>Extending Expanded CTC into 2022</c:v>
                </c:pt>
                <c:pt idx="1">
                  <c:v>Extending EIPs 2 and 3 into 2022</c:v>
                </c:pt>
              </c:strCache>
            </c:strRef>
          </c:cat>
          <c:val>
            <c:numRef>
              <c:f>'AF8-10'!$T$66:$T$67</c:f>
              <c:numCache>
                <c:formatCode>0.0%</c:formatCode>
                <c:ptCount val="2"/>
                <c:pt idx="0">
                  <c:v>1.4966841787099838E-2</c:v>
                </c:pt>
                <c:pt idx="1">
                  <c:v>2.8213590383529663E-2</c:v>
                </c:pt>
              </c:numCache>
            </c:numRef>
          </c:val>
          <c:extLst>
            <c:ext xmlns:c16="http://schemas.microsoft.com/office/drawing/2014/chart" uri="{C3380CC4-5D6E-409C-BE32-E72D297353CC}">
              <c16:uniqueId val="{00000000-EA13-494F-B5C7-CFE5E60D65EA}"/>
            </c:ext>
          </c:extLst>
        </c:ser>
        <c:ser>
          <c:idx val="1"/>
          <c:order val="1"/>
          <c:tx>
            <c:strRef>
              <c:f>'AF8-10'!$U$59</c:f>
              <c:strCache>
                <c:ptCount val="1"/>
                <c:pt idx="0">
                  <c:v>Children</c:v>
                </c:pt>
              </c:strCache>
            </c:strRef>
          </c:tx>
          <c:spPr>
            <a:solidFill>
              <a:schemeClr val="accent2"/>
            </a:solidFill>
            <a:ln>
              <a:noFill/>
            </a:ln>
            <a:effectLst/>
          </c:spPr>
          <c:invertIfNegative val="0"/>
          <c:cat>
            <c:strRef>
              <c:f>'AF8-10'!$S$66:$S$67</c:f>
              <c:strCache>
                <c:ptCount val="2"/>
                <c:pt idx="0">
                  <c:v>Extending Expanded CTC into 2022</c:v>
                </c:pt>
                <c:pt idx="1">
                  <c:v>Extending EIPs 2 and 3 into 2022</c:v>
                </c:pt>
              </c:strCache>
            </c:strRef>
          </c:cat>
          <c:val>
            <c:numRef>
              <c:f>'AF8-10'!$U$66:$U$67</c:f>
              <c:numCache>
                <c:formatCode>0.0%</c:formatCode>
                <c:ptCount val="2"/>
                <c:pt idx="0">
                  <c:v>3.9820540696382523E-2</c:v>
                </c:pt>
                <c:pt idx="1">
                  <c:v>3.8288027048110962E-2</c:v>
                </c:pt>
              </c:numCache>
            </c:numRef>
          </c:val>
          <c:extLst>
            <c:ext xmlns:c16="http://schemas.microsoft.com/office/drawing/2014/chart" uri="{C3380CC4-5D6E-409C-BE32-E72D297353CC}">
              <c16:uniqueId val="{00000001-EA13-494F-B5C7-CFE5E60D65EA}"/>
            </c:ext>
          </c:extLst>
        </c:ser>
        <c:dLbls>
          <c:showLegendKey val="0"/>
          <c:showVal val="0"/>
          <c:showCatName val="0"/>
          <c:showSerName val="0"/>
          <c:showPercent val="0"/>
          <c:showBubbleSize val="0"/>
        </c:dLbls>
        <c:gapWidth val="219"/>
        <c:overlap val="-27"/>
        <c:axId val="572103855"/>
        <c:axId val="572107183"/>
      </c:barChart>
      <c:catAx>
        <c:axId val="57210385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2107183"/>
        <c:crosses val="autoZero"/>
        <c:auto val="1"/>
        <c:lblAlgn val="ctr"/>
        <c:lblOffset val="100"/>
        <c:noMultiLvlLbl val="0"/>
      </c:catAx>
      <c:valAx>
        <c:axId val="57210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point Change in Income Povedrty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0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41.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44.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47.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50.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53.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_rels/drawing57.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757428</xdr:colOff>
      <xdr:row>18</xdr:row>
      <xdr:rowOff>160020</xdr:rowOff>
    </xdr:to>
    <xdr:graphicFrame macro="">
      <xdr:nvGraphicFramePr>
        <xdr:cNvPr id="9" name="Chart 8">
          <a:extLst>
            <a:ext uri="{FF2B5EF4-FFF2-40B4-BE49-F238E27FC236}">
              <a16:creationId xmlns:a16="http://schemas.microsoft.com/office/drawing/2014/main" id="{58616EC4-C309-0D38-9AC6-ACD02E21C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0.52526</cdr:x>
      <cdr:y>0.34823</cdr:y>
    </cdr:from>
    <cdr:to>
      <cdr:x>0.5926</cdr:x>
      <cdr:y>0.4345</cdr:y>
    </cdr:to>
    <cdr:sp macro="" textlink="">
      <cdr:nvSpPr>
        <cdr:cNvPr id="7" name="Left Brace 6">
          <a:extLst xmlns:a="http://schemas.openxmlformats.org/drawingml/2006/main">
            <a:ext uri="{FF2B5EF4-FFF2-40B4-BE49-F238E27FC236}">
              <a16:creationId xmlns:a16="http://schemas.microsoft.com/office/drawing/2014/main" id="{D87D7941-CC88-640F-7F1B-B6F48FF54292}"/>
            </a:ext>
          </a:extLst>
        </cdr:cNvPr>
        <cdr:cNvSpPr/>
      </cdr:nvSpPr>
      <cdr:spPr>
        <a:xfrm xmlns:a="http://schemas.openxmlformats.org/drawingml/2006/main" rot="5400000">
          <a:off x="3338306" y="1194180"/>
          <a:ext cx="309624" cy="420864"/>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0.15547</cdr:x>
      <cdr:y>0.34795</cdr:y>
    </cdr:from>
    <cdr:to>
      <cdr:x>0.22227</cdr:x>
      <cdr:y>0.43422</cdr:y>
    </cdr:to>
    <cdr:sp macro="" textlink="">
      <cdr:nvSpPr>
        <cdr:cNvPr id="2" name="Left Brace 1">
          <a:extLst xmlns:a="http://schemas.openxmlformats.org/drawingml/2006/main">
            <a:ext uri="{FF2B5EF4-FFF2-40B4-BE49-F238E27FC236}">
              <a16:creationId xmlns:a16="http://schemas.microsoft.com/office/drawing/2014/main" id="{2B588C4D-15F5-195A-6822-1B19FCE0C660}"/>
            </a:ext>
          </a:extLst>
        </cdr:cNvPr>
        <cdr:cNvSpPr/>
      </cdr:nvSpPr>
      <cdr:spPr>
        <a:xfrm xmlns:a="http://schemas.openxmlformats.org/drawingml/2006/main" rot="5400000">
          <a:off x="1022965" y="1195340"/>
          <a:ext cx="309625" cy="416549"/>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0.45804</cdr:x>
      <cdr:y>0.35204</cdr:y>
    </cdr:from>
    <cdr:to>
      <cdr:x>0.49192</cdr:x>
      <cdr:y>0.43414</cdr:y>
    </cdr:to>
    <cdr:sp macro="" textlink="">
      <cdr:nvSpPr>
        <cdr:cNvPr id="8" name="Left Brace 7">
          <a:extLst xmlns:a="http://schemas.openxmlformats.org/drawingml/2006/main">
            <a:ext uri="{FF2B5EF4-FFF2-40B4-BE49-F238E27FC236}">
              <a16:creationId xmlns:a16="http://schemas.microsoft.com/office/drawing/2014/main" id="{D582C3BC-0502-DF48-5F16-D15EEFB9580C}"/>
            </a:ext>
          </a:extLst>
        </cdr:cNvPr>
        <cdr:cNvSpPr/>
      </cdr:nvSpPr>
      <cdr:spPr>
        <a:xfrm xmlns:a="http://schemas.openxmlformats.org/drawingml/2006/main" rot="5400000">
          <a:off x="2821167" y="1304929"/>
          <a:ext cx="294671" cy="211751"/>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0.66047</cdr:x>
      <cdr:y>0.34712</cdr:y>
    </cdr:from>
    <cdr:to>
      <cdr:x>0.82844</cdr:x>
      <cdr:y>0.43339</cdr:y>
    </cdr:to>
    <cdr:sp macro="" textlink="">
      <cdr:nvSpPr>
        <cdr:cNvPr id="9" name="Left Brace 8">
          <a:extLst xmlns:a="http://schemas.openxmlformats.org/drawingml/2006/main">
            <a:ext uri="{FF2B5EF4-FFF2-40B4-BE49-F238E27FC236}">
              <a16:creationId xmlns:a16="http://schemas.microsoft.com/office/drawing/2014/main" id="{DB1A1745-0640-9C8D-8C20-18AB5A2A5FA3}"/>
            </a:ext>
          </a:extLst>
        </cdr:cNvPr>
        <cdr:cNvSpPr/>
      </cdr:nvSpPr>
      <cdr:spPr>
        <a:xfrm xmlns:a="http://schemas.openxmlformats.org/drawingml/2006/main" rot="5400000">
          <a:off x="4497797" y="875714"/>
          <a:ext cx="309625" cy="1049816"/>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0.15657</cdr:x>
      <cdr:y>0.5908</cdr:y>
    </cdr:from>
    <cdr:to>
      <cdr:x>0.29179</cdr:x>
      <cdr:y>0.66667</cdr:y>
    </cdr:to>
    <cdr:sp macro="" textlink="">
      <cdr:nvSpPr>
        <cdr:cNvPr id="5" name="Left Brace 4">
          <a:extLst xmlns:a="http://schemas.openxmlformats.org/drawingml/2006/main">
            <a:ext uri="{FF2B5EF4-FFF2-40B4-BE49-F238E27FC236}">
              <a16:creationId xmlns:a16="http://schemas.microsoft.com/office/drawing/2014/main" id="{47262E6C-218C-4CC7-216A-EDEBE673A9D6}"/>
            </a:ext>
          </a:extLst>
        </cdr:cNvPr>
        <cdr:cNvSpPr/>
      </cdr:nvSpPr>
      <cdr:spPr>
        <a:xfrm xmlns:a="http://schemas.openxmlformats.org/drawingml/2006/main" rot="16200000">
          <a:off x="1261835" y="1834919"/>
          <a:ext cx="272298" cy="843248"/>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0.46051</cdr:x>
      <cdr:y>0.59041</cdr:y>
    </cdr:from>
    <cdr:to>
      <cdr:x>0.69419</cdr:x>
      <cdr:y>0.66257</cdr:y>
    </cdr:to>
    <cdr:sp macro="" textlink="">
      <cdr:nvSpPr>
        <cdr:cNvPr id="6" name="Left Brace 5">
          <a:extLst xmlns:a="http://schemas.openxmlformats.org/drawingml/2006/main">
            <a:ext uri="{FF2B5EF4-FFF2-40B4-BE49-F238E27FC236}">
              <a16:creationId xmlns:a16="http://schemas.microsoft.com/office/drawing/2014/main" id="{781E0085-069D-F4B8-F254-A8DE50B68524}"/>
            </a:ext>
          </a:extLst>
        </cdr:cNvPr>
        <cdr:cNvSpPr/>
      </cdr:nvSpPr>
      <cdr:spPr>
        <a:xfrm xmlns:a="http://schemas.openxmlformats.org/drawingml/2006/main" rot="16200000">
          <a:off x="3478768" y="1518242"/>
          <a:ext cx="258974" cy="1460473"/>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0.15529</cdr:x>
      <cdr:y>0.58713</cdr:y>
    </cdr:from>
    <cdr:to>
      <cdr:x>0.69639</cdr:x>
      <cdr:y>0.84743</cdr:y>
    </cdr:to>
    <cdr:sp macro="" textlink="">
      <cdr:nvSpPr>
        <cdr:cNvPr id="10" name="Left Brace 9">
          <a:extLst xmlns:a="http://schemas.openxmlformats.org/drawingml/2006/main">
            <a:ext uri="{FF2B5EF4-FFF2-40B4-BE49-F238E27FC236}">
              <a16:creationId xmlns:a16="http://schemas.microsoft.com/office/drawing/2014/main" id="{CA1749CC-F850-D85A-F1A8-614DCC756140}"/>
            </a:ext>
          </a:extLst>
        </cdr:cNvPr>
        <cdr:cNvSpPr/>
      </cdr:nvSpPr>
      <cdr:spPr>
        <a:xfrm xmlns:a="http://schemas.openxmlformats.org/drawingml/2006/main" rot="16200000">
          <a:off x="2194240" y="883486"/>
          <a:ext cx="934221" cy="3381688"/>
        </a:xfrm>
        <a:prstGeom xmlns:a="http://schemas.openxmlformats.org/drawingml/2006/main" prst="leftBrace">
          <a:avLst>
            <a:gd name="adj1" fmla="val 8333"/>
            <a:gd name="adj2" fmla="val 52138"/>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0.89511</cdr:x>
      <cdr:y>0.34789</cdr:y>
    </cdr:from>
    <cdr:to>
      <cdr:x>0.96245</cdr:x>
      <cdr:y>0.43416</cdr:y>
    </cdr:to>
    <cdr:sp macro="" textlink="">
      <cdr:nvSpPr>
        <cdr:cNvPr id="3" name="Left Brace 2">
          <a:extLst xmlns:a="http://schemas.openxmlformats.org/drawingml/2006/main">
            <a:ext uri="{FF2B5EF4-FFF2-40B4-BE49-F238E27FC236}">
              <a16:creationId xmlns:a16="http://schemas.microsoft.com/office/drawing/2014/main" id="{8DDF2D5F-91AE-18DE-D91C-7476D27D95B3}"/>
            </a:ext>
          </a:extLst>
        </cdr:cNvPr>
        <cdr:cNvSpPr/>
      </cdr:nvSpPr>
      <cdr:spPr>
        <a:xfrm xmlns:a="http://schemas.openxmlformats.org/drawingml/2006/main" rot="5400000">
          <a:off x="5649792" y="1192955"/>
          <a:ext cx="309624" cy="420864"/>
        </a:xfrm>
        <a:prstGeom xmlns:a="http://schemas.openxmlformats.org/drawingml/2006/main" prst="lef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4201976" name="Chart 1">
          <a:extLst>
            <a:ext uri="{FF2B5EF4-FFF2-40B4-BE49-F238E27FC236}">
              <a16:creationId xmlns:a16="http://schemas.microsoft.com/office/drawing/2014/main" id="{506D02C6-035E-7C99-229C-DF55814B8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34</xdr:row>
      <xdr:rowOff>0</xdr:rowOff>
    </xdr:from>
    <xdr:to>
      <xdr:col>14</xdr:col>
      <xdr:colOff>520700</xdr:colOff>
      <xdr:row>63</xdr:row>
      <xdr:rowOff>133350</xdr:rowOff>
    </xdr:to>
    <xdr:graphicFrame macro="">
      <xdr:nvGraphicFramePr>
        <xdr:cNvPr id="2" name="Chart 1">
          <a:extLst>
            <a:ext uri="{FF2B5EF4-FFF2-40B4-BE49-F238E27FC236}">
              <a16:creationId xmlns:a16="http://schemas.microsoft.com/office/drawing/2014/main" id="{0F207019-3639-4743-85EE-96BF51521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2a: Consumption and Income Poverty Rates, 2015-2022, Thresholds Anchored in 2015</a:t>
          </a:r>
        </a:p>
      </cdr:txBody>
    </cdr:sp>
  </cdr:relSizeAnchor>
</c:userShapes>
</file>

<file path=xl/drawings/drawing5.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2b: Consumption and Income Child Poverty Rates, 2015-2022, Thresholds Anchored in 2015</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2" name="Chart 1">
          <a:extLst>
            <a:ext uri="{FF2B5EF4-FFF2-40B4-BE49-F238E27FC236}">
              <a16:creationId xmlns:a16="http://schemas.microsoft.com/office/drawing/2014/main" id="{32808ED4-ECD8-4640-96FB-BDDA53A96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29883</xdr:colOff>
      <xdr:row>33</xdr:row>
      <xdr:rowOff>164354</xdr:rowOff>
    </xdr:from>
    <xdr:to>
      <xdr:col>14</xdr:col>
      <xdr:colOff>525183</xdr:colOff>
      <xdr:row>63</xdr:row>
      <xdr:rowOff>88527</xdr:rowOff>
    </xdr:to>
    <xdr:graphicFrame macro="">
      <xdr:nvGraphicFramePr>
        <xdr:cNvPr id="3" name="Chart 2">
          <a:extLst>
            <a:ext uri="{FF2B5EF4-FFF2-40B4-BE49-F238E27FC236}">
              <a16:creationId xmlns:a16="http://schemas.microsoft.com/office/drawing/2014/main" id="{53BD2278-7DBE-455C-9585-2521391CE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3a: Consumption and Income Deep Poverty Rates, 2015-2022, Thresholds Anchored in 2015</a:t>
          </a:r>
        </a:p>
      </cdr:txBody>
    </cdr:sp>
  </cdr:relSizeAnchor>
</c:userShapes>
</file>

<file path=xl/drawings/drawing8.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3b: Consumption and Income Child Deep Poverty Rates, 2015-2022, Thresholds Anchored in 2015</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2" name="Chart 1">
          <a:extLst>
            <a:ext uri="{FF2B5EF4-FFF2-40B4-BE49-F238E27FC236}">
              <a16:creationId xmlns:a16="http://schemas.microsoft.com/office/drawing/2014/main" id="{739FBC0E-5E95-4D28-B092-6706603D8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33</xdr:row>
      <xdr:rowOff>127000</xdr:rowOff>
    </xdr:from>
    <xdr:to>
      <xdr:col>14</xdr:col>
      <xdr:colOff>527050</xdr:colOff>
      <xdr:row>63</xdr:row>
      <xdr:rowOff>50800</xdr:rowOff>
    </xdr:to>
    <xdr:graphicFrame macro="">
      <xdr:nvGraphicFramePr>
        <xdr:cNvPr id="3" name="Chart 2">
          <a:extLst>
            <a:ext uri="{FF2B5EF4-FFF2-40B4-BE49-F238E27FC236}">
              <a16:creationId xmlns:a16="http://schemas.microsoft.com/office/drawing/2014/main" id="{F5473069-9820-4F9A-8C00-A1D2114D1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4a: Consumption and Income Near Poverty Rates, 2015-2022, Thresholds Anchored in 2015</a:t>
          </a:r>
        </a:p>
      </cdr:txBody>
    </cdr:sp>
  </cdr:relSizeAnchor>
</c:userShapes>
</file>

<file path=xl/drawings/drawing11.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4b: Consumption and Income Child Near Poverty Rates, 2015-2022, Thresholds Anchored in 2015</a:t>
          </a:r>
        </a:p>
      </cdr:txBody>
    </cdr:sp>
  </cdr:relSizeAnchor>
</c:userShapes>
</file>

<file path=xl/drawings/drawing12.xml><?xml version="1.0" encoding="utf-8"?>
<xdr:wsDr xmlns:xdr="http://schemas.openxmlformats.org/drawingml/2006/spreadsheetDrawing" xmlns:a="http://schemas.openxmlformats.org/drawingml/2006/main">
  <xdr:twoCellAnchor>
    <xdr:from>
      <xdr:col>25</xdr:col>
      <xdr:colOff>0</xdr:colOff>
      <xdr:row>1</xdr:row>
      <xdr:rowOff>0</xdr:rowOff>
    </xdr:from>
    <xdr:to>
      <xdr:col>40</xdr:col>
      <xdr:colOff>342899</xdr:colOff>
      <xdr:row>27</xdr:row>
      <xdr:rowOff>196103</xdr:rowOff>
    </xdr:to>
    <xdr:graphicFrame macro="">
      <xdr:nvGraphicFramePr>
        <xdr:cNvPr id="4" name="Chart 3">
          <a:extLst>
            <a:ext uri="{FF2B5EF4-FFF2-40B4-BE49-F238E27FC236}">
              <a16:creationId xmlns:a16="http://schemas.microsoft.com/office/drawing/2014/main" id="{960EC0CC-DF1E-4A17-8321-F2EF2E17E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17318</xdr:colOff>
      <xdr:row>0</xdr:row>
      <xdr:rowOff>7793</xdr:rowOff>
    </xdr:from>
    <xdr:to>
      <xdr:col>14</xdr:col>
      <xdr:colOff>550718</xdr:colOff>
      <xdr:row>26</xdr:row>
      <xdr:rowOff>205628</xdr:rowOff>
    </xdr:to>
    <xdr:graphicFrame macro="">
      <xdr:nvGraphicFramePr>
        <xdr:cNvPr id="3" name="Chart 2">
          <a:extLst>
            <a:ext uri="{FF2B5EF4-FFF2-40B4-BE49-F238E27FC236}">
              <a16:creationId xmlns:a16="http://schemas.microsoft.com/office/drawing/2014/main" id="{2556D811-7228-4033-B8E6-CBAE2C16C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5': Family Monthly Income &amp; Spending Relative to an Year Ago, SHED Survey 2020-2023, HS Degree or Less</a:t>
          </a:r>
        </a:p>
        <a:p xmlns:a="http://schemas.openxmlformats.org/drawingml/2006/main">
          <a:pPr algn="l" rtl="0">
            <a:defRPr sz="1000"/>
          </a:pPr>
          <a:endParaRPr lang="en-US" sz="1200" b="0" i="0" u="none" strike="noStrike" baseline="0">
            <a:solidFill>
              <a:srgbClr val="000000"/>
            </a:solidFill>
            <a:latin typeface="Arial"/>
            <a:cs typeface="Arial"/>
          </a:endParaRPr>
        </a:p>
        <a:p xmlns:a="http://schemas.openxmlformats.org/drawingml/2006/main">
          <a:pPr algn="l" rtl="0">
            <a:defRPr sz="1000"/>
          </a:pPr>
          <a:r>
            <a:rPr lang="en-US" sz="1200" b="0" i="0" u="none" strike="noStrike" baseline="0">
              <a:solidFill>
                <a:srgbClr val="000000"/>
              </a:solidFill>
              <a:latin typeface="Arial"/>
              <a:cs typeface="Arial"/>
            </a:rPr>
            <a:t> </a:t>
          </a:r>
        </a:p>
      </cdr:txBody>
    </cdr:sp>
  </cdr:relSizeAnchor>
</c:userShapes>
</file>

<file path=xl/drawings/drawing14.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5: Family Monthly Income &amp; Spending Relative to a Year Ago, SHED Survey 2020-2022, HS Degree or Less</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580474</xdr:colOff>
      <xdr:row>19</xdr:row>
      <xdr:rowOff>137058</xdr:rowOff>
    </xdr:to>
    <xdr:graphicFrame macro="">
      <xdr:nvGraphicFramePr>
        <xdr:cNvPr id="8" name="Chart 7">
          <a:extLst>
            <a:ext uri="{FF2B5EF4-FFF2-40B4-BE49-F238E27FC236}">
              <a16:creationId xmlns:a16="http://schemas.microsoft.com/office/drawing/2014/main" id="{F25B1630-BA3B-49AF-ACE2-AA635DDFB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7</xdr:col>
      <xdr:colOff>580474</xdr:colOff>
      <xdr:row>57</xdr:row>
      <xdr:rowOff>141923</xdr:rowOff>
    </xdr:to>
    <xdr:graphicFrame macro="">
      <xdr:nvGraphicFramePr>
        <xdr:cNvPr id="2" name="Chart 1">
          <a:extLst>
            <a:ext uri="{FF2B5EF4-FFF2-40B4-BE49-F238E27FC236}">
              <a16:creationId xmlns:a16="http://schemas.microsoft.com/office/drawing/2014/main" id="{87173159-6CB0-4895-BDCF-C6C546E25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165652</xdr:rowOff>
    </xdr:from>
    <xdr:to>
      <xdr:col>7</xdr:col>
      <xdr:colOff>580474</xdr:colOff>
      <xdr:row>38</xdr:row>
      <xdr:rowOff>128775</xdr:rowOff>
    </xdr:to>
    <xdr:graphicFrame macro="">
      <xdr:nvGraphicFramePr>
        <xdr:cNvPr id="3" name="Chart 2">
          <a:extLst>
            <a:ext uri="{FF2B5EF4-FFF2-40B4-BE49-F238E27FC236}">
              <a16:creationId xmlns:a16="http://schemas.microsoft.com/office/drawing/2014/main" id="{EC898FBF-ABD2-43F9-A858-9A080C474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0.00859</cdr:x>
      <cdr:y>0.00532</cdr:y>
    </cdr:from>
    <cdr:to>
      <cdr:x>0.97618</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7" y="16782"/>
          <a:ext cx="4697933" cy="519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6a. Median of Assets for Families with Total Consumption between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0.00859</cdr:x>
      <cdr:y>0.00532</cdr:y>
    </cdr:from>
    <cdr:to>
      <cdr:x>0.97304</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7" y="16764"/>
          <a:ext cx="4682693" cy="519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6c. 90th Percentile of Assets for Families with Total Consumption between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0.00859</cdr:x>
      <cdr:y>0.00532</cdr:y>
    </cdr:from>
    <cdr:to>
      <cdr:x>0.97618</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7" y="16782"/>
          <a:ext cx="4697933" cy="519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6b. 75th Percentile of Assets for Families with Total Consumption between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5522</xdr:colOff>
      <xdr:row>1</xdr:row>
      <xdr:rowOff>0</xdr:rowOff>
    </xdr:from>
    <xdr:to>
      <xdr:col>7</xdr:col>
      <xdr:colOff>585997</xdr:colOff>
      <xdr:row>19</xdr:row>
      <xdr:rowOff>133642</xdr:rowOff>
    </xdr:to>
    <xdr:graphicFrame macro="">
      <xdr:nvGraphicFramePr>
        <xdr:cNvPr id="8" name="Chart 7">
          <a:extLst>
            <a:ext uri="{FF2B5EF4-FFF2-40B4-BE49-F238E27FC236}">
              <a16:creationId xmlns:a16="http://schemas.microsoft.com/office/drawing/2014/main" id="{5638EA0A-ABC9-48D8-9467-2AFBDEC68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5522</xdr:colOff>
      <xdr:row>20</xdr:row>
      <xdr:rowOff>0</xdr:rowOff>
    </xdr:from>
    <xdr:to>
      <xdr:col>7</xdr:col>
      <xdr:colOff>585997</xdr:colOff>
      <xdr:row>38</xdr:row>
      <xdr:rowOff>117078</xdr:rowOff>
    </xdr:to>
    <xdr:graphicFrame macro="">
      <xdr:nvGraphicFramePr>
        <xdr:cNvPr id="4" name="Chart 3">
          <a:extLst>
            <a:ext uri="{FF2B5EF4-FFF2-40B4-BE49-F238E27FC236}">
              <a16:creationId xmlns:a16="http://schemas.microsoft.com/office/drawing/2014/main" id="{D1BB7CCD-2DC4-4E9C-B9B9-B24F444DB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7</xdr:col>
      <xdr:colOff>580475</xdr:colOff>
      <xdr:row>67</xdr:row>
      <xdr:rowOff>133642</xdr:rowOff>
    </xdr:to>
    <xdr:graphicFrame macro="">
      <xdr:nvGraphicFramePr>
        <xdr:cNvPr id="2" name="Chart 1">
          <a:extLst>
            <a:ext uri="{FF2B5EF4-FFF2-40B4-BE49-F238E27FC236}">
              <a16:creationId xmlns:a16="http://schemas.microsoft.com/office/drawing/2014/main" id="{176795DF-021B-45B0-886E-52440F834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68</xdr:row>
      <xdr:rowOff>0</xdr:rowOff>
    </xdr:from>
    <xdr:to>
      <xdr:col>7</xdr:col>
      <xdr:colOff>580475</xdr:colOff>
      <xdr:row>86</xdr:row>
      <xdr:rowOff>109458</xdr:rowOff>
    </xdr:to>
    <xdr:graphicFrame macro="">
      <xdr:nvGraphicFramePr>
        <xdr:cNvPr id="3" name="Chart 2">
          <a:extLst>
            <a:ext uri="{FF2B5EF4-FFF2-40B4-BE49-F238E27FC236}">
              <a16:creationId xmlns:a16="http://schemas.microsoft.com/office/drawing/2014/main" id="{AE7799BD-6DB3-468D-8E48-EE7C2B1C7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0.00859</cdr:x>
      <cdr:y>0.00532</cdr:y>
    </cdr:from>
    <cdr:to>
      <cdr:x>0.94993</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6" y="16764"/>
          <a:ext cx="4570491" cy="519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7a. Liquid Assets Relative to an Year Ago, Total Consumption bewteen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0.00859</cdr:x>
      <cdr:y>0.00532</cdr:y>
    </cdr:from>
    <cdr:to>
      <cdr:x>0.97661</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7" y="16636"/>
          <a:ext cx="4700031" cy="5154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7b. Liquid Assets Relative to an Year Ago, Families with Children and Total Consumption between 50-150% Poverty Threshold, 2015:Q1-2022:Q4</a:t>
          </a:r>
          <a:endParaRPr lang="en-US" sz="1100">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0.00859</cdr:x>
      <cdr:y>0.00532</cdr:y>
    </cdr:from>
    <cdr:to>
      <cdr:x>0.94993</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6" y="16764"/>
          <a:ext cx="4570491" cy="519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7a'. Liquid Assets Relative to an Year Ago, Total Consumption bewteen 50-150% Poverty Threshold</a:t>
          </a:r>
          <a:endParaRPr lang="en-US" sz="1100">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0.00859</cdr:x>
      <cdr:y>0.00532</cdr:y>
    </cdr:from>
    <cdr:to>
      <cdr:x>0.97661</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707" y="16636"/>
          <a:ext cx="4700031" cy="5154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7b'. Liquid Assets Relative to an Year Ago, Families with Children and Total Consumption between 50-150% Poverty Threshold</a:t>
          </a:r>
          <a:endParaRPr lang="en-US" sz="1100">
            <a:latin typeface="Arial" panose="020B0604020202020204" pitchFamily="34" charset="0"/>
            <a:cs typeface="Arial" panose="020B0604020202020204" pitchFamily="34" charset="0"/>
          </a:endParaRPr>
        </a:p>
      </cdr:txBody>
    </cdr:sp>
  </cdr:relSizeAnchor>
</c:userShapes>
</file>

<file path=xl/drawings/drawing24.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572854</xdr:colOff>
      <xdr:row>19</xdr:row>
      <xdr:rowOff>126300</xdr:rowOff>
    </xdr:to>
    <xdr:graphicFrame macro="">
      <xdr:nvGraphicFramePr>
        <xdr:cNvPr id="9" name="Chart 8">
          <a:extLst>
            <a:ext uri="{FF2B5EF4-FFF2-40B4-BE49-F238E27FC236}">
              <a16:creationId xmlns:a16="http://schemas.microsoft.com/office/drawing/2014/main" id="{499BA8C6-E49D-44D2-BBB2-B0306D375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7</xdr:col>
      <xdr:colOff>572854</xdr:colOff>
      <xdr:row>38</xdr:row>
      <xdr:rowOff>126300</xdr:rowOff>
    </xdr:to>
    <xdr:graphicFrame macro="">
      <xdr:nvGraphicFramePr>
        <xdr:cNvPr id="10" name="Chart 9">
          <a:extLst>
            <a:ext uri="{FF2B5EF4-FFF2-40B4-BE49-F238E27FC236}">
              <a16:creationId xmlns:a16="http://schemas.microsoft.com/office/drawing/2014/main" id="{E5A10599-E432-418B-86C3-68C92297A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7</xdr:col>
      <xdr:colOff>572854</xdr:colOff>
      <xdr:row>57</xdr:row>
      <xdr:rowOff>134582</xdr:rowOff>
    </xdr:to>
    <xdr:graphicFrame macro="">
      <xdr:nvGraphicFramePr>
        <xdr:cNvPr id="2" name="Chart 1">
          <a:extLst>
            <a:ext uri="{FF2B5EF4-FFF2-40B4-BE49-F238E27FC236}">
              <a16:creationId xmlns:a16="http://schemas.microsoft.com/office/drawing/2014/main" id="{7BC9623E-A913-41AC-96A1-AA500DB83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58</xdr:row>
      <xdr:rowOff>0</xdr:rowOff>
    </xdr:from>
    <xdr:to>
      <xdr:col>7</xdr:col>
      <xdr:colOff>572854</xdr:colOff>
      <xdr:row>76</xdr:row>
      <xdr:rowOff>134583</xdr:rowOff>
    </xdr:to>
    <xdr:graphicFrame macro="">
      <xdr:nvGraphicFramePr>
        <xdr:cNvPr id="3" name="Chart 2">
          <a:extLst>
            <a:ext uri="{FF2B5EF4-FFF2-40B4-BE49-F238E27FC236}">
              <a16:creationId xmlns:a16="http://schemas.microsoft.com/office/drawing/2014/main" id="{163C4447-10DD-42DC-BFE6-E84D4637B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0.00859</cdr:x>
      <cdr:y>0.00532</cdr:y>
    </cdr:from>
    <cdr:to>
      <cdr:x>0.96042</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642" y="16725"/>
          <a:ext cx="4614178" cy="518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8a. 75th Percentile of Non-Mortgage Debts for Families with Total Consumption between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0.00859</cdr:x>
      <cdr:y>0.00532</cdr:y>
    </cdr:from>
    <cdr:to>
      <cdr:x>0.95571</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642" y="16725"/>
          <a:ext cx="4591318" cy="518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8b. 90th Percentile of Non-Mortgage Debts for Families with Total Consumption between 50-150% Poverty Threshold, 2015:Q1-2022:Q4</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0.00859</cdr:x>
      <cdr:y>0.00532</cdr:y>
    </cdr:from>
    <cdr:to>
      <cdr:x>0.95571</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642" y="16725"/>
          <a:ext cx="4591318" cy="518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8c. Share of Families Having Any Non-Mortgage Debts, Families with Consumption btw 50-150% Poverty Threshold</a:t>
          </a:r>
          <a:endParaRPr lang="en-US" sz="1100">
            <a:effectLst/>
            <a:latin typeface="Arial" panose="020B0604020202020204" pitchFamily="34" charset="0"/>
            <a:cs typeface="Arial" panose="020B0604020202020204" pitchFamily="34" charset="0"/>
          </a:endParaRPr>
        </a:p>
        <a:p xmlns:a="http://schemas.openxmlformats.org/drawingml/2006/main">
          <a:endParaRPr lang="en-US" sz="1100">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0.00859</cdr:x>
      <cdr:y>0.00532</cdr:y>
    </cdr:from>
    <cdr:to>
      <cdr:x>0.95571</cdr:x>
      <cdr:y>0.17015</cdr:y>
    </cdr:to>
    <cdr:sp macro="" textlink="">
      <cdr:nvSpPr>
        <cdr:cNvPr id="2" name="TextBox 1">
          <a:extLst xmlns:a="http://schemas.openxmlformats.org/drawingml/2006/main">
            <a:ext uri="{FF2B5EF4-FFF2-40B4-BE49-F238E27FC236}">
              <a16:creationId xmlns:a16="http://schemas.microsoft.com/office/drawing/2014/main" id="{BA347931-ADBF-4E4F-84E2-AF5A43B96F66}"/>
            </a:ext>
          </a:extLst>
        </cdr:cNvPr>
        <cdr:cNvSpPr txBox="1"/>
      </cdr:nvSpPr>
      <cdr:spPr>
        <a:xfrm xmlns:a="http://schemas.openxmlformats.org/drawingml/2006/main">
          <a:off x="41642" y="16725"/>
          <a:ext cx="4591318" cy="518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Arial" panose="020B0604020202020204" pitchFamily="34" charset="0"/>
              <a:ea typeface="+mn-ea"/>
              <a:cs typeface="Arial" panose="020B0604020202020204" pitchFamily="34" charset="0"/>
            </a:rPr>
            <a:t>Figure 8d. Median Non-Mortgage Debts Among Families with Debts,  Families with Consumption btw 50-150% Poverty Threshold</a:t>
          </a:r>
          <a:endParaRPr lang="en-US" sz="1100">
            <a:latin typeface="Arial" panose="020B0604020202020204" pitchFamily="34" charset="0"/>
            <a:cs typeface="Arial" panose="020B0604020202020204" pitchFamily="34" charset="0"/>
          </a:endParaRP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31750</xdr:colOff>
      <xdr:row>0</xdr:row>
      <xdr:rowOff>29440</xdr:rowOff>
    </xdr:from>
    <xdr:to>
      <xdr:col>14</xdr:col>
      <xdr:colOff>527050</xdr:colOff>
      <xdr:row>32</xdr:row>
      <xdr:rowOff>124690</xdr:rowOff>
    </xdr:to>
    <xdr:graphicFrame macro="">
      <xdr:nvGraphicFramePr>
        <xdr:cNvPr id="2" name="Chart 1">
          <a:extLst>
            <a:ext uri="{FF2B5EF4-FFF2-40B4-BE49-F238E27FC236}">
              <a16:creationId xmlns:a16="http://schemas.microsoft.com/office/drawing/2014/main" id="{2ACA0FBF-FB18-4EE1-80E7-2DF688615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84</xdr:row>
      <xdr:rowOff>0</xdr:rowOff>
    </xdr:from>
    <xdr:to>
      <xdr:col>14</xdr:col>
      <xdr:colOff>495300</xdr:colOff>
      <xdr:row>111</xdr:row>
      <xdr:rowOff>190498</xdr:rowOff>
    </xdr:to>
    <xdr:graphicFrame macro="">
      <xdr:nvGraphicFramePr>
        <xdr:cNvPr id="4" name="Chart 3">
          <a:extLst>
            <a:ext uri="{FF2B5EF4-FFF2-40B4-BE49-F238E27FC236}">
              <a16:creationId xmlns:a16="http://schemas.microsoft.com/office/drawing/2014/main" id="{9F68ECF7-926D-48B7-9371-EFB22BB88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22413</xdr:colOff>
      <xdr:row>34</xdr:row>
      <xdr:rowOff>0</xdr:rowOff>
    </xdr:from>
    <xdr:to>
      <xdr:col>14</xdr:col>
      <xdr:colOff>517713</xdr:colOff>
      <xdr:row>65</xdr:row>
      <xdr:rowOff>149679</xdr:rowOff>
    </xdr:to>
    <xdr:graphicFrame macro="">
      <xdr:nvGraphicFramePr>
        <xdr:cNvPr id="6" name="Chart 5">
          <a:extLst>
            <a:ext uri="{FF2B5EF4-FFF2-40B4-BE49-F238E27FC236}">
              <a16:creationId xmlns:a16="http://schemas.microsoft.com/office/drawing/2014/main" id="{2F932316-CD46-4968-9F18-267E1CBF5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9a: Financial Hardships, SHED Survey 2015-2022, Low-Educated Adults </a:t>
          </a:r>
        </a:p>
      </cdr:txBody>
    </cdr:sp>
  </cdr:relSizeAnchor>
</c:userShapes>
</file>

<file path=xl/drawings/drawing31.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Extra Figure: Financial Well-being, SHED Survey 2015-2022, HS Degree or Less, Adults Other than Parents </a:t>
          </a:r>
        </a:p>
      </cdr:txBody>
    </cdr:sp>
  </cdr:relSizeAnchor>
</c:userShapes>
</file>

<file path=xl/drawings/drawing32.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9b: Financial Hardships, SHED Survey 2015-2022, Low-Educated Parents with Children </a:t>
          </a: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45357</xdr:colOff>
      <xdr:row>1</xdr:row>
      <xdr:rowOff>54428</xdr:rowOff>
    </xdr:from>
    <xdr:to>
      <xdr:col>14</xdr:col>
      <xdr:colOff>540657</xdr:colOff>
      <xdr:row>29</xdr:row>
      <xdr:rowOff>122464</xdr:rowOff>
    </xdr:to>
    <xdr:graphicFrame macro="">
      <xdr:nvGraphicFramePr>
        <xdr:cNvPr id="4" name="Chart 3">
          <a:extLst>
            <a:ext uri="{FF2B5EF4-FFF2-40B4-BE49-F238E27FC236}">
              <a16:creationId xmlns:a16="http://schemas.microsoft.com/office/drawing/2014/main" id="{86760049-71C2-4510-AE13-57D3A1AC9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Figure 10: Food Insecurity, CPS Food Security Supplement.  2015-2022</a:t>
          </a: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23</xdr:row>
      <xdr:rowOff>4483</xdr:rowOff>
    </xdr:from>
    <xdr:to>
      <xdr:col>7</xdr:col>
      <xdr:colOff>606552</xdr:colOff>
      <xdr:row>40</xdr:row>
      <xdr:rowOff>2959</xdr:rowOff>
    </xdr:to>
    <xdr:graphicFrame macro="">
      <xdr:nvGraphicFramePr>
        <xdr:cNvPr id="10" name="Chart 9">
          <a:extLst>
            <a:ext uri="{FF2B5EF4-FFF2-40B4-BE49-F238E27FC236}">
              <a16:creationId xmlns:a16="http://schemas.microsoft.com/office/drawing/2014/main" id="{10CB8D3F-E2E3-474E-B5BF-863BB9E3B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9526</xdr:colOff>
      <xdr:row>23</xdr:row>
      <xdr:rowOff>4483</xdr:rowOff>
    </xdr:from>
    <xdr:to>
      <xdr:col>16</xdr:col>
      <xdr:colOff>6478</xdr:colOff>
      <xdr:row>39</xdr:row>
      <xdr:rowOff>184315</xdr:rowOff>
    </xdr:to>
    <xdr:graphicFrame macro="">
      <xdr:nvGraphicFramePr>
        <xdr:cNvPr id="12" name="Chart 11">
          <a:extLst>
            <a:ext uri="{FF2B5EF4-FFF2-40B4-BE49-F238E27FC236}">
              <a16:creationId xmlns:a16="http://schemas.microsoft.com/office/drawing/2014/main" id="{B6FE1725-142A-4D6C-A6BA-7D464F683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8</xdr:col>
      <xdr:colOff>0</xdr:colOff>
      <xdr:row>17</xdr:row>
      <xdr:rowOff>371475</xdr:rowOff>
    </xdr:to>
    <xdr:graphicFrame macro="">
      <xdr:nvGraphicFramePr>
        <xdr:cNvPr id="14" name="Chart 13">
          <a:extLst>
            <a:ext uri="{FF2B5EF4-FFF2-40B4-BE49-F238E27FC236}">
              <a16:creationId xmlns:a16="http://schemas.microsoft.com/office/drawing/2014/main" id="{6DA2412B-885D-42D7-A337-C2CED5947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610912</xdr:colOff>
      <xdr:row>1</xdr:row>
      <xdr:rowOff>0</xdr:rowOff>
    </xdr:from>
    <xdr:to>
      <xdr:col>16</xdr:col>
      <xdr:colOff>4728</xdr:colOff>
      <xdr:row>17</xdr:row>
      <xdr:rowOff>187466</xdr:rowOff>
    </xdr:to>
    <xdr:graphicFrame macro="">
      <xdr:nvGraphicFramePr>
        <xdr:cNvPr id="2" name="Chart 1">
          <a:extLst>
            <a:ext uri="{FF2B5EF4-FFF2-40B4-BE49-F238E27FC236}">
              <a16:creationId xmlns:a16="http://schemas.microsoft.com/office/drawing/2014/main" id="{28F39275-E2CD-444A-A70A-D647D2136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0</xdr:rowOff>
    </xdr:from>
    <xdr:to>
      <xdr:col>7</xdr:col>
      <xdr:colOff>606552</xdr:colOff>
      <xdr:row>62</xdr:row>
      <xdr:rowOff>179832</xdr:rowOff>
    </xdr:to>
    <xdr:graphicFrame macro="">
      <xdr:nvGraphicFramePr>
        <xdr:cNvPr id="5" name="Chart 4">
          <a:extLst>
            <a:ext uri="{FF2B5EF4-FFF2-40B4-BE49-F238E27FC236}">
              <a16:creationId xmlns:a16="http://schemas.microsoft.com/office/drawing/2014/main" id="{C1A59F98-420E-4995-99FF-24C9D7E30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46</xdr:row>
      <xdr:rowOff>0</xdr:rowOff>
    </xdr:from>
    <xdr:to>
      <xdr:col>15</xdr:col>
      <xdr:colOff>606552</xdr:colOff>
      <xdr:row>62</xdr:row>
      <xdr:rowOff>179832</xdr:rowOff>
    </xdr:to>
    <xdr:graphicFrame macro="">
      <xdr:nvGraphicFramePr>
        <xdr:cNvPr id="6" name="Chart 5">
          <a:extLst>
            <a:ext uri="{FF2B5EF4-FFF2-40B4-BE49-F238E27FC236}">
              <a16:creationId xmlns:a16="http://schemas.microsoft.com/office/drawing/2014/main" id="{C75660E9-2885-4C2E-9C4D-A7CD9626D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2" name="Chart 1">
          <a:extLst>
            <a:ext uri="{FF2B5EF4-FFF2-40B4-BE49-F238E27FC236}">
              <a16:creationId xmlns:a16="http://schemas.microsoft.com/office/drawing/2014/main" id="{1CB71EBD-5DFA-4D98-9A8B-5EFD5C955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34</xdr:row>
      <xdr:rowOff>0</xdr:rowOff>
    </xdr:from>
    <xdr:to>
      <xdr:col>14</xdr:col>
      <xdr:colOff>523875</xdr:colOff>
      <xdr:row>63</xdr:row>
      <xdr:rowOff>133350</xdr:rowOff>
    </xdr:to>
    <xdr:graphicFrame macro="">
      <xdr:nvGraphicFramePr>
        <xdr:cNvPr id="3" name="Chart 2">
          <a:extLst>
            <a:ext uri="{FF2B5EF4-FFF2-40B4-BE49-F238E27FC236}">
              <a16:creationId xmlns:a16="http://schemas.microsoft.com/office/drawing/2014/main" id="{D57658F5-1945-430C-BE11-F18267232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1a: Disposable Income and SPM Poverty Rates, 2015-2022</a:t>
          </a:r>
        </a:p>
      </cdr:txBody>
    </cdr:sp>
  </cdr:relSizeAnchor>
</c:userShapes>
</file>

<file path=xl/drawings/drawing38.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1b: Disposable Income and SPM Child Poverty Rates, 2015-2022</a:t>
          </a: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30480</xdr:colOff>
      <xdr:row>0</xdr:row>
      <xdr:rowOff>60960</xdr:rowOff>
    </xdr:from>
    <xdr:to>
      <xdr:col>14</xdr:col>
      <xdr:colOff>541020</xdr:colOff>
      <xdr:row>33</xdr:row>
      <xdr:rowOff>129540</xdr:rowOff>
    </xdr:to>
    <xdr:graphicFrame macro="">
      <xdr:nvGraphicFramePr>
        <xdr:cNvPr id="2" name="Chart 2">
          <a:extLst>
            <a:ext uri="{FF2B5EF4-FFF2-40B4-BE49-F238E27FC236}">
              <a16:creationId xmlns:a16="http://schemas.microsoft.com/office/drawing/2014/main" id="{90E9C027-F06A-44FA-9E38-99A77E7AA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0.00897</cdr:x>
      <cdr:y>0.013</cdr:y>
    </cdr:from>
    <cdr:to>
      <cdr:x>0.97693</cdr:x>
      <cdr:y>0.10039</cdr:y>
    </cdr:to>
    <cdr:sp macro="" textlink="">
      <cdr:nvSpPr>
        <cdr:cNvPr id="60417" name="Text Box 1"/>
        <cdr:cNvSpPr txBox="1">
          <a:spLocks xmlns:a="http://schemas.openxmlformats.org/drawingml/2006/main" noChangeArrowheads="1"/>
        </cdr:cNvSpPr>
      </cdr:nvSpPr>
      <cdr:spPr bwMode="auto">
        <a:xfrm xmlns:a="http://schemas.openxmlformats.org/drawingml/2006/main" flipV="1">
          <a:off x="84200" y="75216"/>
          <a:ext cx="8837416" cy="48784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2: 2015 Official Poverty Thresholds for Families of Two Adults and Two Children Adjusted Using Different Price Indices</a:t>
          </a: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2" name="Chart 1">
          <a:extLst>
            <a:ext uri="{FF2B5EF4-FFF2-40B4-BE49-F238E27FC236}">
              <a16:creationId xmlns:a16="http://schemas.microsoft.com/office/drawing/2014/main" id="{70857B2A-2EC9-4205-BE35-C6BB372FC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34</xdr:row>
      <xdr:rowOff>0</xdr:rowOff>
    </xdr:from>
    <xdr:to>
      <xdr:col>14</xdr:col>
      <xdr:colOff>520700</xdr:colOff>
      <xdr:row>63</xdr:row>
      <xdr:rowOff>133350</xdr:rowOff>
    </xdr:to>
    <xdr:graphicFrame macro="">
      <xdr:nvGraphicFramePr>
        <xdr:cNvPr id="3" name="Chart 2">
          <a:extLst>
            <a:ext uri="{FF2B5EF4-FFF2-40B4-BE49-F238E27FC236}">
              <a16:creationId xmlns:a16="http://schemas.microsoft.com/office/drawing/2014/main" id="{D27F9DD1-FA8D-44AE-B611-4DB9E2AFA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3a: Consumption Poverty Rates Using Different Price Indices</a:t>
          </a:r>
        </a:p>
      </cdr:txBody>
    </cdr:sp>
  </cdr:relSizeAnchor>
</c:userShapes>
</file>

<file path=xl/drawings/drawing43.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3b: Consumption Child Poverty Rates Using Different Price Indices</a:t>
          </a:r>
        </a:p>
      </cdr:txBody>
    </cdr:sp>
  </cdr:relSizeAnchor>
</c:userShapes>
</file>

<file path=xl/drawings/drawing44.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556958</xdr:colOff>
      <xdr:row>32</xdr:row>
      <xdr:rowOff>115014</xdr:rowOff>
    </xdr:to>
    <xdr:graphicFrame macro="">
      <xdr:nvGraphicFramePr>
        <xdr:cNvPr id="2" name="Chart 1">
          <a:extLst>
            <a:ext uri="{FF2B5EF4-FFF2-40B4-BE49-F238E27FC236}">
              <a16:creationId xmlns:a16="http://schemas.microsoft.com/office/drawing/2014/main" id="{5FFAF9E8-673A-4A8B-A043-971CC4BB0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32727</xdr:colOff>
      <xdr:row>34</xdr:row>
      <xdr:rowOff>0</xdr:rowOff>
    </xdr:from>
    <xdr:to>
      <xdr:col>14</xdr:col>
      <xdr:colOff>557935</xdr:colOff>
      <xdr:row>63</xdr:row>
      <xdr:rowOff>133350</xdr:rowOff>
    </xdr:to>
    <xdr:graphicFrame macro="">
      <xdr:nvGraphicFramePr>
        <xdr:cNvPr id="3" name="Chart 2">
          <a:extLst>
            <a:ext uri="{FF2B5EF4-FFF2-40B4-BE49-F238E27FC236}">
              <a16:creationId xmlns:a16="http://schemas.microsoft.com/office/drawing/2014/main" id="{8E5A4EE2-2E39-4277-9BFE-7D56A1658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4a: Expenditure and Consumption Poverty Rates, 2015-2022, Thresholds Anchored in 2015</a:t>
          </a:r>
        </a:p>
      </cdr:txBody>
    </cdr:sp>
  </cdr:relSizeAnchor>
</c:userShapes>
</file>

<file path=xl/drawings/drawing46.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4b: Expenditure and Consumption Child Poverty Rates, 2015-2022, Thresholds Anchored in 2015</a:t>
          </a: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31750</xdr:colOff>
      <xdr:row>0</xdr:row>
      <xdr:rowOff>57150</xdr:rowOff>
    </xdr:from>
    <xdr:to>
      <xdr:col>14</xdr:col>
      <xdr:colOff>527050</xdr:colOff>
      <xdr:row>32</xdr:row>
      <xdr:rowOff>152400</xdr:rowOff>
    </xdr:to>
    <xdr:graphicFrame macro="">
      <xdr:nvGraphicFramePr>
        <xdr:cNvPr id="2" name="Chart 1">
          <a:extLst>
            <a:ext uri="{FF2B5EF4-FFF2-40B4-BE49-F238E27FC236}">
              <a16:creationId xmlns:a16="http://schemas.microsoft.com/office/drawing/2014/main" id="{514FD71C-B180-46FF-8D80-5390AF61E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34</xdr:row>
      <xdr:rowOff>0</xdr:rowOff>
    </xdr:from>
    <xdr:to>
      <xdr:col>14</xdr:col>
      <xdr:colOff>520700</xdr:colOff>
      <xdr:row>63</xdr:row>
      <xdr:rowOff>133350</xdr:rowOff>
    </xdr:to>
    <xdr:graphicFrame macro="">
      <xdr:nvGraphicFramePr>
        <xdr:cNvPr id="3" name="Chart 2">
          <a:extLst>
            <a:ext uri="{FF2B5EF4-FFF2-40B4-BE49-F238E27FC236}">
              <a16:creationId xmlns:a16="http://schemas.microsoft.com/office/drawing/2014/main" id="{A01286BC-1412-49AF-A258-3C48A5A8E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5a: Consumption and Consumption + Net Saving Poverty Rates, 2015-2022, Thresholds Anchored in 2015</a:t>
          </a:r>
        </a:p>
      </cdr:txBody>
    </cdr:sp>
  </cdr:relSizeAnchor>
</c:userShapes>
</file>

<file path=xl/drawings/drawing49.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5b: Consumption and Cosnumption + Net Saving Child Poverty Rates, 2015-2022, Thresholds Anchored in 2015</a:t>
          </a:r>
        </a:p>
      </cdr:txBody>
    </cdr:sp>
  </cdr:relSizeAnchor>
</c:userShapes>
</file>

<file path=xl/drawings/drawing50.xml><?xml version="1.0" encoding="utf-8"?>
<xdr:wsDr xmlns:xdr="http://schemas.openxmlformats.org/drawingml/2006/spreadsheetDrawing" xmlns:a="http://schemas.openxmlformats.org/drawingml/2006/main">
  <xdr:twoCellAnchor>
    <xdr:from>
      <xdr:col>0</xdr:col>
      <xdr:colOff>0</xdr:colOff>
      <xdr:row>28</xdr:row>
      <xdr:rowOff>0</xdr:rowOff>
    </xdr:from>
    <xdr:to>
      <xdr:col>14</xdr:col>
      <xdr:colOff>533400</xdr:colOff>
      <xdr:row>55</xdr:row>
      <xdr:rowOff>155282</xdr:rowOff>
    </xdr:to>
    <xdr:graphicFrame macro="">
      <xdr:nvGraphicFramePr>
        <xdr:cNvPr id="2" name="Chart 1">
          <a:extLst>
            <a:ext uri="{FF2B5EF4-FFF2-40B4-BE49-F238E27FC236}">
              <a16:creationId xmlns:a16="http://schemas.microsoft.com/office/drawing/2014/main" id="{13A3275B-A256-4661-8056-DD2477394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14</xdr:col>
      <xdr:colOff>533400</xdr:colOff>
      <xdr:row>26</xdr:row>
      <xdr:rowOff>196103</xdr:rowOff>
    </xdr:to>
    <xdr:graphicFrame macro="">
      <xdr:nvGraphicFramePr>
        <xdr:cNvPr id="5" name="Chart 4">
          <a:extLst>
            <a:ext uri="{FF2B5EF4-FFF2-40B4-BE49-F238E27FC236}">
              <a16:creationId xmlns:a16="http://schemas.microsoft.com/office/drawing/2014/main" id="{9AA4CD7C-CEA3-4666-AF32-446BC80D6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1.xml><?xml version="1.0" encoding="utf-8"?>
<c:userShapes xmlns:c="http://schemas.openxmlformats.org/drawingml/2006/chart">
  <cdr:relSizeAnchor xmlns:cdr="http://schemas.openxmlformats.org/drawingml/2006/chartDrawing">
    <cdr:from>
      <cdr:x>0.00996</cdr:x>
      <cdr:y>0.02004</cdr:y>
    </cdr:from>
    <cdr:to>
      <cdr:x>0.98043</cdr:x>
      <cdr:y>0.09891</cdr:y>
    </cdr:to>
    <cdr:sp macro="" textlink="">
      <cdr:nvSpPr>
        <cdr:cNvPr id="359425" name="Text Box 1"/>
        <cdr:cNvSpPr txBox="1">
          <a:spLocks xmlns:a="http://schemas.openxmlformats.org/drawingml/2006/main" noChangeArrowheads="1"/>
        </cdr:cNvSpPr>
      </cdr:nvSpPr>
      <cdr:spPr bwMode="auto">
        <a:xfrm xmlns:a="http://schemas.openxmlformats.org/drawingml/2006/main">
          <a:off x="94896" y="110278"/>
          <a:ext cx="9246368" cy="43400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6b: Family Monthly Income &amp; Spending Relative to a Year Ago, SHED Survey 2020-2022, Parents with Children </a:t>
          </a:r>
        </a:p>
      </cdr:txBody>
    </cdr:sp>
  </cdr:relSizeAnchor>
</c:userShapes>
</file>

<file path=xl/drawings/drawing52.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6a: Family Monthly Income &amp; Spending Relative to a Year Ago, SHED Survey 2020-2022, All Adults</a:t>
          </a:r>
        </a:p>
      </cdr:txBody>
    </cdr:sp>
  </cdr:relSizeAnchor>
</c:userShapes>
</file>

<file path=xl/drawings/drawing53.xml><?xml version="1.0" encoding="utf-8"?>
<xdr:wsDr xmlns:xdr="http://schemas.openxmlformats.org/drawingml/2006/spreadsheetDrawing" xmlns:a="http://schemas.openxmlformats.org/drawingml/2006/main">
  <xdr:twoCellAnchor>
    <xdr:from>
      <xdr:col>0</xdr:col>
      <xdr:colOff>31750</xdr:colOff>
      <xdr:row>0</xdr:row>
      <xdr:rowOff>29440</xdr:rowOff>
    </xdr:from>
    <xdr:to>
      <xdr:col>14</xdr:col>
      <xdr:colOff>527050</xdr:colOff>
      <xdr:row>32</xdr:row>
      <xdr:rowOff>124690</xdr:rowOff>
    </xdr:to>
    <xdr:graphicFrame macro="">
      <xdr:nvGraphicFramePr>
        <xdr:cNvPr id="2" name="Chart 1">
          <a:extLst>
            <a:ext uri="{FF2B5EF4-FFF2-40B4-BE49-F238E27FC236}">
              <a16:creationId xmlns:a16="http://schemas.microsoft.com/office/drawing/2014/main" id="{BA26E9B0-6A33-42AA-96AD-BD2F203B3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70</xdr:row>
      <xdr:rowOff>54426</xdr:rowOff>
    </xdr:from>
    <xdr:to>
      <xdr:col>14</xdr:col>
      <xdr:colOff>495300</xdr:colOff>
      <xdr:row>98</xdr:row>
      <xdr:rowOff>36281</xdr:rowOff>
    </xdr:to>
    <xdr:graphicFrame macro="">
      <xdr:nvGraphicFramePr>
        <xdr:cNvPr id="6" name="Chart 5">
          <a:extLst>
            <a:ext uri="{FF2B5EF4-FFF2-40B4-BE49-F238E27FC236}">
              <a16:creationId xmlns:a16="http://schemas.microsoft.com/office/drawing/2014/main" id="{6BFBB260-9A6E-404F-AD7A-7AFA3126F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36284</xdr:colOff>
      <xdr:row>33</xdr:row>
      <xdr:rowOff>127002</xdr:rowOff>
    </xdr:from>
    <xdr:to>
      <xdr:col>14</xdr:col>
      <xdr:colOff>531584</xdr:colOff>
      <xdr:row>65</xdr:row>
      <xdr:rowOff>104324</xdr:rowOff>
    </xdr:to>
    <xdr:graphicFrame macro="">
      <xdr:nvGraphicFramePr>
        <xdr:cNvPr id="8" name="Chart 7">
          <a:extLst>
            <a:ext uri="{FF2B5EF4-FFF2-40B4-BE49-F238E27FC236}">
              <a16:creationId xmlns:a16="http://schemas.microsoft.com/office/drawing/2014/main" id="{428AE658-1F5B-4A44-9A2D-38E567A43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4.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7a: Financial Hardships, SHED Survey 2015-2022, All Adults </a:t>
          </a:r>
        </a:p>
      </cdr:txBody>
    </cdr:sp>
  </cdr:relSizeAnchor>
</c:userShapes>
</file>

<file path=xl/drawings/drawing55.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Extra Figure: Financial Hardships, SHED Survey 2015-2022, Adults Other than Parents </a:t>
          </a:r>
        </a:p>
      </cdr:txBody>
    </cdr:sp>
  </cdr:relSizeAnchor>
</c:userShapes>
</file>

<file path=xl/drawings/drawing56.xml><?xml version="1.0" encoding="utf-8"?>
<c:userShapes xmlns:c="http://schemas.openxmlformats.org/drawingml/2006/chart">
  <cdr:relSizeAnchor xmlns:cdr="http://schemas.openxmlformats.org/drawingml/2006/chartDrawing">
    <cdr:from>
      <cdr:x>0.00996</cdr:x>
      <cdr:y>0.02004</cdr:y>
    </cdr:from>
    <cdr:to>
      <cdr:x>0.98043</cdr:x>
      <cdr:y>0.07733</cdr:y>
    </cdr:to>
    <cdr:sp macro="" textlink="">
      <cdr:nvSpPr>
        <cdr:cNvPr id="359425" name="Text Box 1"/>
        <cdr:cNvSpPr txBox="1">
          <a:spLocks xmlns:a="http://schemas.openxmlformats.org/drawingml/2006/main" noChangeArrowheads="1"/>
        </cdr:cNvSpPr>
      </cdr:nvSpPr>
      <cdr:spPr bwMode="auto">
        <a:xfrm xmlns:a="http://schemas.openxmlformats.org/drawingml/2006/main">
          <a:off x="93374" y="125343"/>
          <a:ext cx="8761357" cy="3820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cs typeface="Arial"/>
            </a:rPr>
            <a:t>Appendix Figure 7b: Financial Hardships, SHED Survey 2015-2022, Parents with Children</a:t>
          </a:r>
        </a:p>
      </cdr:txBody>
    </cdr:sp>
  </cdr:relSizeAnchor>
</c:userShapes>
</file>

<file path=xl/drawings/drawing57.xml><?xml version="1.0" encoding="utf-8"?>
<xdr:wsDr xmlns:xdr="http://schemas.openxmlformats.org/drawingml/2006/spreadsheetDrawing" xmlns:a="http://schemas.openxmlformats.org/drawingml/2006/main">
  <xdr:twoCellAnchor>
    <xdr:from>
      <xdr:col>0</xdr:col>
      <xdr:colOff>0</xdr:colOff>
      <xdr:row>23</xdr:row>
      <xdr:rowOff>4483</xdr:rowOff>
    </xdr:from>
    <xdr:to>
      <xdr:col>7</xdr:col>
      <xdr:colOff>606552</xdr:colOff>
      <xdr:row>40</xdr:row>
      <xdr:rowOff>2959</xdr:rowOff>
    </xdr:to>
    <xdr:graphicFrame macro="">
      <xdr:nvGraphicFramePr>
        <xdr:cNvPr id="2" name="Chart 1">
          <a:extLst>
            <a:ext uri="{FF2B5EF4-FFF2-40B4-BE49-F238E27FC236}">
              <a16:creationId xmlns:a16="http://schemas.microsoft.com/office/drawing/2014/main" id="{7A21DD97-9C54-4E22-85C2-41B216C00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9526</xdr:colOff>
      <xdr:row>23</xdr:row>
      <xdr:rowOff>4483</xdr:rowOff>
    </xdr:from>
    <xdr:to>
      <xdr:col>16</xdr:col>
      <xdr:colOff>6478</xdr:colOff>
      <xdr:row>39</xdr:row>
      <xdr:rowOff>184315</xdr:rowOff>
    </xdr:to>
    <xdr:graphicFrame macro="">
      <xdr:nvGraphicFramePr>
        <xdr:cNvPr id="3" name="Chart 2">
          <a:extLst>
            <a:ext uri="{FF2B5EF4-FFF2-40B4-BE49-F238E27FC236}">
              <a16:creationId xmlns:a16="http://schemas.microsoft.com/office/drawing/2014/main" id="{7E6E69AA-8CA5-47B7-93EF-9D187F6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8</xdr:col>
      <xdr:colOff>0</xdr:colOff>
      <xdr:row>17</xdr:row>
      <xdr:rowOff>371475</xdr:rowOff>
    </xdr:to>
    <xdr:graphicFrame macro="">
      <xdr:nvGraphicFramePr>
        <xdr:cNvPr id="4" name="Chart 3">
          <a:extLst>
            <a:ext uri="{FF2B5EF4-FFF2-40B4-BE49-F238E27FC236}">
              <a16:creationId xmlns:a16="http://schemas.microsoft.com/office/drawing/2014/main" id="{CCF4FA99-E0EF-4296-9FE3-940650A1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610912</xdr:colOff>
      <xdr:row>1</xdr:row>
      <xdr:rowOff>0</xdr:rowOff>
    </xdr:from>
    <xdr:to>
      <xdr:col>16</xdr:col>
      <xdr:colOff>4728</xdr:colOff>
      <xdr:row>17</xdr:row>
      <xdr:rowOff>187466</xdr:rowOff>
    </xdr:to>
    <xdr:graphicFrame macro="">
      <xdr:nvGraphicFramePr>
        <xdr:cNvPr id="5" name="Chart 4">
          <a:extLst>
            <a:ext uri="{FF2B5EF4-FFF2-40B4-BE49-F238E27FC236}">
              <a16:creationId xmlns:a16="http://schemas.microsoft.com/office/drawing/2014/main" id="{A884A871-5211-42FC-9474-56DED2DAB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0</xdr:rowOff>
    </xdr:from>
    <xdr:to>
      <xdr:col>7</xdr:col>
      <xdr:colOff>606552</xdr:colOff>
      <xdr:row>62</xdr:row>
      <xdr:rowOff>179832</xdr:rowOff>
    </xdr:to>
    <xdr:graphicFrame macro="">
      <xdr:nvGraphicFramePr>
        <xdr:cNvPr id="6" name="Chart 5">
          <a:extLst>
            <a:ext uri="{FF2B5EF4-FFF2-40B4-BE49-F238E27FC236}">
              <a16:creationId xmlns:a16="http://schemas.microsoft.com/office/drawing/2014/main" id="{E672E7F7-E2B2-435C-8091-8D5D6CC51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46</xdr:row>
      <xdr:rowOff>0</xdr:rowOff>
    </xdr:from>
    <xdr:to>
      <xdr:col>15</xdr:col>
      <xdr:colOff>606552</xdr:colOff>
      <xdr:row>62</xdr:row>
      <xdr:rowOff>179832</xdr:rowOff>
    </xdr:to>
    <xdr:graphicFrame macro="">
      <xdr:nvGraphicFramePr>
        <xdr:cNvPr id="7" name="Chart 6">
          <a:extLst>
            <a:ext uri="{FF2B5EF4-FFF2-40B4-BE49-F238E27FC236}">
              <a16:creationId xmlns:a16="http://schemas.microsoft.com/office/drawing/2014/main" id="{48C55EA9-8C49-4B62-847C-AB2AC5C17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26213-41AA-44C1-AA95-E8653D360F86}">
  <sheetPr>
    <pageSetUpPr fitToPage="1"/>
  </sheetPr>
  <dimension ref="A1:S76"/>
  <sheetViews>
    <sheetView zoomScale="175" zoomScaleNormal="175" zoomScaleSheetLayoutView="85" workbookViewId="0">
      <selection activeCell="C27" sqref="C27"/>
    </sheetView>
  </sheetViews>
  <sheetFormatPr defaultColWidth="8.77734375" defaultRowHeight="14.4" x14ac:dyDescent="0.3"/>
  <cols>
    <col min="1" max="1" width="13" style="46" customWidth="1"/>
    <col min="2" max="8" width="11.5546875" style="46" customWidth="1"/>
    <col min="9" max="9" width="8.77734375" style="46"/>
    <col min="10" max="11" width="12" style="46" customWidth="1"/>
    <col min="12" max="12" width="16.5546875" style="46" customWidth="1"/>
    <col min="13" max="16384" width="8.77734375" style="46"/>
  </cols>
  <sheetData>
    <row r="1" spans="9:13" ht="15" customHeight="1" x14ac:dyDescent="0.3">
      <c r="K1" s="46" t="s">
        <v>70</v>
      </c>
      <c r="L1" s="46" t="s">
        <v>87</v>
      </c>
      <c r="M1" s="46" t="s">
        <v>91</v>
      </c>
    </row>
    <row r="2" spans="9:13" x14ac:dyDescent="0.3">
      <c r="I2" s="46">
        <v>2020</v>
      </c>
      <c r="J2" s="48" t="s">
        <v>71</v>
      </c>
      <c r="K2" s="46" t="str">
        <f t="shared" ref="K2:K43" si="0">J2&amp;"-"&amp;RIGHT(I2,2)</f>
        <v>Jan-20</v>
      </c>
      <c r="L2" s="47"/>
    </row>
    <row r="3" spans="9:13" x14ac:dyDescent="0.3">
      <c r="I3" s="46">
        <v>2020</v>
      </c>
      <c r="J3" s="48" t="s">
        <v>72</v>
      </c>
      <c r="K3" s="46" t="str">
        <f t="shared" si="0"/>
        <v>Feb-20</v>
      </c>
      <c r="L3" s="47"/>
    </row>
    <row r="4" spans="9:13" x14ac:dyDescent="0.3">
      <c r="I4" s="46">
        <v>2020</v>
      </c>
      <c r="J4" s="48" t="s">
        <v>73</v>
      </c>
      <c r="K4" s="46" t="str">
        <f t="shared" si="0"/>
        <v>Mar-20</v>
      </c>
      <c r="L4" s="47"/>
    </row>
    <row r="5" spans="9:13" x14ac:dyDescent="0.3">
      <c r="I5" s="46">
        <v>2020</v>
      </c>
      <c r="J5" s="48" t="s">
        <v>74</v>
      </c>
      <c r="K5" s="46" t="str">
        <f t="shared" si="0"/>
        <v>Apr-20</v>
      </c>
      <c r="L5" s="47" t="s">
        <v>88</v>
      </c>
      <c r="M5" s="46">
        <v>1</v>
      </c>
    </row>
    <row r="6" spans="9:13" x14ac:dyDescent="0.3">
      <c r="I6" s="46">
        <v>2020</v>
      </c>
      <c r="J6" s="48" t="s">
        <v>75</v>
      </c>
      <c r="K6" s="46" t="str">
        <f t="shared" si="0"/>
        <v>May-20</v>
      </c>
      <c r="L6" s="47"/>
    </row>
    <row r="7" spans="9:13" x14ac:dyDescent="0.3">
      <c r="I7" s="46">
        <v>2020</v>
      </c>
      <c r="J7" s="48" t="s">
        <v>76</v>
      </c>
      <c r="K7" s="46" t="str">
        <f t="shared" si="0"/>
        <v>June-20</v>
      </c>
      <c r="L7" s="47" t="s">
        <v>205</v>
      </c>
      <c r="M7" s="46">
        <v>-1</v>
      </c>
    </row>
    <row r="8" spans="9:13" x14ac:dyDescent="0.3">
      <c r="I8" s="46">
        <v>2020</v>
      </c>
      <c r="J8" s="48" t="s">
        <v>77</v>
      </c>
      <c r="K8" s="46" t="str">
        <f t="shared" si="0"/>
        <v>July-20</v>
      </c>
      <c r="L8" s="47"/>
    </row>
    <row r="9" spans="9:13" x14ac:dyDescent="0.3">
      <c r="I9" s="46">
        <v>2020</v>
      </c>
      <c r="J9" s="48" t="s">
        <v>78</v>
      </c>
      <c r="K9" s="46" t="str">
        <f t="shared" si="0"/>
        <v>Aug-20</v>
      </c>
      <c r="L9" s="47"/>
    </row>
    <row r="10" spans="9:13" ht="15" customHeight="1" x14ac:dyDescent="0.3">
      <c r="I10" s="46">
        <v>2020</v>
      </c>
      <c r="J10" s="48" t="s">
        <v>79</v>
      </c>
      <c r="K10" s="46" t="str">
        <f t="shared" si="0"/>
        <v>Sep-20</v>
      </c>
      <c r="L10" s="47"/>
    </row>
    <row r="11" spans="9:13" x14ac:dyDescent="0.3">
      <c r="I11" s="46">
        <v>2020</v>
      </c>
      <c r="J11" s="48" t="s">
        <v>80</v>
      </c>
      <c r="K11" s="46" t="str">
        <f t="shared" si="0"/>
        <v>Oct-20</v>
      </c>
      <c r="L11" s="47"/>
    </row>
    <row r="12" spans="9:13" x14ac:dyDescent="0.3">
      <c r="I12" s="46">
        <v>2020</v>
      </c>
      <c r="J12" s="48" t="s">
        <v>81</v>
      </c>
      <c r="K12" s="46" t="str">
        <f t="shared" si="0"/>
        <v>Nov-20</v>
      </c>
      <c r="L12" s="47"/>
    </row>
    <row r="13" spans="9:13" x14ac:dyDescent="0.3">
      <c r="I13" s="46">
        <v>2020</v>
      </c>
      <c r="J13" s="48" t="s">
        <v>82</v>
      </c>
      <c r="K13" s="46" t="str">
        <f t="shared" si="0"/>
        <v>Dec-20</v>
      </c>
      <c r="L13" s="47" t="s">
        <v>207</v>
      </c>
      <c r="M13" s="46">
        <v>-1</v>
      </c>
    </row>
    <row r="14" spans="9:13" x14ac:dyDescent="0.3">
      <c r="I14" s="46">
        <v>2021</v>
      </c>
      <c r="J14" s="48" t="s">
        <v>71</v>
      </c>
      <c r="K14" s="46" t="str">
        <f t="shared" si="0"/>
        <v>Jan-21</v>
      </c>
      <c r="L14" s="47" t="s">
        <v>89</v>
      </c>
      <c r="M14" s="46">
        <v>1</v>
      </c>
    </row>
    <row r="15" spans="9:13" x14ac:dyDescent="0.3">
      <c r="I15" s="46">
        <v>2021</v>
      </c>
      <c r="J15" s="48" t="s">
        <v>72</v>
      </c>
      <c r="K15" s="46" t="str">
        <f t="shared" si="0"/>
        <v>Feb-21</v>
      </c>
      <c r="L15" s="47"/>
    </row>
    <row r="16" spans="9:13" x14ac:dyDescent="0.3">
      <c r="I16" s="46">
        <v>2021</v>
      </c>
      <c r="J16" s="48" t="s">
        <v>73</v>
      </c>
      <c r="K16" s="46" t="str">
        <f t="shared" si="0"/>
        <v>Mar-21</v>
      </c>
      <c r="L16" s="47" t="s">
        <v>90</v>
      </c>
      <c r="M16" s="46">
        <v>1</v>
      </c>
    </row>
    <row r="17" spans="1:14" x14ac:dyDescent="0.3">
      <c r="I17" s="46">
        <v>2021</v>
      </c>
      <c r="J17" s="48" t="s">
        <v>74</v>
      </c>
      <c r="K17" s="46" t="str">
        <f t="shared" si="0"/>
        <v>Apr-21</v>
      </c>
      <c r="L17" s="47"/>
    </row>
    <row r="18" spans="1:14" x14ac:dyDescent="0.3">
      <c r="I18" s="46">
        <v>2021</v>
      </c>
      <c r="J18" s="48" t="s">
        <v>75</v>
      </c>
      <c r="K18" s="46" t="str">
        <f t="shared" si="0"/>
        <v>May-21</v>
      </c>
      <c r="L18" s="47" t="s">
        <v>206</v>
      </c>
      <c r="M18" s="46">
        <v>-1</v>
      </c>
    </row>
    <row r="19" spans="1:14" x14ac:dyDescent="0.3">
      <c r="I19" s="46">
        <v>2021</v>
      </c>
      <c r="J19" s="48" t="s">
        <v>83</v>
      </c>
      <c r="K19" s="46" t="str">
        <f t="shared" si="0"/>
        <v>Jun-21</v>
      </c>
      <c r="L19" s="47"/>
    </row>
    <row r="20" spans="1:14" ht="15" customHeight="1" x14ac:dyDescent="0.3">
      <c r="A20" s="151" t="s">
        <v>286</v>
      </c>
      <c r="B20" s="151"/>
      <c r="C20" s="151"/>
      <c r="D20" s="151"/>
      <c r="E20" s="151"/>
      <c r="F20" s="151"/>
      <c r="G20" s="151"/>
      <c r="H20" s="151"/>
      <c r="I20" s="46">
        <v>2021</v>
      </c>
      <c r="J20" s="48" t="s">
        <v>84</v>
      </c>
      <c r="K20" s="46" t="str">
        <f t="shared" si="0"/>
        <v>Jul-21</v>
      </c>
      <c r="L20" s="47" t="s">
        <v>110</v>
      </c>
      <c r="M20" s="46">
        <v>0</v>
      </c>
    </row>
    <row r="21" spans="1:14" ht="15" customHeight="1" x14ac:dyDescent="0.3">
      <c r="A21" s="151"/>
      <c r="B21" s="151"/>
      <c r="C21" s="151"/>
      <c r="D21" s="151"/>
      <c r="E21" s="151"/>
      <c r="F21" s="151"/>
      <c r="G21" s="151"/>
      <c r="H21" s="151"/>
      <c r="I21" s="46">
        <v>2021</v>
      </c>
      <c r="J21" s="48" t="s">
        <v>78</v>
      </c>
      <c r="K21" s="46" t="str">
        <f t="shared" si="0"/>
        <v>Aug-21</v>
      </c>
      <c r="L21" s="47"/>
    </row>
    <row r="22" spans="1:14" ht="15" customHeight="1" x14ac:dyDescent="0.3">
      <c r="A22" s="151"/>
      <c r="B22" s="151"/>
      <c r="C22" s="151"/>
      <c r="D22" s="151"/>
      <c r="E22" s="151"/>
      <c r="F22" s="151"/>
      <c r="G22" s="151"/>
      <c r="H22" s="151"/>
      <c r="I22" s="46">
        <v>2021</v>
      </c>
      <c r="J22" s="48" t="s">
        <v>79</v>
      </c>
      <c r="K22" s="46" t="str">
        <f t="shared" si="0"/>
        <v>Sep-21</v>
      </c>
      <c r="L22" s="47"/>
    </row>
    <row r="23" spans="1:14" ht="15" customHeight="1" x14ac:dyDescent="0.3">
      <c r="A23" s="151"/>
      <c r="B23" s="151"/>
      <c r="C23" s="151"/>
      <c r="D23" s="151"/>
      <c r="E23" s="151"/>
      <c r="F23" s="151"/>
      <c r="G23" s="151"/>
      <c r="H23" s="151"/>
      <c r="I23" s="46">
        <v>2021</v>
      </c>
      <c r="J23" s="48" t="s">
        <v>80</v>
      </c>
      <c r="K23" s="46" t="str">
        <f t="shared" si="0"/>
        <v>Oct-21</v>
      </c>
      <c r="L23" s="47"/>
    </row>
    <row r="24" spans="1:14" ht="15" customHeight="1" x14ac:dyDescent="0.3">
      <c r="A24" s="151"/>
      <c r="B24" s="151"/>
      <c r="C24" s="151"/>
      <c r="D24" s="151"/>
      <c r="E24" s="151"/>
      <c r="F24" s="151"/>
      <c r="G24" s="151"/>
      <c r="H24" s="151"/>
      <c r="I24" s="46">
        <v>2021</v>
      </c>
      <c r="J24" s="48" t="s">
        <v>81</v>
      </c>
      <c r="K24" s="46" t="str">
        <f t="shared" si="0"/>
        <v>Nov-21</v>
      </c>
      <c r="L24" s="47"/>
    </row>
    <row r="25" spans="1:14" x14ac:dyDescent="0.3">
      <c r="A25" s="151"/>
      <c r="B25" s="151"/>
      <c r="C25" s="151"/>
      <c r="D25" s="151"/>
      <c r="E25" s="151"/>
      <c r="F25" s="151"/>
      <c r="G25" s="151"/>
      <c r="H25" s="151"/>
      <c r="I25" s="46">
        <v>2021</v>
      </c>
      <c r="J25" s="48" t="s">
        <v>82</v>
      </c>
      <c r="K25" s="46" t="str">
        <f t="shared" si="0"/>
        <v>Dec-21</v>
      </c>
      <c r="N25" s="49"/>
    </row>
    <row r="26" spans="1:14" x14ac:dyDescent="0.3">
      <c r="A26" s="50"/>
      <c r="B26" s="50"/>
      <c r="C26" s="50"/>
      <c r="D26" s="50"/>
      <c r="E26" s="50"/>
      <c r="F26" s="50"/>
      <c r="G26" s="50"/>
      <c r="H26" s="50"/>
      <c r="I26" s="46">
        <v>2022</v>
      </c>
      <c r="J26" s="48" t="s">
        <v>71</v>
      </c>
      <c r="K26" s="46" t="str">
        <f t="shared" si="0"/>
        <v>Jan-22</v>
      </c>
      <c r="L26" s="52"/>
    </row>
    <row r="27" spans="1:14" x14ac:dyDescent="0.3">
      <c r="A27" s="51"/>
      <c r="B27" s="126"/>
      <c r="C27" s="126"/>
      <c r="D27" s="51"/>
      <c r="E27" s="51"/>
      <c r="F27" s="51"/>
      <c r="G27" s="51"/>
      <c r="H27" s="51"/>
      <c r="I27" s="46">
        <v>2022</v>
      </c>
      <c r="J27" s="48" t="s">
        <v>72</v>
      </c>
      <c r="K27" s="46" t="str">
        <f t="shared" si="0"/>
        <v>Feb-22</v>
      </c>
      <c r="L27" s="47" t="s">
        <v>285</v>
      </c>
      <c r="M27" s="46">
        <v>0</v>
      </c>
    </row>
    <row r="28" spans="1:14" x14ac:dyDescent="0.3">
      <c r="A28" s="51"/>
      <c r="B28" s="126"/>
      <c r="C28" s="126"/>
      <c r="D28" s="51"/>
      <c r="E28" s="51"/>
      <c r="F28" s="51"/>
      <c r="G28" s="51"/>
      <c r="H28" s="51"/>
      <c r="I28" s="46">
        <v>2022</v>
      </c>
      <c r="J28" s="48" t="s">
        <v>73</v>
      </c>
      <c r="K28" s="46" t="str">
        <f t="shared" si="0"/>
        <v>Mar-22</v>
      </c>
      <c r="L28" s="52"/>
    </row>
    <row r="29" spans="1:14" x14ac:dyDescent="0.3">
      <c r="B29" s="127"/>
      <c r="C29" s="127"/>
      <c r="I29" s="46">
        <v>2022</v>
      </c>
      <c r="J29" s="48" t="s">
        <v>74</v>
      </c>
      <c r="K29" s="46" t="str">
        <f t="shared" si="0"/>
        <v>Apr-22</v>
      </c>
      <c r="L29" s="52"/>
    </row>
    <row r="30" spans="1:14" x14ac:dyDescent="0.3">
      <c r="B30" s="127"/>
      <c r="C30" s="127"/>
      <c r="I30" s="46">
        <v>2022</v>
      </c>
      <c r="J30" s="48" t="s">
        <v>75</v>
      </c>
      <c r="K30" s="46" t="str">
        <f t="shared" si="0"/>
        <v>May-22</v>
      </c>
      <c r="L30" s="52"/>
    </row>
    <row r="31" spans="1:14" x14ac:dyDescent="0.3">
      <c r="B31" s="127"/>
      <c r="C31" s="127"/>
      <c r="I31" s="46">
        <v>2022</v>
      </c>
      <c r="J31" s="48" t="s">
        <v>76</v>
      </c>
      <c r="K31" s="46" t="str">
        <f t="shared" si="0"/>
        <v>June-22</v>
      </c>
      <c r="L31" s="52"/>
    </row>
    <row r="32" spans="1:14" x14ac:dyDescent="0.3">
      <c r="B32" s="127"/>
      <c r="C32" s="127"/>
      <c r="I32" s="46">
        <v>2022</v>
      </c>
      <c r="J32" s="48" t="s">
        <v>71</v>
      </c>
      <c r="K32" s="46" t="str">
        <f t="shared" si="0"/>
        <v>Jan-22</v>
      </c>
    </row>
    <row r="33" spans="1:19" x14ac:dyDescent="0.3">
      <c r="B33" s="127"/>
      <c r="C33" s="127"/>
      <c r="I33" s="46">
        <v>2022</v>
      </c>
      <c r="J33" s="48" t="s">
        <v>72</v>
      </c>
      <c r="K33" s="46" t="str">
        <f t="shared" si="0"/>
        <v>Feb-22</v>
      </c>
    </row>
    <row r="34" spans="1:19" x14ac:dyDescent="0.3">
      <c r="I34" s="46">
        <v>2022</v>
      </c>
      <c r="J34" s="48" t="s">
        <v>73</v>
      </c>
      <c r="K34" s="46" t="str">
        <f t="shared" si="0"/>
        <v>Mar-22</v>
      </c>
    </row>
    <row r="35" spans="1:19" x14ac:dyDescent="0.3">
      <c r="I35" s="46">
        <v>2022</v>
      </c>
      <c r="J35" s="48" t="s">
        <v>74</v>
      </c>
      <c r="K35" s="46" t="str">
        <f t="shared" si="0"/>
        <v>Apr-22</v>
      </c>
    </row>
    <row r="36" spans="1:19" x14ac:dyDescent="0.3">
      <c r="I36" s="46">
        <v>2022</v>
      </c>
      <c r="J36" s="48" t="s">
        <v>75</v>
      </c>
      <c r="K36" s="46" t="str">
        <f t="shared" si="0"/>
        <v>May-22</v>
      </c>
      <c r="S36" s="46" t="s">
        <v>85</v>
      </c>
    </row>
    <row r="37" spans="1:19" x14ac:dyDescent="0.3">
      <c r="I37" s="46">
        <v>2022</v>
      </c>
      <c r="J37" s="48" t="s">
        <v>76</v>
      </c>
      <c r="K37" s="46" t="str">
        <f t="shared" si="0"/>
        <v>June-22</v>
      </c>
      <c r="S37" s="49" t="e">
        <f>AVERAGE(#REF!)</f>
        <v>#REF!</v>
      </c>
    </row>
    <row r="38" spans="1:19" x14ac:dyDescent="0.3">
      <c r="I38" s="46">
        <v>2022</v>
      </c>
      <c r="J38" s="48" t="s">
        <v>77</v>
      </c>
      <c r="K38" s="46" t="str">
        <f t="shared" si="0"/>
        <v>July-22</v>
      </c>
      <c r="M38" s="52"/>
      <c r="N38" s="47"/>
    </row>
    <row r="39" spans="1:19" x14ac:dyDescent="0.3">
      <c r="A39" s="50"/>
      <c r="B39" s="50"/>
      <c r="C39" s="50"/>
      <c r="D39" s="50"/>
      <c r="E39" s="50"/>
      <c r="F39" s="50"/>
      <c r="G39" s="50"/>
      <c r="H39" s="50"/>
      <c r="I39" s="46">
        <v>2022</v>
      </c>
      <c r="J39" s="48" t="s">
        <v>78</v>
      </c>
      <c r="K39" s="46" t="str">
        <f t="shared" si="0"/>
        <v>Aug-22</v>
      </c>
      <c r="M39" s="52"/>
      <c r="N39" s="47"/>
    </row>
    <row r="40" spans="1:19" x14ac:dyDescent="0.3">
      <c r="A40" s="50"/>
      <c r="B40" s="50"/>
      <c r="C40" s="50"/>
      <c r="D40" s="50"/>
      <c r="E40" s="50"/>
      <c r="F40" s="50"/>
      <c r="G40" s="50"/>
      <c r="H40" s="50"/>
      <c r="I40" s="46">
        <v>2022</v>
      </c>
      <c r="J40" s="48" t="s">
        <v>79</v>
      </c>
      <c r="K40" s="46" t="str">
        <f t="shared" si="0"/>
        <v>Sep-22</v>
      </c>
      <c r="M40" s="52"/>
      <c r="N40" s="47"/>
    </row>
    <row r="41" spans="1:19" x14ac:dyDescent="0.3">
      <c r="A41" s="50"/>
      <c r="B41" s="50"/>
      <c r="C41" s="50"/>
      <c r="D41" s="50"/>
      <c r="E41" s="50"/>
      <c r="F41" s="50"/>
      <c r="G41" s="50"/>
      <c r="H41" s="50"/>
      <c r="I41" s="46">
        <v>2022</v>
      </c>
      <c r="J41" s="48" t="s">
        <v>80</v>
      </c>
      <c r="K41" s="46" t="str">
        <f t="shared" si="0"/>
        <v>Oct-22</v>
      </c>
      <c r="M41" s="52"/>
      <c r="N41" s="47"/>
    </row>
    <row r="42" spans="1:19" x14ac:dyDescent="0.3">
      <c r="I42" s="46">
        <v>2022</v>
      </c>
      <c r="J42" s="48" t="s">
        <v>81</v>
      </c>
      <c r="K42" s="46" t="str">
        <f t="shared" si="0"/>
        <v>Nov-22</v>
      </c>
      <c r="M42" s="52"/>
      <c r="N42" s="47"/>
      <c r="S42" s="46" t="s">
        <v>86</v>
      </c>
    </row>
    <row r="43" spans="1:19" x14ac:dyDescent="0.3">
      <c r="I43" s="46">
        <v>2022</v>
      </c>
      <c r="J43" s="48" t="s">
        <v>82</v>
      </c>
      <c r="K43" s="46" t="str">
        <f t="shared" si="0"/>
        <v>Dec-22</v>
      </c>
      <c r="M43" s="52"/>
      <c r="N43" s="47"/>
      <c r="S43" s="49" t="e">
        <f>AVERAGE(#REF!)</f>
        <v>#REF!</v>
      </c>
    </row>
    <row r="45" spans="1:19" ht="15" customHeight="1" x14ac:dyDescent="0.3"/>
    <row r="47" spans="1:19" ht="15" customHeight="1" x14ac:dyDescent="0.3"/>
    <row r="48" spans="1:19" ht="15" customHeight="1" x14ac:dyDescent="0.3"/>
    <row r="76" ht="15" customHeight="1" x14ac:dyDescent="0.3"/>
  </sheetData>
  <mergeCells count="1">
    <mergeCell ref="A20:H25"/>
  </mergeCells>
  <pageMargins left="0.7" right="0.7" top="0.75" bottom="0.75" header="0.3" footer="0.3"/>
  <pageSetup scale="98" fitToHeight="5" orientation="portrait" blackAndWhite="1"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645"/>
  <sheetViews>
    <sheetView topLeftCell="G28" zoomScale="99" zoomScaleNormal="99" zoomScaleSheetLayoutView="40" workbookViewId="0">
      <selection activeCell="R28" sqref="R28"/>
    </sheetView>
  </sheetViews>
  <sheetFormatPr defaultRowHeight="13.2" x14ac:dyDescent="0.25"/>
  <cols>
    <col min="3" max="3" width="15.5546875" customWidth="1"/>
    <col min="24" max="25" width="20.5546875" customWidth="1"/>
  </cols>
  <sheetData>
    <row r="1" spans="17:27" ht="38.25" customHeight="1" x14ac:dyDescent="0.25">
      <c r="R1" t="s">
        <v>44</v>
      </c>
      <c r="S1" s="37" t="s">
        <v>231</v>
      </c>
      <c r="T1" t="s">
        <v>50</v>
      </c>
      <c r="U1" t="s">
        <v>92</v>
      </c>
      <c r="V1" t="s">
        <v>111</v>
      </c>
      <c r="W1" t="s">
        <v>317</v>
      </c>
      <c r="X1" s="44" t="s">
        <v>36</v>
      </c>
      <c r="Y1" s="44"/>
    </row>
    <row r="2" spans="17:27" ht="13.5" customHeight="1" x14ac:dyDescent="0.25">
      <c r="Q2" t="s">
        <v>0</v>
      </c>
      <c r="S2" t="s">
        <v>186</v>
      </c>
      <c r="X2" s="44"/>
      <c r="Y2" s="44"/>
    </row>
    <row r="3" spans="17:27" ht="13.5" customHeight="1" x14ac:dyDescent="0.25">
      <c r="Q3" s="4">
        <v>2015</v>
      </c>
      <c r="R3" s="7">
        <v>0.13500000000000001</v>
      </c>
      <c r="S3">
        <v>0.13498726487159729</v>
      </c>
      <c r="T3">
        <v>0.13497227430343628</v>
      </c>
      <c r="U3">
        <v>0.14499999999999999</v>
      </c>
      <c r="V3">
        <v>0.13499017059803009</v>
      </c>
      <c r="W3">
        <v>0.13497227430343628</v>
      </c>
    </row>
    <row r="4" spans="17:27" ht="13.5" customHeight="1" x14ac:dyDescent="0.25">
      <c r="Q4" s="4">
        <f>Q3+1</f>
        <v>2016</v>
      </c>
      <c r="R4" s="7">
        <v>0.127</v>
      </c>
      <c r="S4">
        <v>0.12537944316864014</v>
      </c>
      <c r="T4">
        <v>0.12762996554374695</v>
      </c>
      <c r="U4">
        <v>0.14000000000000001</v>
      </c>
      <c r="V4">
        <v>0.1266273707151413</v>
      </c>
      <c r="W4">
        <v>0.12983250617980957</v>
      </c>
    </row>
    <row r="5" spans="17:27" ht="13.5" customHeight="1" x14ac:dyDescent="0.25">
      <c r="Q5" s="4">
        <f>Q4+1</f>
        <v>2017</v>
      </c>
      <c r="R5" s="7">
        <v>0.12300000000000001</v>
      </c>
      <c r="S5">
        <v>0.12367713451385498</v>
      </c>
      <c r="T5">
        <v>0.12051744014024734</v>
      </c>
      <c r="U5">
        <v>0.13</v>
      </c>
      <c r="V5">
        <v>0.12453066557645798</v>
      </c>
      <c r="W5">
        <v>0.1237991526722908</v>
      </c>
    </row>
    <row r="6" spans="17:27" ht="13.5" customHeight="1" x14ac:dyDescent="0.3">
      <c r="Q6" s="4">
        <f>Q5+1</f>
        <v>2018</v>
      </c>
      <c r="R6" s="8">
        <v>0.11799999999999999</v>
      </c>
      <c r="S6">
        <v>0.11503075063228607</v>
      </c>
      <c r="T6">
        <v>0.1081540659070015</v>
      </c>
      <c r="U6">
        <v>0.128</v>
      </c>
      <c r="V6">
        <v>0.12207114696502686</v>
      </c>
      <c r="W6">
        <v>0.11316335201263428</v>
      </c>
    </row>
    <row r="7" spans="17:27" ht="13.5" customHeight="1" x14ac:dyDescent="0.25">
      <c r="Q7" s="4">
        <v>2019</v>
      </c>
      <c r="R7" s="7">
        <v>0.105</v>
      </c>
      <c r="S7">
        <v>9.9147789180278778E-2</v>
      </c>
      <c r="T7">
        <v>9.8137892782688141E-2</v>
      </c>
      <c r="U7">
        <v>0.11800000000000001</v>
      </c>
      <c r="V7">
        <v>0.11118321120738983</v>
      </c>
      <c r="W7">
        <v>0.10415948182344437</v>
      </c>
    </row>
    <row r="8" spans="17:27" ht="13.5" customHeight="1" x14ac:dyDescent="0.25">
      <c r="Q8" s="4">
        <v>2020</v>
      </c>
      <c r="R8" s="7">
        <v>0.115</v>
      </c>
      <c r="S8">
        <v>8.1074513494968414E-2</v>
      </c>
      <c r="T8">
        <v>8.137965202331543E-2</v>
      </c>
      <c r="U8">
        <v>9.1999999999999998E-2</v>
      </c>
      <c r="V8">
        <v>0.10287239402532578</v>
      </c>
      <c r="W8">
        <v>8.9752450585365295E-2</v>
      </c>
      <c r="X8" t="s">
        <v>115</v>
      </c>
      <c r="Z8" t="s">
        <v>116</v>
      </c>
    </row>
    <row r="9" spans="17:27" ht="13.5" customHeight="1" x14ac:dyDescent="0.25">
      <c r="Q9" s="4">
        <v>2021</v>
      </c>
      <c r="R9" s="7">
        <v>0.11600000000000001</v>
      </c>
      <c r="S9">
        <v>5.9002634137868881E-2</v>
      </c>
      <c r="T9">
        <v>7.4362434446811676E-2</v>
      </c>
      <c r="U9">
        <v>7.8E-2</v>
      </c>
      <c r="V9">
        <v>0.10840684920549393</v>
      </c>
      <c r="W9">
        <v>8.1201091408729553E-2</v>
      </c>
      <c r="X9">
        <f>+S9-S8</f>
        <v>-2.2071879357099533E-2</v>
      </c>
      <c r="Y9">
        <f>+T9-T8</f>
        <v>-7.0172175765037537E-3</v>
      </c>
      <c r="Z9">
        <f>+X9/S8</f>
        <v>-0.27224189706015739</v>
      </c>
      <c r="AA9">
        <f>+T9/T8-1</f>
        <v>-8.6228159030383944E-2</v>
      </c>
    </row>
    <row r="10" spans="17:27" ht="13.5" customHeight="1" x14ac:dyDescent="0.25">
      <c r="Q10" s="4">
        <v>2022</v>
      </c>
      <c r="R10" s="7">
        <v>0.115</v>
      </c>
      <c r="S10">
        <v>9.5468349754810333E-2</v>
      </c>
      <c r="T10">
        <v>6.0355763882398605E-2</v>
      </c>
      <c r="U10">
        <v>0.124</v>
      </c>
      <c r="V10">
        <v>0.10786361992359161</v>
      </c>
      <c r="W10">
        <v>6.7475348711013794E-2</v>
      </c>
      <c r="X10">
        <f>+S10-S9</f>
        <v>3.6465715616941452E-2</v>
      </c>
      <c r="Y10">
        <f>+T10-T9</f>
        <v>-1.4006670564413071E-2</v>
      </c>
      <c r="Z10">
        <f>+X10/S9</f>
        <v>0.61803538350056719</v>
      </c>
      <c r="AA10">
        <f>+T10/T9-1</f>
        <v>-0.18835680499986118</v>
      </c>
    </row>
    <row r="11" spans="17:27" ht="13.5" customHeight="1" x14ac:dyDescent="0.25">
      <c r="Q11" s="4"/>
      <c r="R11" s="7"/>
      <c r="T11">
        <f>0.018/(S10-T10)</f>
        <v>0.51263669572518611</v>
      </c>
      <c r="V11" s="53"/>
      <c r="W11" s="57"/>
    </row>
    <row r="12" spans="17:27" ht="13.5" customHeight="1" x14ac:dyDescent="0.25">
      <c r="Q12" s="4" t="s">
        <v>112</v>
      </c>
      <c r="R12" s="58">
        <f>+R7-R3</f>
        <v>-3.0000000000000013E-2</v>
      </c>
      <c r="S12" s="58">
        <f>+S7-S3</f>
        <v>-3.5839475691318512E-2</v>
      </c>
      <c r="T12" s="58">
        <f>+T7-T3</f>
        <v>-3.6834381520748138E-2</v>
      </c>
      <c r="U12" s="58">
        <f>+U7-U3</f>
        <v>-2.6999999999999982E-2</v>
      </c>
      <c r="V12" s="58">
        <f>+V7-V3</f>
        <v>-2.3806959390640259E-2</v>
      </c>
      <c r="W12" s="57"/>
    </row>
    <row r="13" spans="17:27" ht="13.5" customHeight="1" x14ac:dyDescent="0.25">
      <c r="Q13" s="4" t="s">
        <v>113</v>
      </c>
      <c r="R13" s="58">
        <f>+R10-R8</f>
        <v>0</v>
      </c>
      <c r="S13" s="58">
        <f>+S10-S8</f>
        <v>1.4393836259841919E-2</v>
      </c>
      <c r="T13" s="58">
        <f>+T10-T8</f>
        <v>-2.1023888140916824E-2</v>
      </c>
      <c r="U13" s="58">
        <f>+U10-U8</f>
        <v>3.2000000000000001E-2</v>
      </c>
      <c r="V13" s="58">
        <f>+V10-V8</f>
        <v>4.9912258982658386E-3</v>
      </c>
      <c r="W13" s="57"/>
    </row>
    <row r="14" spans="17:27" ht="13.5" customHeight="1" x14ac:dyDescent="0.25">
      <c r="Q14" s="4"/>
      <c r="R14" s="7"/>
      <c r="V14" s="53"/>
      <c r="W14" s="57"/>
    </row>
    <row r="15" spans="17:27" ht="13.5" customHeight="1" x14ac:dyDescent="0.25">
      <c r="Q15" s="4"/>
      <c r="R15" s="7"/>
      <c r="V15" s="53"/>
      <c r="W15" s="57"/>
    </row>
    <row r="16" spans="17:27" ht="13.5" customHeight="1" x14ac:dyDescent="0.25">
      <c r="Q16" s="4"/>
      <c r="R16" s="45"/>
      <c r="V16" s="53"/>
      <c r="W16" s="57"/>
    </row>
    <row r="17" spans="17:25" ht="13.5" customHeight="1" x14ac:dyDescent="0.25">
      <c r="Q17" s="4" t="s">
        <v>114</v>
      </c>
      <c r="R17" s="45"/>
      <c r="V17" s="53"/>
      <c r="W17" s="57"/>
    </row>
    <row r="18" spans="17:25" ht="13.5" customHeight="1" x14ac:dyDescent="0.25">
      <c r="Q18" s="4" t="s">
        <v>112</v>
      </c>
      <c r="R18" s="58">
        <f>+R7/R3-1</f>
        <v>-0.22222222222222232</v>
      </c>
      <c r="S18" s="58">
        <f>+S7/S3-1</f>
        <v>-0.26550264371538879</v>
      </c>
      <c r="T18" s="58">
        <f>+T7/T3-1</f>
        <v>-0.27290331818769953</v>
      </c>
      <c r="U18" s="58">
        <f>+U7/U3-1</f>
        <v>-0.18620689655172407</v>
      </c>
      <c r="V18" s="58">
        <f>+V7/V3-1</f>
        <v>-0.17636068822767803</v>
      </c>
      <c r="W18" s="57"/>
    </row>
    <row r="19" spans="17:25" ht="13.5" customHeight="1" x14ac:dyDescent="0.25">
      <c r="Q19" s="4" t="s">
        <v>113</v>
      </c>
      <c r="R19" s="58">
        <f>+R10/R8-1</f>
        <v>0</v>
      </c>
      <c r="S19" s="58">
        <f>+S10/S8-1</f>
        <v>0.17753836118591337</v>
      </c>
      <c r="T19" s="58">
        <f>+T10/T8-1</f>
        <v>-0.25834330349426216</v>
      </c>
      <c r="U19" s="58">
        <f>+U10/U8-1</f>
        <v>0.34782608695652173</v>
      </c>
      <c r="V19" s="58">
        <f>+V10/V8-1</f>
        <v>4.8518613234927344E-2</v>
      </c>
      <c r="W19" s="53"/>
      <c r="X19" s="53"/>
      <c r="Y19" s="57"/>
    </row>
    <row r="20" spans="17:25" ht="13.5" customHeight="1" x14ac:dyDescent="0.25">
      <c r="Q20" s="4"/>
      <c r="R20" s="45"/>
    </row>
    <row r="21" spans="17:25" ht="13.5" customHeight="1" x14ac:dyDescent="0.25">
      <c r="Q21" s="4"/>
      <c r="R21" s="45"/>
    </row>
    <row r="22" spans="17:25" ht="13.5" customHeight="1" x14ac:dyDescent="0.25">
      <c r="Q22" s="4"/>
      <c r="R22" s="45"/>
    </row>
    <row r="23" spans="17:25" ht="13.5" customHeight="1" x14ac:dyDescent="0.25">
      <c r="Q23" s="4"/>
      <c r="R23" s="45"/>
    </row>
    <row r="24" spans="17:25" ht="13.5" customHeight="1" x14ac:dyDescent="0.25">
      <c r="Q24" s="4"/>
      <c r="R24" s="7"/>
    </row>
    <row r="25" spans="17:25" ht="13.5" customHeight="1" x14ac:dyDescent="0.25">
      <c r="Q25" s="4"/>
      <c r="R25" s="7"/>
    </row>
    <row r="26" spans="17:25" ht="13.5" customHeight="1" x14ac:dyDescent="0.25">
      <c r="Q26" s="4"/>
      <c r="R26" s="7"/>
    </row>
    <row r="27" spans="17:25" ht="13.5" customHeight="1" x14ac:dyDescent="0.25">
      <c r="Q27" s="4"/>
      <c r="R27" s="7"/>
    </row>
    <row r="28" spans="17:25" ht="13.5" customHeight="1" x14ac:dyDescent="0.25">
      <c r="Q28" s="4"/>
      <c r="R28" s="7"/>
    </row>
    <row r="29" spans="17:25" ht="13.5" customHeight="1" x14ac:dyDescent="0.25">
      <c r="Q29" s="4"/>
      <c r="R29" s="7"/>
    </row>
    <row r="30" spans="17:25" ht="13.5" customHeight="1" x14ac:dyDescent="0.25">
      <c r="Q30" s="4"/>
      <c r="R30" s="7"/>
    </row>
    <row r="31" spans="17:25" ht="13.5" customHeight="1" x14ac:dyDescent="0.25">
      <c r="Q31" s="4"/>
      <c r="R31" s="7"/>
    </row>
    <row r="32" spans="17:25" ht="13.5" customHeight="1" x14ac:dyDescent="0.25">
      <c r="Q32" s="4"/>
      <c r="R32" s="7"/>
    </row>
    <row r="33" spans="17:27" ht="13.5" customHeight="1" x14ac:dyDescent="0.25">
      <c r="Q33" s="4"/>
      <c r="R33" s="7"/>
      <c r="S33" t="s">
        <v>178</v>
      </c>
    </row>
    <row r="34" spans="17:27" ht="16.5" customHeight="1" x14ac:dyDescent="0.25">
      <c r="R34" t="s">
        <v>44</v>
      </c>
      <c r="S34" s="37" t="s">
        <v>227</v>
      </c>
      <c r="T34" t="s">
        <v>50</v>
      </c>
      <c r="U34" t="s">
        <v>92</v>
      </c>
      <c r="W34" t="s">
        <v>317</v>
      </c>
    </row>
    <row r="35" spans="17:27" x14ac:dyDescent="0.25">
      <c r="Q35" t="s">
        <v>0</v>
      </c>
    </row>
    <row r="36" spans="17:27" ht="15.6" x14ac:dyDescent="0.25">
      <c r="Q36" s="4">
        <v>2015</v>
      </c>
      <c r="R36" s="7">
        <v>0.19699999999999998</v>
      </c>
      <c r="S36">
        <v>0.16347445547580719</v>
      </c>
      <c r="T36">
        <v>0.19632710516452789</v>
      </c>
      <c r="U36">
        <v>0.16200000000000001</v>
      </c>
      <c r="W36">
        <v>0.19632710516452789</v>
      </c>
    </row>
    <row r="37" spans="17:27" ht="15.6" x14ac:dyDescent="0.25">
      <c r="Q37" s="4">
        <f>Q36+1</f>
        <v>2016</v>
      </c>
      <c r="R37" s="7">
        <v>0.18</v>
      </c>
      <c r="S37">
        <v>0.14859388768672943</v>
      </c>
      <c r="T37">
        <v>0.18557238578796387</v>
      </c>
      <c r="U37">
        <v>0.152</v>
      </c>
      <c r="W37">
        <v>0.18843373656272888</v>
      </c>
    </row>
    <row r="38" spans="17:27" ht="15.6" x14ac:dyDescent="0.3">
      <c r="Q38" s="4">
        <f>Q37+1</f>
        <v>2017</v>
      </c>
      <c r="R38" s="8">
        <v>0.17499999999999999</v>
      </c>
      <c r="S38">
        <v>0.1460513174533844</v>
      </c>
      <c r="T38">
        <v>0.17667238414287567</v>
      </c>
      <c r="U38">
        <v>0.14199999999999999</v>
      </c>
      <c r="W38">
        <v>0.18136338889598846</v>
      </c>
    </row>
    <row r="39" spans="17:27" ht="15.6" x14ac:dyDescent="0.3">
      <c r="Q39" s="4">
        <f>Q38+1</f>
        <v>2018</v>
      </c>
      <c r="R39" s="8">
        <v>0.16200000000000001</v>
      </c>
      <c r="S39">
        <v>0.13027502596378326</v>
      </c>
      <c r="T39">
        <v>0.16292569041252136</v>
      </c>
      <c r="U39">
        <v>0.13699999999999998</v>
      </c>
      <c r="W39">
        <v>0.17017775774002075</v>
      </c>
    </row>
    <row r="40" spans="17:27" ht="15.6" x14ac:dyDescent="0.25">
      <c r="Q40" s="4">
        <v>2019</v>
      </c>
      <c r="R40" s="7">
        <v>0.14399999999999999</v>
      </c>
      <c r="S40">
        <v>0.1119672879576683</v>
      </c>
      <c r="T40">
        <v>0.14649122953414917</v>
      </c>
      <c r="U40">
        <v>0.126</v>
      </c>
      <c r="W40">
        <v>0.15504762530326843</v>
      </c>
      <c r="X40" t="s">
        <v>117</v>
      </c>
      <c r="Z40" t="s">
        <v>118</v>
      </c>
    </row>
    <row r="41" spans="17:27" ht="15.6" x14ac:dyDescent="0.25">
      <c r="Q41" s="4">
        <v>2020</v>
      </c>
      <c r="R41" s="7">
        <v>0.16</v>
      </c>
      <c r="S41">
        <v>9.3758024275302887E-2</v>
      </c>
      <c r="T41">
        <v>0.11599357426166534</v>
      </c>
      <c r="U41">
        <v>9.6999999999999989E-2</v>
      </c>
      <c r="W41">
        <v>0.12804925441741943</v>
      </c>
      <c r="X41" t="s">
        <v>115</v>
      </c>
      <c r="Y41" t="s">
        <v>116</v>
      </c>
    </row>
    <row r="42" spans="17:27" ht="15.6" x14ac:dyDescent="0.3">
      <c r="Q42" s="4">
        <v>2021</v>
      </c>
      <c r="R42" s="8">
        <v>0.153</v>
      </c>
      <c r="S42">
        <v>5.2612371742725372E-2</v>
      </c>
      <c r="T42">
        <v>0.11006379127502441</v>
      </c>
      <c r="U42">
        <v>5.2000000000000005E-2</v>
      </c>
      <c r="W42">
        <v>0.12009253352880478</v>
      </c>
      <c r="X42">
        <f>+S42-S41</f>
        <v>-4.1145652532577515E-2</v>
      </c>
      <c r="Y42">
        <f>+X42/S41</f>
        <v>-0.43884939823135571</v>
      </c>
      <c r="Z42">
        <f>+T42-T41</f>
        <v>-5.9297829866409302E-3</v>
      </c>
      <c r="AA42">
        <f>+Z42/T41</f>
        <v>-5.1121650698203042E-2</v>
      </c>
    </row>
    <row r="43" spans="17:27" ht="15.6" x14ac:dyDescent="0.25">
      <c r="Q43" s="4">
        <v>2022</v>
      </c>
      <c r="R43" s="7">
        <v>0.15</v>
      </c>
      <c r="S43">
        <v>9.3960724771022797E-2</v>
      </c>
      <c r="T43">
        <v>8.5189618170261383E-2</v>
      </c>
      <c r="U43">
        <v>0.124</v>
      </c>
      <c r="W43">
        <v>9.4702601432800293E-2</v>
      </c>
      <c r="X43">
        <f>+S43-S42</f>
        <v>4.1348353028297424E-2</v>
      </c>
      <c r="Y43">
        <f>+X43/S42</f>
        <v>0.78590551345016291</v>
      </c>
      <c r="Z43">
        <f>+T43-T42</f>
        <v>-2.4874173104763031E-2</v>
      </c>
      <c r="AA43">
        <f>+Z43/T42</f>
        <v>-0.2259977856169621</v>
      </c>
    </row>
    <row r="44" spans="17:27" ht="15.6" x14ac:dyDescent="0.25">
      <c r="Q44" s="4"/>
      <c r="R44" s="7"/>
    </row>
    <row r="45" spans="17:27" ht="15.6" x14ac:dyDescent="0.25">
      <c r="Q45" s="4" t="s">
        <v>112</v>
      </c>
      <c r="R45" s="58">
        <f>+R40-R36</f>
        <v>-5.2999999999999992E-2</v>
      </c>
      <c r="S45" s="58">
        <f>+S40-S36</f>
        <v>-5.1507167518138885E-2</v>
      </c>
      <c r="T45" s="58">
        <f>+T40-T36</f>
        <v>-4.9835875630378723E-2</v>
      </c>
      <c r="U45" s="58">
        <f>+U40-U36</f>
        <v>-3.6000000000000004E-2</v>
      </c>
      <c r="V45" s="58">
        <f>+V40-V36</f>
        <v>0</v>
      </c>
    </row>
    <row r="46" spans="17:27" ht="15.6" x14ac:dyDescent="0.25">
      <c r="Q46" s="4" t="s">
        <v>113</v>
      </c>
      <c r="R46" s="58">
        <f>+R43-R41</f>
        <v>-1.0000000000000009E-2</v>
      </c>
      <c r="S46" s="58">
        <f>+S43-S41</f>
        <v>2.0270049571990967E-4</v>
      </c>
      <c r="T46" s="58">
        <f>+T43-T41</f>
        <v>-3.0803956091403961E-2</v>
      </c>
      <c r="U46" s="58">
        <f>+U43-U41</f>
        <v>2.700000000000001E-2</v>
      </c>
      <c r="V46" s="58">
        <f>+V43-V41</f>
        <v>0</v>
      </c>
      <c r="W46" s="57"/>
    </row>
    <row r="47" spans="17:27" ht="15.6" x14ac:dyDescent="0.25">
      <c r="Q47" s="4"/>
      <c r="R47" s="7"/>
      <c r="S47">
        <f>+S42-S41</f>
        <v>-4.1145652532577515E-2</v>
      </c>
      <c r="V47" s="53"/>
      <c r="W47" s="57"/>
    </row>
    <row r="48" spans="17:27" ht="15.6" x14ac:dyDescent="0.25">
      <c r="Q48" s="4"/>
      <c r="R48" s="7"/>
      <c r="S48">
        <f>+S43-S42</f>
        <v>4.1348353028297424E-2</v>
      </c>
      <c r="V48" s="53"/>
      <c r="W48" s="57"/>
    </row>
    <row r="49" spans="17:23" ht="15.6" x14ac:dyDescent="0.25">
      <c r="Q49" s="4"/>
      <c r="R49" s="7"/>
      <c r="S49">
        <f>+S48/S42</f>
        <v>0.78590551345016291</v>
      </c>
      <c r="V49" s="53"/>
      <c r="W49" s="57"/>
    </row>
    <row r="50" spans="17:23" x14ac:dyDescent="0.25">
      <c r="Q50" s="4" t="s">
        <v>114</v>
      </c>
      <c r="R50" s="45"/>
      <c r="V50" s="53"/>
      <c r="W50" s="57"/>
    </row>
    <row r="51" spans="17:23" ht="15.6" x14ac:dyDescent="0.25">
      <c r="Q51" s="4" t="s">
        <v>112</v>
      </c>
      <c r="R51" s="58">
        <f>+R40/R36-1</f>
        <v>-0.26903553299492389</v>
      </c>
      <c r="S51" s="58">
        <f>+S40/S36-1</f>
        <v>-0.31507777388352576</v>
      </c>
      <c r="T51" s="58">
        <f>+T40/T36-1</f>
        <v>-0.25384103528962443</v>
      </c>
      <c r="U51" s="58">
        <f>+U40/U36-1</f>
        <v>-0.22222222222222221</v>
      </c>
      <c r="V51" s="58" t="e">
        <f>+V40/V36-1</f>
        <v>#DIV/0!</v>
      </c>
      <c r="W51" s="57"/>
    </row>
    <row r="52" spans="17:23" ht="15.6" x14ac:dyDescent="0.25">
      <c r="Q52" s="4" t="s">
        <v>113</v>
      </c>
      <c r="R52" s="58">
        <f>+R43/R41-1</f>
        <v>-6.25E-2</v>
      </c>
      <c r="S52" s="58">
        <f>+S43/S41-1</f>
        <v>2.1619535744985541E-3</v>
      </c>
      <c r="T52" s="58">
        <f>+T43/T41-1</f>
        <v>-0.26556605646028741</v>
      </c>
      <c r="U52" s="58">
        <f>+U43/U41-1</f>
        <v>0.27835051546391765</v>
      </c>
      <c r="V52" s="58" t="e">
        <f>+V43/V41-1</f>
        <v>#DIV/0!</v>
      </c>
      <c r="W52" s="57"/>
    </row>
    <row r="53" spans="17:23" ht="15.6" x14ac:dyDescent="0.25">
      <c r="Q53" s="4"/>
      <c r="R53" s="7"/>
      <c r="V53" s="53"/>
      <c r="W53" s="57"/>
    </row>
    <row r="54" spans="17:23" ht="15.6" x14ac:dyDescent="0.25">
      <c r="Q54" s="4"/>
      <c r="R54" s="7"/>
    </row>
    <row r="65" spans="1:20" ht="69.75" customHeight="1" x14ac:dyDescent="0.25">
      <c r="A65" s="152" t="s">
        <v>275</v>
      </c>
      <c r="B65" s="153"/>
      <c r="C65" s="153"/>
      <c r="D65" s="153"/>
      <c r="E65" s="153"/>
      <c r="F65" s="153"/>
      <c r="G65" s="153"/>
      <c r="H65" s="153"/>
      <c r="I65" s="153"/>
      <c r="J65" s="153"/>
      <c r="K65" s="153"/>
      <c r="L65" s="153"/>
      <c r="M65" s="153"/>
      <c r="N65" s="153"/>
      <c r="O65" s="153"/>
    </row>
    <row r="66" spans="1:20" x14ac:dyDescent="0.25">
      <c r="A66" s="56"/>
      <c r="B66" s="56"/>
      <c r="C66" s="56"/>
      <c r="D66" s="56"/>
      <c r="E66" s="56"/>
      <c r="F66" s="56"/>
      <c r="G66" s="56"/>
      <c r="H66" s="56"/>
      <c r="I66" s="56"/>
      <c r="J66" s="56"/>
      <c r="K66" s="56"/>
      <c r="L66" s="56"/>
      <c r="M66" s="56"/>
      <c r="N66" s="56"/>
      <c r="O66" s="56"/>
    </row>
    <row r="68" spans="1:20" x14ac:dyDescent="0.25">
      <c r="R68" s="13"/>
      <c r="S68" s="13"/>
      <c r="T68" s="13"/>
    </row>
    <row r="172" spans="22:23" x14ac:dyDescent="0.25">
      <c r="V172" s="3" t="s">
        <v>2</v>
      </c>
      <c r="W172" s="3"/>
    </row>
    <row r="173" spans="22:23" x14ac:dyDescent="0.25">
      <c r="V173" s="2">
        <v>0</v>
      </c>
      <c r="W173" s="2"/>
    </row>
    <row r="174" spans="22:23" x14ac:dyDescent="0.25">
      <c r="V174" s="2">
        <v>0</v>
      </c>
      <c r="W174" s="2"/>
    </row>
    <row r="175" spans="22:23" x14ac:dyDescent="0.25">
      <c r="V175" s="2">
        <v>0</v>
      </c>
      <c r="W175" s="2"/>
    </row>
    <row r="176" spans="22:23" x14ac:dyDescent="0.25">
      <c r="V176" s="2">
        <v>0</v>
      </c>
      <c r="W176" s="2"/>
    </row>
    <row r="177" spans="22:23" x14ac:dyDescent="0.25">
      <c r="V177" s="2">
        <v>0</v>
      </c>
      <c r="W177" s="2"/>
    </row>
    <row r="178" spans="22:23" x14ac:dyDescent="0.25">
      <c r="V178" s="2">
        <v>0</v>
      </c>
      <c r="W178" s="2"/>
    </row>
    <row r="179" spans="22:23" x14ac:dyDescent="0.25">
      <c r="V179" s="2">
        <v>0</v>
      </c>
      <c r="W179" s="2"/>
    </row>
    <row r="180" spans="22:23" x14ac:dyDescent="0.25">
      <c r="V180" s="2">
        <v>0</v>
      </c>
      <c r="W180" s="2"/>
    </row>
    <row r="181" spans="22:23" x14ac:dyDescent="0.25">
      <c r="V181" s="2">
        <v>0</v>
      </c>
      <c r="W181" s="2"/>
    </row>
    <row r="182" spans="22:23" x14ac:dyDescent="0.25">
      <c r="V182" s="2">
        <v>0</v>
      </c>
      <c r="W182" s="2"/>
    </row>
    <row r="183" spans="22:23" x14ac:dyDescent="0.25">
      <c r="V183" s="2">
        <v>0</v>
      </c>
      <c r="W183" s="2"/>
    </row>
    <row r="184" spans="22:23" x14ac:dyDescent="0.25">
      <c r="V184" s="2">
        <v>0</v>
      </c>
      <c r="W184" s="2"/>
    </row>
    <row r="185" spans="22:23" x14ac:dyDescent="0.25">
      <c r="V185" s="2">
        <v>0</v>
      </c>
      <c r="W185" s="2"/>
    </row>
    <row r="186" spans="22:23" x14ac:dyDescent="0.25">
      <c r="V186" s="2">
        <v>0</v>
      </c>
      <c r="W186" s="2"/>
    </row>
    <row r="187" spans="22:23" x14ac:dyDescent="0.25">
      <c r="V187" s="2">
        <v>0</v>
      </c>
      <c r="W187" s="2"/>
    </row>
    <row r="188" spans="22:23" x14ac:dyDescent="0.25">
      <c r="V188" s="2">
        <v>0</v>
      </c>
      <c r="W188" s="2"/>
    </row>
    <row r="189" spans="22:23" x14ac:dyDescent="0.25">
      <c r="V189" s="2">
        <v>0</v>
      </c>
      <c r="W189" s="2"/>
    </row>
    <row r="190" spans="22:23" x14ac:dyDescent="0.25">
      <c r="V190" s="2">
        <v>0</v>
      </c>
      <c r="W190" s="2"/>
    </row>
    <row r="191" spans="22:23" x14ac:dyDescent="0.25">
      <c r="V191" s="2">
        <v>0</v>
      </c>
      <c r="W191" s="2"/>
    </row>
    <row r="192" spans="22:23" x14ac:dyDescent="0.25">
      <c r="V192" s="2">
        <v>0</v>
      </c>
      <c r="W192" s="2"/>
    </row>
    <row r="193" spans="22:23" x14ac:dyDescent="0.25">
      <c r="V193" s="2">
        <v>0</v>
      </c>
      <c r="W193" s="2"/>
    </row>
    <row r="194" spans="22:23" x14ac:dyDescent="0.25">
      <c r="V194" s="2">
        <v>0</v>
      </c>
      <c r="W194" s="2"/>
    </row>
    <row r="195" spans="22:23" x14ac:dyDescent="0.25">
      <c r="V195" s="2">
        <v>0</v>
      </c>
      <c r="W195" s="2"/>
    </row>
    <row r="196" spans="22:23" x14ac:dyDescent="0.25">
      <c r="V196" s="2">
        <v>0</v>
      </c>
      <c r="W196" s="2"/>
    </row>
    <row r="197" spans="22:23" x14ac:dyDescent="0.25">
      <c r="V197" s="2">
        <v>0</v>
      </c>
      <c r="W197" s="2"/>
    </row>
    <row r="198" spans="22:23" x14ac:dyDescent="0.25">
      <c r="V198" s="2">
        <v>0</v>
      </c>
      <c r="W198" s="2"/>
    </row>
    <row r="199" spans="22:23" x14ac:dyDescent="0.25">
      <c r="V199" s="2">
        <v>0</v>
      </c>
      <c r="W199" s="2"/>
    </row>
    <row r="200" spans="22:23" x14ac:dyDescent="0.25">
      <c r="V200" s="2">
        <v>0</v>
      </c>
      <c r="W200" s="2"/>
    </row>
    <row r="201" spans="22:23" x14ac:dyDescent="0.25">
      <c r="V201" s="2">
        <v>0</v>
      </c>
      <c r="W201" s="2"/>
    </row>
    <row r="202" spans="22:23" x14ac:dyDescent="0.25">
      <c r="V202" s="2">
        <v>0</v>
      </c>
      <c r="W202" s="2"/>
    </row>
    <row r="203" spans="22:23" x14ac:dyDescent="0.25">
      <c r="V203" s="2">
        <v>0</v>
      </c>
      <c r="W203" s="2"/>
    </row>
    <row r="204" spans="22:23" x14ac:dyDescent="0.25">
      <c r="V204" s="2">
        <v>0</v>
      </c>
      <c r="W204" s="2"/>
    </row>
    <row r="205" spans="22:23" x14ac:dyDescent="0.25">
      <c r="V205" s="2">
        <v>0</v>
      </c>
      <c r="W205" s="2"/>
    </row>
    <row r="206" spans="22:23" x14ac:dyDescent="0.25">
      <c r="V206" s="2">
        <v>0</v>
      </c>
      <c r="W206" s="2"/>
    </row>
    <row r="207" spans="22:23" x14ac:dyDescent="0.25">
      <c r="V207" s="2">
        <v>0</v>
      </c>
      <c r="W207" s="2"/>
    </row>
    <row r="208" spans="22:23" x14ac:dyDescent="0.25">
      <c r="V208" s="2">
        <v>0</v>
      </c>
      <c r="W208" s="2"/>
    </row>
    <row r="209" spans="22:23" x14ac:dyDescent="0.25">
      <c r="V209" s="2">
        <v>0</v>
      </c>
      <c r="W209" s="2"/>
    </row>
    <row r="210" spans="22:23" x14ac:dyDescent="0.25">
      <c r="V210" s="2">
        <v>0</v>
      </c>
      <c r="W210" s="2"/>
    </row>
    <row r="211" spans="22:23" x14ac:dyDescent="0.25">
      <c r="V211" s="2">
        <v>0</v>
      </c>
      <c r="W211" s="2"/>
    </row>
    <row r="212" spans="22:23" x14ac:dyDescent="0.25">
      <c r="V212" s="2">
        <v>0</v>
      </c>
      <c r="W212" s="2"/>
    </row>
    <row r="213" spans="22:23" x14ac:dyDescent="0.25">
      <c r="V213" s="2">
        <v>0</v>
      </c>
      <c r="W213" s="2"/>
    </row>
    <row r="214" spans="22:23" x14ac:dyDescent="0.25">
      <c r="V214" s="2">
        <v>0</v>
      </c>
      <c r="W214" s="2"/>
    </row>
    <row r="215" spans="22:23" x14ac:dyDescent="0.25">
      <c r="V215" s="2">
        <v>0</v>
      </c>
      <c r="W215" s="2"/>
    </row>
    <row r="216" spans="22:23" x14ac:dyDescent="0.25">
      <c r="V216" s="2">
        <v>0</v>
      </c>
      <c r="W216" s="2"/>
    </row>
    <row r="217" spans="22:23" x14ac:dyDescent="0.25">
      <c r="V217" s="2">
        <v>0</v>
      </c>
      <c r="W217" s="2"/>
    </row>
    <row r="218" spans="22:23" x14ac:dyDescent="0.25">
      <c r="V218" s="2">
        <v>0</v>
      </c>
      <c r="W218" s="2"/>
    </row>
    <row r="219" spans="22:23" x14ac:dyDescent="0.25">
      <c r="V219" s="2">
        <v>0</v>
      </c>
      <c r="W219" s="2"/>
    </row>
    <row r="220" spans="22:23" x14ac:dyDescent="0.25">
      <c r="V220" s="2">
        <v>0</v>
      </c>
      <c r="W220" s="2"/>
    </row>
    <row r="221" spans="22:23" x14ac:dyDescent="0.25">
      <c r="V221" s="2">
        <v>0</v>
      </c>
      <c r="W221" s="2"/>
    </row>
    <row r="222" spans="22:23" x14ac:dyDescent="0.25">
      <c r="V222" s="2">
        <v>0</v>
      </c>
      <c r="W222" s="2"/>
    </row>
    <row r="223" spans="22:23" x14ac:dyDescent="0.25">
      <c r="V223" s="2">
        <v>0</v>
      </c>
      <c r="W223" s="2"/>
    </row>
    <row r="224" spans="22:23" x14ac:dyDescent="0.25">
      <c r="V224" s="2">
        <v>0</v>
      </c>
      <c r="W224" s="2"/>
    </row>
    <row r="225" spans="22:23" x14ac:dyDescent="0.25">
      <c r="V225" s="2">
        <v>0</v>
      </c>
      <c r="W225" s="2"/>
    </row>
    <row r="226" spans="22:23" x14ac:dyDescent="0.25">
      <c r="V226" s="2">
        <v>0</v>
      </c>
      <c r="W226" s="2"/>
    </row>
    <row r="227" spans="22:23" x14ac:dyDescent="0.25">
      <c r="V227" s="2">
        <v>0</v>
      </c>
      <c r="W227" s="2"/>
    </row>
    <row r="228" spans="22:23" x14ac:dyDescent="0.25">
      <c r="V228" s="2">
        <v>0</v>
      </c>
      <c r="W228" s="2"/>
    </row>
    <row r="229" spans="22:23" x14ac:dyDescent="0.25">
      <c r="V229" s="2">
        <v>0</v>
      </c>
      <c r="W229" s="2"/>
    </row>
    <row r="230" spans="22:23" x14ac:dyDescent="0.25">
      <c r="V230" s="2">
        <v>0</v>
      </c>
      <c r="W230" s="2"/>
    </row>
    <row r="231" spans="22:23" x14ac:dyDescent="0.25">
      <c r="V231" s="2">
        <v>0</v>
      </c>
      <c r="W231" s="2"/>
    </row>
    <row r="232" spans="22:23" x14ac:dyDescent="0.25">
      <c r="V232" s="2">
        <v>0</v>
      </c>
      <c r="W232" s="2"/>
    </row>
    <row r="233" spans="22:23" x14ac:dyDescent="0.25">
      <c r="V233" s="2">
        <v>0</v>
      </c>
      <c r="W233" s="2"/>
    </row>
    <row r="234" spans="22:23" x14ac:dyDescent="0.25">
      <c r="V234" s="2">
        <v>0</v>
      </c>
      <c r="W234" s="2"/>
    </row>
    <row r="235" spans="22:23" x14ac:dyDescent="0.25">
      <c r="V235" s="2">
        <v>0</v>
      </c>
      <c r="W235" s="2"/>
    </row>
    <row r="236" spans="22:23" x14ac:dyDescent="0.25">
      <c r="V236" s="2">
        <v>0</v>
      </c>
      <c r="W236" s="2"/>
    </row>
    <row r="237" spans="22:23" x14ac:dyDescent="0.25">
      <c r="V237" s="2">
        <v>0</v>
      </c>
      <c r="W237" s="2"/>
    </row>
    <row r="238" spans="22:23" x14ac:dyDescent="0.25">
      <c r="V238" s="2">
        <v>0</v>
      </c>
      <c r="W238" s="2"/>
    </row>
    <row r="239" spans="22:23" x14ac:dyDescent="0.25">
      <c r="V239" s="2">
        <v>0</v>
      </c>
      <c r="W239" s="2"/>
    </row>
    <row r="240" spans="22:23" x14ac:dyDescent="0.25">
      <c r="V240" s="2">
        <v>0</v>
      </c>
      <c r="W240" s="2"/>
    </row>
    <row r="241" spans="22:23" x14ac:dyDescent="0.25">
      <c r="V241" s="2">
        <v>0</v>
      </c>
      <c r="W241" s="2"/>
    </row>
    <row r="242" spans="22:23" x14ac:dyDescent="0.25">
      <c r="V242" s="2">
        <v>0</v>
      </c>
      <c r="W242" s="2"/>
    </row>
    <row r="243" spans="22:23" x14ac:dyDescent="0.25">
      <c r="V243" s="2">
        <v>0</v>
      </c>
      <c r="W243" s="2"/>
    </row>
    <row r="244" spans="22:23" x14ac:dyDescent="0.25">
      <c r="V244" s="2">
        <v>0</v>
      </c>
      <c r="W244" s="2"/>
    </row>
    <row r="245" spans="22:23" x14ac:dyDescent="0.25">
      <c r="V245" s="2">
        <v>0</v>
      </c>
      <c r="W245" s="2"/>
    </row>
    <row r="246" spans="22:23" x14ac:dyDescent="0.25">
      <c r="V246" s="2">
        <v>0</v>
      </c>
      <c r="W246" s="2"/>
    </row>
    <row r="247" spans="22:23" x14ac:dyDescent="0.25">
      <c r="V247" s="2">
        <v>0</v>
      </c>
      <c r="W247" s="2"/>
    </row>
    <row r="248" spans="22:23" x14ac:dyDescent="0.25">
      <c r="V248" s="2">
        <v>0</v>
      </c>
      <c r="W248" s="2"/>
    </row>
    <row r="249" spans="22:23" x14ac:dyDescent="0.25">
      <c r="V249" s="2">
        <v>0</v>
      </c>
      <c r="W249" s="2"/>
    </row>
    <row r="250" spans="22:23" x14ac:dyDescent="0.25">
      <c r="V250" s="2">
        <v>0</v>
      </c>
      <c r="W250" s="2"/>
    </row>
    <row r="251" spans="22:23" x14ac:dyDescent="0.25">
      <c r="V251" s="2">
        <v>0</v>
      </c>
      <c r="W251" s="2"/>
    </row>
    <row r="252" spans="22:23" x14ac:dyDescent="0.25">
      <c r="V252" s="2">
        <v>0</v>
      </c>
      <c r="W252" s="2"/>
    </row>
    <row r="253" spans="22:23" x14ac:dyDescent="0.25">
      <c r="V253" s="2">
        <v>0</v>
      </c>
      <c r="W253" s="2"/>
    </row>
    <row r="254" spans="22:23" x14ac:dyDescent="0.25">
      <c r="V254" s="2">
        <v>0</v>
      </c>
      <c r="W254" s="2"/>
    </row>
    <row r="255" spans="22:23" x14ac:dyDescent="0.25">
      <c r="V255" s="2">
        <v>0</v>
      </c>
      <c r="W255" s="2"/>
    </row>
    <row r="256" spans="22:23" x14ac:dyDescent="0.25">
      <c r="V256" s="2">
        <v>0</v>
      </c>
      <c r="W256" s="2"/>
    </row>
    <row r="257" spans="22:23" x14ac:dyDescent="0.25">
      <c r="V257" s="2">
        <v>0</v>
      </c>
      <c r="W257" s="2"/>
    </row>
    <row r="258" spans="22:23" x14ac:dyDescent="0.25">
      <c r="V258" s="2">
        <v>0</v>
      </c>
      <c r="W258" s="2"/>
    </row>
    <row r="259" spans="22:23" x14ac:dyDescent="0.25">
      <c r="V259" s="2">
        <v>0</v>
      </c>
      <c r="W259" s="2"/>
    </row>
    <row r="260" spans="22:23" x14ac:dyDescent="0.25">
      <c r="V260" s="2">
        <v>0</v>
      </c>
      <c r="W260" s="2"/>
    </row>
    <row r="261" spans="22:23" x14ac:dyDescent="0.25">
      <c r="V261" s="2">
        <v>0</v>
      </c>
      <c r="W261" s="2"/>
    </row>
    <row r="262" spans="22:23" x14ac:dyDescent="0.25">
      <c r="V262" s="2">
        <v>0</v>
      </c>
      <c r="W262" s="2"/>
    </row>
    <row r="263" spans="22:23" x14ac:dyDescent="0.25">
      <c r="V263" s="2">
        <v>0</v>
      </c>
      <c r="W263" s="2"/>
    </row>
    <row r="264" spans="22:23" x14ac:dyDescent="0.25">
      <c r="V264" s="2">
        <v>0</v>
      </c>
      <c r="W264" s="2"/>
    </row>
    <row r="265" spans="22:23" x14ac:dyDescent="0.25">
      <c r="V265" s="2">
        <v>0</v>
      </c>
      <c r="W265" s="2"/>
    </row>
    <row r="266" spans="22:23" x14ac:dyDescent="0.25">
      <c r="V266" s="2">
        <v>0</v>
      </c>
      <c r="W266" s="2"/>
    </row>
    <row r="267" spans="22:23" x14ac:dyDescent="0.25">
      <c r="V267" s="2">
        <v>0</v>
      </c>
      <c r="W267" s="2"/>
    </row>
    <row r="268" spans="22:23" x14ac:dyDescent="0.25">
      <c r="V268" s="2">
        <v>0</v>
      </c>
      <c r="W268" s="2"/>
    </row>
    <row r="269" spans="22:23" x14ac:dyDescent="0.25">
      <c r="V269" s="2">
        <v>0</v>
      </c>
      <c r="W269" s="2"/>
    </row>
    <row r="270" spans="22:23" x14ac:dyDescent="0.25">
      <c r="V270" s="2">
        <v>0</v>
      </c>
      <c r="W270" s="2"/>
    </row>
    <row r="271" spans="22:23" x14ac:dyDescent="0.25">
      <c r="V271" s="2">
        <v>0</v>
      </c>
      <c r="W271" s="2"/>
    </row>
    <row r="272" spans="22:23" x14ac:dyDescent="0.25">
      <c r="V272" s="2">
        <v>0</v>
      </c>
      <c r="W272" s="2"/>
    </row>
    <row r="273" spans="22:23" x14ac:dyDescent="0.25">
      <c r="V273" s="2">
        <v>0</v>
      </c>
      <c r="W273" s="2"/>
    </row>
    <row r="274" spans="22:23" x14ac:dyDescent="0.25">
      <c r="V274" s="2">
        <v>0</v>
      </c>
      <c r="W274" s="2"/>
    </row>
    <row r="275" spans="22:23" x14ac:dyDescent="0.25">
      <c r="V275" s="2">
        <v>0</v>
      </c>
      <c r="W275" s="2"/>
    </row>
    <row r="276" spans="22:23" x14ac:dyDescent="0.25">
      <c r="V276" s="2">
        <v>0</v>
      </c>
      <c r="W276" s="2"/>
    </row>
    <row r="277" spans="22:23" x14ac:dyDescent="0.25">
      <c r="V277" s="2">
        <v>0</v>
      </c>
      <c r="W277" s="2"/>
    </row>
    <row r="278" spans="22:23" x14ac:dyDescent="0.25">
      <c r="V278" s="2">
        <v>0</v>
      </c>
      <c r="W278" s="2"/>
    </row>
    <row r="279" spans="22:23" x14ac:dyDescent="0.25">
      <c r="V279" s="2">
        <v>0</v>
      </c>
      <c r="W279" s="2"/>
    </row>
    <row r="280" spans="22:23" x14ac:dyDescent="0.25">
      <c r="V280" s="2">
        <v>0</v>
      </c>
      <c r="W280" s="2"/>
    </row>
    <row r="281" spans="22:23" x14ac:dyDescent="0.25">
      <c r="V281" s="2">
        <v>0</v>
      </c>
      <c r="W281" s="2"/>
    </row>
    <row r="282" spans="22:23" x14ac:dyDescent="0.25">
      <c r="V282" s="2">
        <v>0</v>
      </c>
      <c r="W282" s="2"/>
    </row>
    <row r="283" spans="22:23" x14ac:dyDescent="0.25">
      <c r="V283" s="2">
        <v>0</v>
      </c>
      <c r="W283" s="2"/>
    </row>
    <row r="284" spans="22:23" x14ac:dyDescent="0.25">
      <c r="V284" s="2">
        <v>0</v>
      </c>
      <c r="W284" s="2"/>
    </row>
    <row r="285" spans="22:23" x14ac:dyDescent="0.25">
      <c r="V285" s="2">
        <v>0</v>
      </c>
      <c r="W285" s="2"/>
    </row>
    <row r="286" spans="22:23" x14ac:dyDescent="0.25">
      <c r="V286" s="2">
        <v>0</v>
      </c>
      <c r="W286" s="2"/>
    </row>
    <row r="287" spans="22:23" x14ac:dyDescent="0.25">
      <c r="V287" s="2">
        <v>0</v>
      </c>
      <c r="W287" s="2"/>
    </row>
    <row r="288" spans="22:23" x14ac:dyDescent="0.25">
      <c r="V288" s="2">
        <v>0</v>
      </c>
      <c r="W288" s="2"/>
    </row>
    <row r="289" spans="22:23" x14ac:dyDescent="0.25">
      <c r="V289" s="2">
        <v>0</v>
      </c>
      <c r="W289" s="2"/>
    </row>
    <row r="290" spans="22:23" x14ac:dyDescent="0.25">
      <c r="V290" s="2">
        <v>0</v>
      </c>
      <c r="W290" s="2"/>
    </row>
    <row r="291" spans="22:23" x14ac:dyDescent="0.25">
      <c r="V291" s="2">
        <v>0</v>
      </c>
      <c r="W291" s="2"/>
    </row>
    <row r="292" spans="22:23" x14ac:dyDescent="0.25">
      <c r="V292" s="2">
        <v>0</v>
      </c>
      <c r="W292" s="2"/>
    </row>
    <row r="293" spans="22:23" x14ac:dyDescent="0.25">
      <c r="V293" s="2">
        <v>0</v>
      </c>
      <c r="W293" s="2"/>
    </row>
    <row r="294" spans="22:23" x14ac:dyDescent="0.25">
      <c r="V294" s="2">
        <v>0</v>
      </c>
      <c r="W294" s="2"/>
    </row>
    <row r="295" spans="22:23" x14ac:dyDescent="0.25">
      <c r="V295" s="2">
        <v>0</v>
      </c>
      <c r="W295" s="2"/>
    </row>
    <row r="296" spans="22:23" x14ac:dyDescent="0.25">
      <c r="V296" s="2">
        <v>0</v>
      </c>
      <c r="W296" s="2"/>
    </row>
    <row r="297" spans="22:23" x14ac:dyDescent="0.25">
      <c r="V297" s="2">
        <v>0</v>
      </c>
      <c r="W297" s="2"/>
    </row>
    <row r="298" spans="22:23" x14ac:dyDescent="0.25">
      <c r="V298" s="2">
        <v>0</v>
      </c>
      <c r="W298" s="2"/>
    </row>
    <row r="299" spans="22:23" x14ac:dyDescent="0.25">
      <c r="V299" s="2">
        <v>0</v>
      </c>
      <c r="W299" s="2"/>
    </row>
    <row r="300" spans="22:23" x14ac:dyDescent="0.25">
      <c r="V300" s="2">
        <v>0</v>
      </c>
      <c r="W300" s="2"/>
    </row>
    <row r="301" spans="22:23" x14ac:dyDescent="0.25">
      <c r="V301" s="2">
        <v>0</v>
      </c>
      <c r="W301" s="2"/>
    </row>
    <row r="302" spans="22:23" x14ac:dyDescent="0.25">
      <c r="V302" s="2">
        <v>0</v>
      </c>
      <c r="W302" s="2"/>
    </row>
    <row r="303" spans="22:23" x14ac:dyDescent="0.25">
      <c r="V303" s="2">
        <v>0</v>
      </c>
      <c r="W303" s="2"/>
    </row>
    <row r="304" spans="22:23" x14ac:dyDescent="0.25">
      <c r="V304" s="2">
        <v>0</v>
      </c>
      <c r="W304" s="2"/>
    </row>
    <row r="305" spans="22:23" x14ac:dyDescent="0.25">
      <c r="V305" s="2">
        <v>0</v>
      </c>
      <c r="W305" s="2"/>
    </row>
    <row r="306" spans="22:23" x14ac:dyDescent="0.25">
      <c r="V306" s="2">
        <v>0</v>
      </c>
      <c r="W306" s="2"/>
    </row>
    <row r="307" spans="22:23" x14ac:dyDescent="0.25">
      <c r="V307" s="2">
        <v>0</v>
      </c>
      <c r="W307" s="2"/>
    </row>
    <row r="308" spans="22:23" x14ac:dyDescent="0.25">
      <c r="V308" s="2">
        <v>0</v>
      </c>
      <c r="W308" s="2"/>
    </row>
    <row r="309" spans="22:23" x14ac:dyDescent="0.25">
      <c r="V309" s="2">
        <v>0</v>
      </c>
      <c r="W309" s="2"/>
    </row>
    <row r="310" spans="22:23" x14ac:dyDescent="0.25">
      <c r="V310" s="2">
        <v>0</v>
      </c>
      <c r="W310" s="2"/>
    </row>
    <row r="311" spans="22:23" x14ac:dyDescent="0.25">
      <c r="V311" s="2">
        <v>0</v>
      </c>
      <c r="W311" s="2"/>
    </row>
    <row r="312" spans="22:23" x14ac:dyDescent="0.25">
      <c r="V312" s="2">
        <v>0</v>
      </c>
      <c r="W312" s="2"/>
    </row>
    <row r="313" spans="22:23" x14ac:dyDescent="0.25">
      <c r="V313" s="2">
        <v>0</v>
      </c>
      <c r="W313" s="2"/>
    </row>
    <row r="314" spans="22:23" x14ac:dyDescent="0.25">
      <c r="V314" s="2">
        <v>0</v>
      </c>
      <c r="W314" s="2"/>
    </row>
    <row r="315" spans="22:23" x14ac:dyDescent="0.25">
      <c r="V315" s="2">
        <v>0</v>
      </c>
      <c r="W315" s="2"/>
    </row>
    <row r="316" spans="22:23" x14ac:dyDescent="0.25">
      <c r="V316" s="2">
        <v>0</v>
      </c>
      <c r="W316" s="2"/>
    </row>
    <row r="317" spans="22:23" x14ac:dyDescent="0.25">
      <c r="V317" s="2">
        <v>0</v>
      </c>
      <c r="W317" s="2"/>
    </row>
    <row r="318" spans="22:23" x14ac:dyDescent="0.25">
      <c r="V318" s="2">
        <v>0</v>
      </c>
      <c r="W318" s="2"/>
    </row>
    <row r="319" spans="22:23" x14ac:dyDescent="0.25">
      <c r="V319" s="2">
        <v>0</v>
      </c>
      <c r="W319" s="2"/>
    </row>
    <row r="320" spans="22:23" x14ac:dyDescent="0.25">
      <c r="V320" s="2">
        <v>0</v>
      </c>
      <c r="W320" s="2"/>
    </row>
    <row r="321" spans="22:23" x14ac:dyDescent="0.25">
      <c r="V321" s="2">
        <v>0</v>
      </c>
      <c r="W321" s="2"/>
    </row>
    <row r="322" spans="22:23" x14ac:dyDescent="0.25">
      <c r="V322" s="2">
        <v>0</v>
      </c>
      <c r="W322" s="2"/>
    </row>
    <row r="323" spans="22:23" x14ac:dyDescent="0.25">
      <c r="V323" s="2">
        <v>0</v>
      </c>
      <c r="W323" s="2"/>
    </row>
    <row r="324" spans="22:23" x14ac:dyDescent="0.25">
      <c r="V324" s="2">
        <v>0</v>
      </c>
      <c r="W324" s="2"/>
    </row>
    <row r="325" spans="22:23" x14ac:dyDescent="0.25">
      <c r="V325" s="2">
        <v>0</v>
      </c>
      <c r="W325" s="2"/>
    </row>
    <row r="326" spans="22:23" x14ac:dyDescent="0.25">
      <c r="V326" s="2">
        <v>0</v>
      </c>
      <c r="W326" s="2"/>
    </row>
    <row r="327" spans="22:23" x14ac:dyDescent="0.25">
      <c r="V327" s="2">
        <v>0</v>
      </c>
      <c r="W327" s="2"/>
    </row>
    <row r="328" spans="22:23" x14ac:dyDescent="0.25">
      <c r="V328" s="2">
        <v>0</v>
      </c>
      <c r="W328" s="2"/>
    </row>
    <row r="329" spans="22:23" x14ac:dyDescent="0.25">
      <c r="V329" s="2">
        <v>0</v>
      </c>
      <c r="W329" s="2"/>
    </row>
    <row r="330" spans="22:23" x14ac:dyDescent="0.25">
      <c r="V330" s="2">
        <v>0</v>
      </c>
      <c r="W330" s="2"/>
    </row>
    <row r="331" spans="22:23" x14ac:dyDescent="0.25">
      <c r="V331" s="2">
        <v>0</v>
      </c>
      <c r="W331" s="2"/>
    </row>
    <row r="332" spans="22:23" x14ac:dyDescent="0.25">
      <c r="V332" s="2">
        <v>0</v>
      </c>
      <c r="W332" s="2"/>
    </row>
    <row r="333" spans="22:23" x14ac:dyDescent="0.25">
      <c r="V333" s="2">
        <v>0</v>
      </c>
      <c r="W333" s="2"/>
    </row>
    <row r="334" spans="22:23" x14ac:dyDescent="0.25">
      <c r="V334" s="2">
        <v>0</v>
      </c>
      <c r="W334" s="2"/>
    </row>
    <row r="335" spans="22:23" x14ac:dyDescent="0.25">
      <c r="V335" s="2">
        <v>0</v>
      </c>
      <c r="W335" s="2"/>
    </row>
    <row r="336" spans="22:23" x14ac:dyDescent="0.25">
      <c r="V336" s="2">
        <v>0</v>
      </c>
      <c r="W336" s="2"/>
    </row>
    <row r="337" spans="22:23" x14ac:dyDescent="0.25">
      <c r="V337" s="2">
        <v>0</v>
      </c>
      <c r="W337" s="2"/>
    </row>
    <row r="338" spans="22:23" x14ac:dyDescent="0.25">
      <c r="V338" s="2">
        <v>0</v>
      </c>
      <c r="W338" s="2"/>
    </row>
    <row r="339" spans="22:23" x14ac:dyDescent="0.25">
      <c r="V339" s="2">
        <v>0</v>
      </c>
      <c r="W339" s="2"/>
    </row>
    <row r="340" spans="22:23" x14ac:dyDescent="0.25">
      <c r="V340" s="2">
        <v>0</v>
      </c>
      <c r="W340" s="2"/>
    </row>
    <row r="341" spans="22:23" x14ac:dyDescent="0.25">
      <c r="V341" s="2">
        <v>0</v>
      </c>
      <c r="W341" s="2"/>
    </row>
    <row r="342" spans="22:23" x14ac:dyDescent="0.25">
      <c r="V342" s="2">
        <v>0</v>
      </c>
      <c r="W342" s="2"/>
    </row>
    <row r="343" spans="22:23" x14ac:dyDescent="0.25">
      <c r="V343" s="2">
        <v>0</v>
      </c>
      <c r="W343" s="2"/>
    </row>
    <row r="344" spans="22:23" x14ac:dyDescent="0.25">
      <c r="V344" s="2">
        <v>0</v>
      </c>
      <c r="W344" s="2"/>
    </row>
    <row r="345" spans="22:23" x14ac:dyDescent="0.25">
      <c r="V345" s="2">
        <v>0</v>
      </c>
      <c r="W345" s="2"/>
    </row>
    <row r="346" spans="22:23" x14ac:dyDescent="0.25">
      <c r="V346" s="2">
        <v>0</v>
      </c>
      <c r="W346" s="2"/>
    </row>
    <row r="347" spans="22:23" x14ac:dyDescent="0.25">
      <c r="V347" s="2">
        <v>0</v>
      </c>
      <c r="W347" s="2"/>
    </row>
    <row r="348" spans="22:23" x14ac:dyDescent="0.25">
      <c r="V348" s="2">
        <v>0</v>
      </c>
      <c r="W348" s="2"/>
    </row>
    <row r="349" spans="22:23" x14ac:dyDescent="0.25">
      <c r="V349" s="2">
        <v>0</v>
      </c>
      <c r="W349" s="2"/>
    </row>
    <row r="350" spans="22:23" x14ac:dyDescent="0.25">
      <c r="V350" s="2">
        <v>0</v>
      </c>
      <c r="W350" s="2"/>
    </row>
    <row r="351" spans="22:23" x14ac:dyDescent="0.25">
      <c r="V351" s="2">
        <v>0</v>
      </c>
      <c r="W351" s="2"/>
    </row>
    <row r="352" spans="22:23" x14ac:dyDescent="0.25">
      <c r="V352" s="2">
        <v>0</v>
      </c>
      <c r="W352" s="2"/>
    </row>
    <row r="353" spans="22:23" x14ac:dyDescent="0.25">
      <c r="V353" s="2">
        <v>0</v>
      </c>
      <c r="W353" s="2"/>
    </row>
    <row r="354" spans="22:23" x14ac:dyDescent="0.25">
      <c r="V354" s="2">
        <v>0</v>
      </c>
      <c r="W354" s="2"/>
    </row>
    <row r="355" spans="22:23" x14ac:dyDescent="0.25">
      <c r="V355" s="2">
        <v>0</v>
      </c>
      <c r="W355" s="2"/>
    </row>
    <row r="356" spans="22:23" x14ac:dyDescent="0.25">
      <c r="V356" s="2">
        <v>0</v>
      </c>
      <c r="W356" s="2"/>
    </row>
    <row r="357" spans="22:23" x14ac:dyDescent="0.25">
      <c r="V357" s="2">
        <v>0</v>
      </c>
      <c r="W357" s="2"/>
    </row>
    <row r="358" spans="22:23" x14ac:dyDescent="0.25">
      <c r="V358" s="2">
        <v>0</v>
      </c>
      <c r="W358" s="2"/>
    </row>
    <row r="359" spans="22:23" x14ac:dyDescent="0.25">
      <c r="V359" s="2">
        <v>0</v>
      </c>
      <c r="W359" s="2"/>
    </row>
    <row r="360" spans="22:23" x14ac:dyDescent="0.25">
      <c r="V360" s="2">
        <v>0</v>
      </c>
      <c r="W360" s="2"/>
    </row>
    <row r="361" spans="22:23" x14ac:dyDescent="0.25">
      <c r="V361" s="2">
        <v>0</v>
      </c>
      <c r="W361" s="2"/>
    </row>
    <row r="362" spans="22:23" x14ac:dyDescent="0.25">
      <c r="V362" s="2">
        <v>0</v>
      </c>
      <c r="W362" s="2"/>
    </row>
    <row r="363" spans="22:23" x14ac:dyDescent="0.25">
      <c r="V363" s="2">
        <v>0</v>
      </c>
      <c r="W363" s="2"/>
    </row>
    <row r="364" spans="22:23" x14ac:dyDescent="0.25">
      <c r="V364" s="2">
        <v>0</v>
      </c>
      <c r="W364" s="2"/>
    </row>
    <row r="365" spans="22:23" x14ac:dyDescent="0.25">
      <c r="V365" s="2">
        <v>0</v>
      </c>
      <c r="W365" s="2"/>
    </row>
    <row r="366" spans="22:23" x14ac:dyDescent="0.25">
      <c r="V366" s="2">
        <v>0</v>
      </c>
      <c r="W366" s="2"/>
    </row>
    <row r="367" spans="22:23" x14ac:dyDescent="0.25">
      <c r="V367" s="2">
        <v>0</v>
      </c>
      <c r="W367" s="2"/>
    </row>
    <row r="368" spans="22:23" x14ac:dyDescent="0.25">
      <c r="V368" s="2">
        <v>0</v>
      </c>
      <c r="W368" s="2"/>
    </row>
    <row r="369" spans="22:23" x14ac:dyDescent="0.25">
      <c r="V369" s="2">
        <v>0</v>
      </c>
      <c r="W369" s="2"/>
    </row>
    <row r="370" spans="22:23" x14ac:dyDescent="0.25">
      <c r="V370" s="2">
        <v>0</v>
      </c>
      <c r="W370" s="2"/>
    </row>
    <row r="371" spans="22:23" x14ac:dyDescent="0.25">
      <c r="V371" s="2">
        <v>0</v>
      </c>
      <c r="W371" s="2"/>
    </row>
    <row r="372" spans="22:23" x14ac:dyDescent="0.25">
      <c r="V372" s="2">
        <v>0</v>
      </c>
      <c r="W372" s="2"/>
    </row>
    <row r="373" spans="22:23" x14ac:dyDescent="0.25">
      <c r="V373" s="2">
        <v>0</v>
      </c>
      <c r="W373" s="2"/>
    </row>
    <row r="374" spans="22:23" x14ac:dyDescent="0.25">
      <c r="V374" s="2">
        <v>0</v>
      </c>
      <c r="W374" s="2"/>
    </row>
    <row r="375" spans="22:23" x14ac:dyDescent="0.25">
      <c r="V375" s="2">
        <v>0</v>
      </c>
      <c r="W375" s="2"/>
    </row>
    <row r="376" spans="22:23" x14ac:dyDescent="0.25">
      <c r="V376" s="2">
        <v>0</v>
      </c>
      <c r="W376" s="2"/>
    </row>
    <row r="377" spans="22:23" x14ac:dyDescent="0.25">
      <c r="V377" s="2">
        <v>0</v>
      </c>
      <c r="W377" s="2"/>
    </row>
    <row r="378" spans="22:23" x14ac:dyDescent="0.25">
      <c r="V378" s="2">
        <v>0</v>
      </c>
      <c r="W378" s="2"/>
    </row>
    <row r="379" spans="22:23" x14ac:dyDescent="0.25">
      <c r="V379" s="2">
        <v>0</v>
      </c>
      <c r="W379" s="2"/>
    </row>
    <row r="380" spans="22:23" x14ac:dyDescent="0.25">
      <c r="V380" s="2">
        <v>0</v>
      </c>
      <c r="W380" s="2"/>
    </row>
    <row r="381" spans="22:23" x14ac:dyDescent="0.25">
      <c r="V381" s="2">
        <v>0</v>
      </c>
      <c r="W381" s="2"/>
    </row>
    <row r="382" spans="22:23" x14ac:dyDescent="0.25">
      <c r="V382" s="2">
        <v>0</v>
      </c>
      <c r="W382" s="2"/>
    </row>
    <row r="383" spans="22:23" x14ac:dyDescent="0.25">
      <c r="V383" s="2">
        <v>0</v>
      </c>
      <c r="W383" s="2"/>
    </row>
    <row r="384" spans="22:23" x14ac:dyDescent="0.25">
      <c r="V384" s="2">
        <v>0</v>
      </c>
      <c r="W384" s="2"/>
    </row>
    <row r="385" spans="22:23" x14ac:dyDescent="0.25">
      <c r="V385" s="2">
        <v>0</v>
      </c>
      <c r="W385" s="2"/>
    </row>
    <row r="386" spans="22:23" x14ac:dyDescent="0.25">
      <c r="V386" s="2">
        <v>0</v>
      </c>
      <c r="W386" s="2"/>
    </row>
    <row r="387" spans="22:23" x14ac:dyDescent="0.25">
      <c r="V387" s="2">
        <v>0</v>
      </c>
      <c r="W387" s="2"/>
    </row>
    <row r="388" spans="22:23" x14ac:dyDescent="0.25">
      <c r="V388" s="2">
        <v>0</v>
      </c>
      <c r="W388" s="2"/>
    </row>
    <row r="389" spans="22:23" x14ac:dyDescent="0.25">
      <c r="V389" s="2">
        <v>0</v>
      </c>
      <c r="W389" s="2"/>
    </row>
    <row r="390" spans="22:23" x14ac:dyDescent="0.25">
      <c r="V390" s="2">
        <v>0</v>
      </c>
      <c r="W390" s="2"/>
    </row>
    <row r="391" spans="22:23" x14ac:dyDescent="0.25">
      <c r="V391" s="2">
        <v>0</v>
      </c>
      <c r="W391" s="2"/>
    </row>
    <row r="392" spans="22:23" x14ac:dyDescent="0.25">
      <c r="V392" s="2">
        <v>0</v>
      </c>
      <c r="W392" s="2"/>
    </row>
    <row r="393" spans="22:23" x14ac:dyDescent="0.25">
      <c r="V393" s="2">
        <v>0</v>
      </c>
      <c r="W393" s="2"/>
    </row>
    <row r="394" spans="22:23" x14ac:dyDescent="0.25">
      <c r="V394" s="2">
        <v>0</v>
      </c>
      <c r="W394" s="2"/>
    </row>
    <row r="395" spans="22:23" x14ac:dyDescent="0.25">
      <c r="V395" s="2">
        <v>0</v>
      </c>
      <c r="W395" s="2"/>
    </row>
    <row r="396" spans="22:23" x14ac:dyDescent="0.25">
      <c r="V396" s="2">
        <v>0</v>
      </c>
      <c r="W396" s="2"/>
    </row>
    <row r="397" spans="22:23" x14ac:dyDescent="0.25">
      <c r="V397" s="2">
        <v>0</v>
      </c>
      <c r="W397" s="2"/>
    </row>
    <row r="398" spans="22:23" x14ac:dyDescent="0.25">
      <c r="V398" s="2">
        <v>0</v>
      </c>
      <c r="W398" s="2"/>
    </row>
    <row r="399" spans="22:23" x14ac:dyDescent="0.25">
      <c r="V399" s="2">
        <v>0</v>
      </c>
      <c r="W399" s="2"/>
    </row>
    <row r="400" spans="22:23" x14ac:dyDescent="0.25">
      <c r="V400" s="2">
        <v>0</v>
      </c>
      <c r="W400" s="2"/>
    </row>
    <row r="401" spans="22:23" x14ac:dyDescent="0.25">
      <c r="V401" s="2">
        <v>0</v>
      </c>
      <c r="W401" s="2"/>
    </row>
    <row r="402" spans="22:23" x14ac:dyDescent="0.25">
      <c r="V402" s="2">
        <v>0</v>
      </c>
      <c r="W402" s="2"/>
    </row>
    <row r="403" spans="22:23" x14ac:dyDescent="0.25">
      <c r="V403" s="2">
        <v>0</v>
      </c>
      <c r="W403" s="2"/>
    </row>
    <row r="404" spans="22:23" x14ac:dyDescent="0.25">
      <c r="V404" s="2">
        <v>0</v>
      </c>
      <c r="W404" s="2"/>
    </row>
    <row r="405" spans="22:23" x14ac:dyDescent="0.25">
      <c r="V405" s="2">
        <v>0</v>
      </c>
      <c r="W405" s="2"/>
    </row>
    <row r="406" spans="22:23" x14ac:dyDescent="0.25">
      <c r="V406" s="2">
        <v>0</v>
      </c>
      <c r="W406" s="2"/>
    </row>
    <row r="407" spans="22:23" x14ac:dyDescent="0.25">
      <c r="V407" s="2">
        <v>0</v>
      </c>
      <c r="W407" s="2"/>
    </row>
    <row r="408" spans="22:23" x14ac:dyDescent="0.25">
      <c r="V408" s="2">
        <v>0</v>
      </c>
      <c r="W408" s="2"/>
    </row>
    <row r="409" spans="22:23" x14ac:dyDescent="0.25">
      <c r="V409" s="2">
        <v>0</v>
      </c>
      <c r="W409" s="2"/>
    </row>
    <row r="410" spans="22:23" x14ac:dyDescent="0.25">
      <c r="V410" s="2">
        <v>0</v>
      </c>
      <c r="W410" s="2"/>
    </row>
    <row r="411" spans="22:23" x14ac:dyDescent="0.25">
      <c r="V411" s="2">
        <v>0</v>
      </c>
      <c r="W411" s="2"/>
    </row>
    <row r="412" spans="22:23" x14ac:dyDescent="0.25">
      <c r="V412" s="2">
        <v>0</v>
      </c>
      <c r="W412" s="2"/>
    </row>
    <row r="413" spans="22:23" x14ac:dyDescent="0.25">
      <c r="V413" s="2">
        <v>0</v>
      </c>
      <c r="W413" s="2"/>
    </row>
    <row r="414" spans="22:23" x14ac:dyDescent="0.25">
      <c r="V414" s="2">
        <v>0</v>
      </c>
      <c r="W414" s="2"/>
    </row>
    <row r="415" spans="22:23" x14ac:dyDescent="0.25">
      <c r="V415" s="2">
        <v>0</v>
      </c>
      <c r="W415" s="2"/>
    </row>
    <row r="416" spans="22:23" x14ac:dyDescent="0.25">
      <c r="V416" s="2">
        <v>0</v>
      </c>
      <c r="W416" s="2"/>
    </row>
    <row r="417" spans="22:23" x14ac:dyDescent="0.25">
      <c r="V417" s="2">
        <v>0</v>
      </c>
      <c r="W417" s="2"/>
    </row>
    <row r="418" spans="22:23" x14ac:dyDescent="0.25">
      <c r="V418" s="2">
        <v>0</v>
      </c>
      <c r="W418" s="2"/>
    </row>
    <row r="419" spans="22:23" x14ac:dyDescent="0.25">
      <c r="V419" s="2">
        <v>0</v>
      </c>
      <c r="W419" s="2"/>
    </row>
    <row r="420" spans="22:23" x14ac:dyDescent="0.25">
      <c r="V420" s="2">
        <v>0</v>
      </c>
      <c r="W420" s="2"/>
    </row>
    <row r="421" spans="22:23" x14ac:dyDescent="0.25">
      <c r="V421" s="2">
        <v>0</v>
      </c>
      <c r="W421" s="2"/>
    </row>
    <row r="422" spans="22:23" x14ac:dyDescent="0.25">
      <c r="V422" s="2">
        <v>0</v>
      </c>
      <c r="W422" s="2"/>
    </row>
    <row r="423" spans="22:23" x14ac:dyDescent="0.25">
      <c r="V423" s="2">
        <v>0</v>
      </c>
      <c r="W423" s="2"/>
    </row>
    <row r="424" spans="22:23" x14ac:dyDescent="0.25">
      <c r="V424" s="2">
        <v>0</v>
      </c>
      <c r="W424" s="2"/>
    </row>
    <row r="425" spans="22:23" x14ac:dyDescent="0.25">
      <c r="V425" s="2">
        <v>0</v>
      </c>
      <c r="W425" s="2"/>
    </row>
    <row r="426" spans="22:23" x14ac:dyDescent="0.25">
      <c r="V426" s="2">
        <v>0</v>
      </c>
      <c r="W426" s="2"/>
    </row>
    <row r="427" spans="22:23" x14ac:dyDescent="0.25">
      <c r="V427" s="2">
        <v>0</v>
      </c>
      <c r="W427" s="2"/>
    </row>
    <row r="428" spans="22:23" x14ac:dyDescent="0.25">
      <c r="V428" s="2">
        <v>0</v>
      </c>
      <c r="W428" s="2"/>
    </row>
    <row r="429" spans="22:23" x14ac:dyDescent="0.25">
      <c r="V429" s="2">
        <v>0</v>
      </c>
      <c r="W429" s="2"/>
    </row>
    <row r="430" spans="22:23" x14ac:dyDescent="0.25">
      <c r="V430" s="2">
        <v>0</v>
      </c>
      <c r="W430" s="2"/>
    </row>
    <row r="431" spans="22:23" x14ac:dyDescent="0.25">
      <c r="V431" s="2">
        <v>0</v>
      </c>
      <c r="W431" s="2"/>
    </row>
    <row r="432" spans="22:23" x14ac:dyDescent="0.25">
      <c r="V432" s="2">
        <v>0</v>
      </c>
      <c r="W432" s="2"/>
    </row>
    <row r="433" spans="22:23" x14ac:dyDescent="0.25">
      <c r="V433" s="2">
        <v>0</v>
      </c>
      <c r="W433" s="2"/>
    </row>
    <row r="434" spans="22:23" x14ac:dyDescent="0.25">
      <c r="V434" s="2">
        <v>0</v>
      </c>
      <c r="W434" s="2"/>
    </row>
    <row r="435" spans="22:23" x14ac:dyDescent="0.25">
      <c r="V435" s="2">
        <v>0</v>
      </c>
      <c r="W435" s="2"/>
    </row>
    <row r="436" spans="22:23" x14ac:dyDescent="0.25">
      <c r="V436" s="2">
        <v>0</v>
      </c>
      <c r="W436" s="2"/>
    </row>
    <row r="437" spans="22:23" x14ac:dyDescent="0.25">
      <c r="V437" s="2">
        <v>0</v>
      </c>
      <c r="W437" s="2"/>
    </row>
    <row r="438" spans="22:23" x14ac:dyDescent="0.25">
      <c r="V438" s="2">
        <v>0</v>
      </c>
      <c r="W438" s="2"/>
    </row>
    <row r="439" spans="22:23" x14ac:dyDescent="0.25">
      <c r="V439" s="2">
        <v>0</v>
      </c>
      <c r="W439" s="2"/>
    </row>
    <row r="440" spans="22:23" x14ac:dyDescent="0.25">
      <c r="V440" s="2">
        <v>0</v>
      </c>
      <c r="W440" s="2"/>
    </row>
    <row r="441" spans="22:23" x14ac:dyDescent="0.25">
      <c r="V441" s="2">
        <v>0</v>
      </c>
      <c r="W441" s="2"/>
    </row>
    <row r="442" spans="22:23" x14ac:dyDescent="0.25">
      <c r="V442" s="2">
        <v>0</v>
      </c>
      <c r="W442" s="2"/>
    </row>
    <row r="443" spans="22:23" x14ac:dyDescent="0.25">
      <c r="V443" s="2">
        <v>0</v>
      </c>
      <c r="W443" s="2"/>
    </row>
    <row r="444" spans="22:23" x14ac:dyDescent="0.25">
      <c r="V444" s="2">
        <v>0</v>
      </c>
      <c r="W444" s="2"/>
    </row>
    <row r="445" spans="22:23" x14ac:dyDescent="0.25">
      <c r="V445" s="2">
        <v>0</v>
      </c>
      <c r="W445" s="2"/>
    </row>
    <row r="446" spans="22:23" x14ac:dyDescent="0.25">
      <c r="V446" s="2">
        <v>0</v>
      </c>
      <c r="W446" s="2"/>
    </row>
    <row r="447" spans="22:23" x14ac:dyDescent="0.25">
      <c r="V447" s="2">
        <v>0</v>
      </c>
      <c r="W447" s="2"/>
    </row>
    <row r="448" spans="22:23" x14ac:dyDescent="0.25">
      <c r="V448" s="2">
        <v>0</v>
      </c>
      <c r="W448" s="2"/>
    </row>
    <row r="449" spans="22:23" x14ac:dyDescent="0.25">
      <c r="V449" s="2">
        <v>0</v>
      </c>
      <c r="W449" s="2"/>
    </row>
    <row r="450" spans="22:23" x14ac:dyDescent="0.25">
      <c r="V450" s="2">
        <v>0</v>
      </c>
      <c r="W450" s="2"/>
    </row>
    <row r="451" spans="22:23" x14ac:dyDescent="0.25">
      <c r="V451" s="2">
        <v>0</v>
      </c>
      <c r="W451" s="2"/>
    </row>
    <row r="452" spans="22:23" x14ac:dyDescent="0.25">
      <c r="V452" s="2">
        <v>0</v>
      </c>
      <c r="W452" s="2"/>
    </row>
    <row r="453" spans="22:23" x14ac:dyDescent="0.25">
      <c r="V453" s="2">
        <v>0</v>
      </c>
      <c r="W453" s="2"/>
    </row>
    <row r="454" spans="22:23" x14ac:dyDescent="0.25">
      <c r="V454" s="2">
        <v>0</v>
      </c>
      <c r="W454" s="2"/>
    </row>
    <row r="455" spans="22:23" x14ac:dyDescent="0.25">
      <c r="V455" s="2">
        <v>0</v>
      </c>
      <c r="W455" s="2"/>
    </row>
    <row r="456" spans="22:23" x14ac:dyDescent="0.25">
      <c r="V456" s="2">
        <v>0</v>
      </c>
      <c r="W456" s="2"/>
    </row>
    <row r="457" spans="22:23" x14ac:dyDescent="0.25">
      <c r="V457" s="2">
        <v>0</v>
      </c>
      <c r="W457" s="2"/>
    </row>
    <row r="458" spans="22:23" x14ac:dyDescent="0.25">
      <c r="V458" s="2">
        <v>0</v>
      </c>
      <c r="W458" s="2"/>
    </row>
    <row r="459" spans="22:23" x14ac:dyDescent="0.25">
      <c r="V459" s="2">
        <v>0</v>
      </c>
      <c r="W459" s="2"/>
    </row>
    <row r="460" spans="22:23" x14ac:dyDescent="0.25">
      <c r="V460" s="2">
        <v>0</v>
      </c>
      <c r="W460" s="2"/>
    </row>
    <row r="461" spans="22:23" x14ac:dyDescent="0.25">
      <c r="V461" s="2">
        <v>0</v>
      </c>
      <c r="W461" s="2"/>
    </row>
    <row r="462" spans="22:23" x14ac:dyDescent="0.25">
      <c r="V462" s="2">
        <v>0</v>
      </c>
      <c r="W462" s="2"/>
    </row>
    <row r="463" spans="22:23" x14ac:dyDescent="0.25">
      <c r="V463" s="2">
        <v>0</v>
      </c>
      <c r="W463" s="2"/>
    </row>
    <row r="464" spans="22:23" x14ac:dyDescent="0.25">
      <c r="V464" s="2">
        <v>0</v>
      </c>
      <c r="W464" s="2"/>
    </row>
    <row r="465" spans="22:23" x14ac:dyDescent="0.25">
      <c r="V465" s="2">
        <v>0</v>
      </c>
      <c r="W465" s="2"/>
    </row>
    <row r="466" spans="22:23" x14ac:dyDescent="0.25">
      <c r="V466" s="2">
        <v>0</v>
      </c>
      <c r="W466" s="2"/>
    </row>
    <row r="467" spans="22:23" x14ac:dyDescent="0.25">
      <c r="V467" s="2">
        <v>0</v>
      </c>
      <c r="W467" s="2"/>
    </row>
    <row r="468" spans="22:23" x14ac:dyDescent="0.25">
      <c r="V468" s="2">
        <v>0</v>
      </c>
      <c r="W468" s="2"/>
    </row>
    <row r="469" spans="22:23" x14ac:dyDescent="0.25">
      <c r="V469" s="2">
        <v>0</v>
      </c>
      <c r="W469" s="2"/>
    </row>
    <row r="470" spans="22:23" x14ac:dyDescent="0.25">
      <c r="V470" s="2">
        <v>0</v>
      </c>
      <c r="W470" s="2"/>
    </row>
    <row r="471" spans="22:23" x14ac:dyDescent="0.25">
      <c r="V471" s="2">
        <v>0</v>
      </c>
      <c r="W471" s="2"/>
    </row>
    <row r="472" spans="22:23" x14ac:dyDescent="0.25">
      <c r="V472" s="2">
        <v>0</v>
      </c>
      <c r="W472" s="2"/>
    </row>
    <row r="473" spans="22:23" x14ac:dyDescent="0.25">
      <c r="V473" s="2">
        <v>0</v>
      </c>
      <c r="W473" s="2"/>
    </row>
    <row r="474" spans="22:23" x14ac:dyDescent="0.25">
      <c r="V474" s="2">
        <v>0</v>
      </c>
      <c r="W474" s="2"/>
    </row>
    <row r="475" spans="22:23" x14ac:dyDescent="0.25">
      <c r="V475" s="2">
        <v>0</v>
      </c>
      <c r="W475" s="2"/>
    </row>
    <row r="476" spans="22:23" x14ac:dyDescent="0.25">
      <c r="V476" s="2">
        <v>0</v>
      </c>
      <c r="W476" s="2"/>
    </row>
    <row r="477" spans="22:23" x14ac:dyDescent="0.25">
      <c r="V477" s="2">
        <v>0</v>
      </c>
      <c r="W477" s="2"/>
    </row>
    <row r="478" spans="22:23" x14ac:dyDescent="0.25">
      <c r="V478" s="2">
        <v>0</v>
      </c>
      <c r="W478" s="2"/>
    </row>
    <row r="479" spans="22:23" x14ac:dyDescent="0.25">
      <c r="V479" s="2">
        <v>0</v>
      </c>
      <c r="W479" s="2"/>
    </row>
    <row r="480" spans="22:23" x14ac:dyDescent="0.25">
      <c r="V480" s="2">
        <v>0</v>
      </c>
      <c r="W480" s="2"/>
    </row>
    <row r="481" spans="22:23" x14ac:dyDescent="0.25">
      <c r="V481" s="2">
        <v>0</v>
      </c>
      <c r="W481" s="2"/>
    </row>
    <row r="482" spans="22:23" x14ac:dyDescent="0.25">
      <c r="V482" s="2">
        <v>0</v>
      </c>
      <c r="W482" s="2"/>
    </row>
    <row r="483" spans="22:23" x14ac:dyDescent="0.25">
      <c r="V483" s="2">
        <v>0</v>
      </c>
      <c r="W483" s="2"/>
    </row>
    <row r="484" spans="22:23" x14ac:dyDescent="0.25">
      <c r="V484" s="2">
        <v>0</v>
      </c>
      <c r="W484" s="2"/>
    </row>
    <row r="485" spans="22:23" x14ac:dyDescent="0.25">
      <c r="V485" s="2">
        <v>0</v>
      </c>
      <c r="W485" s="2"/>
    </row>
    <row r="486" spans="22:23" x14ac:dyDescent="0.25">
      <c r="V486" s="2">
        <v>0</v>
      </c>
      <c r="W486" s="2"/>
    </row>
    <row r="487" spans="22:23" x14ac:dyDescent="0.25">
      <c r="V487" s="2">
        <v>0</v>
      </c>
      <c r="W487" s="2"/>
    </row>
    <row r="488" spans="22:23" x14ac:dyDescent="0.25">
      <c r="V488" s="2">
        <v>0</v>
      </c>
      <c r="W488" s="2"/>
    </row>
    <row r="489" spans="22:23" x14ac:dyDescent="0.25">
      <c r="V489" s="2">
        <v>0</v>
      </c>
      <c r="W489" s="2"/>
    </row>
    <row r="490" spans="22:23" x14ac:dyDescent="0.25">
      <c r="V490" s="2">
        <v>0</v>
      </c>
      <c r="W490" s="2"/>
    </row>
    <row r="491" spans="22:23" x14ac:dyDescent="0.25">
      <c r="V491" s="2">
        <v>0</v>
      </c>
      <c r="W491" s="2"/>
    </row>
    <row r="492" spans="22:23" x14ac:dyDescent="0.25">
      <c r="V492" s="2">
        <v>0</v>
      </c>
      <c r="W492" s="2"/>
    </row>
    <row r="493" spans="22:23" x14ac:dyDescent="0.25">
      <c r="V493" s="2">
        <v>0</v>
      </c>
      <c r="W493" s="2"/>
    </row>
    <row r="494" spans="22:23" x14ac:dyDescent="0.25">
      <c r="V494" s="2">
        <v>0</v>
      </c>
      <c r="W494" s="2"/>
    </row>
    <row r="495" spans="22:23" x14ac:dyDescent="0.25">
      <c r="V495" s="2">
        <v>0</v>
      </c>
      <c r="W495" s="2"/>
    </row>
    <row r="496" spans="22:23" x14ac:dyDescent="0.25">
      <c r="V496" s="2">
        <v>0</v>
      </c>
      <c r="W496" s="2"/>
    </row>
    <row r="497" spans="22:23" x14ac:dyDescent="0.25">
      <c r="V497" s="2">
        <v>0</v>
      </c>
      <c r="W497" s="2"/>
    </row>
    <row r="498" spans="22:23" x14ac:dyDescent="0.25">
      <c r="V498" s="2">
        <v>0</v>
      </c>
      <c r="W498" s="2"/>
    </row>
    <row r="499" spans="22:23" x14ac:dyDescent="0.25">
      <c r="V499" s="2">
        <v>0</v>
      </c>
      <c r="W499" s="2"/>
    </row>
    <row r="500" spans="22:23" x14ac:dyDescent="0.25">
      <c r="V500" s="2">
        <v>0</v>
      </c>
      <c r="W500" s="2"/>
    </row>
    <row r="501" spans="22:23" x14ac:dyDescent="0.25">
      <c r="V501" s="2">
        <v>0</v>
      </c>
      <c r="W501" s="2"/>
    </row>
    <row r="502" spans="22:23" x14ac:dyDescent="0.25">
      <c r="V502" s="2">
        <v>0</v>
      </c>
      <c r="W502" s="2"/>
    </row>
    <row r="503" spans="22:23" x14ac:dyDescent="0.25">
      <c r="V503" s="2">
        <v>0</v>
      </c>
      <c r="W503" s="2"/>
    </row>
    <row r="504" spans="22:23" x14ac:dyDescent="0.25">
      <c r="V504" s="2">
        <v>0</v>
      </c>
      <c r="W504" s="2"/>
    </row>
    <row r="505" spans="22:23" x14ac:dyDescent="0.25">
      <c r="V505" s="2">
        <v>0</v>
      </c>
      <c r="W505" s="2"/>
    </row>
    <row r="506" spans="22:23" x14ac:dyDescent="0.25">
      <c r="V506" s="2">
        <v>0</v>
      </c>
      <c r="W506" s="2"/>
    </row>
    <row r="507" spans="22:23" x14ac:dyDescent="0.25">
      <c r="V507" s="2">
        <v>0</v>
      </c>
      <c r="W507" s="2"/>
    </row>
    <row r="508" spans="22:23" x14ac:dyDescent="0.25">
      <c r="V508" s="2">
        <v>0</v>
      </c>
      <c r="W508" s="2"/>
    </row>
    <row r="509" spans="22:23" x14ac:dyDescent="0.25">
      <c r="V509" s="2">
        <v>0</v>
      </c>
      <c r="W509" s="2"/>
    </row>
    <row r="510" spans="22:23" x14ac:dyDescent="0.25">
      <c r="V510" s="2">
        <v>0</v>
      </c>
      <c r="W510" s="2"/>
    </row>
    <row r="511" spans="22:23" x14ac:dyDescent="0.25">
      <c r="V511" s="2">
        <v>0</v>
      </c>
      <c r="W511" s="2"/>
    </row>
    <row r="512" spans="22:23" x14ac:dyDescent="0.25">
      <c r="V512" s="2">
        <v>0</v>
      </c>
      <c r="W512" s="2"/>
    </row>
    <row r="513" spans="22:23" x14ac:dyDescent="0.25">
      <c r="V513" s="2">
        <v>0</v>
      </c>
      <c r="W513" s="2"/>
    </row>
    <row r="514" spans="22:23" x14ac:dyDescent="0.25">
      <c r="V514" s="2">
        <v>0</v>
      </c>
      <c r="W514" s="2"/>
    </row>
    <row r="515" spans="22:23" x14ac:dyDescent="0.25">
      <c r="V515" s="2">
        <v>0</v>
      </c>
      <c r="W515" s="2"/>
    </row>
    <row r="516" spans="22:23" x14ac:dyDescent="0.25">
      <c r="V516" s="2">
        <v>0</v>
      </c>
      <c r="W516" s="2"/>
    </row>
    <row r="517" spans="22:23" x14ac:dyDescent="0.25">
      <c r="V517" s="2">
        <v>0</v>
      </c>
      <c r="W517" s="2"/>
    </row>
    <row r="518" spans="22:23" x14ac:dyDescent="0.25">
      <c r="V518" s="2">
        <v>0</v>
      </c>
      <c r="W518" s="2"/>
    </row>
    <row r="519" spans="22:23" x14ac:dyDescent="0.25">
      <c r="V519" s="2">
        <v>0</v>
      </c>
      <c r="W519" s="2"/>
    </row>
    <row r="520" spans="22:23" x14ac:dyDescent="0.25">
      <c r="V520" s="2">
        <v>0</v>
      </c>
      <c r="W520" s="2"/>
    </row>
    <row r="521" spans="22:23" x14ac:dyDescent="0.25">
      <c r="V521" s="2">
        <v>0</v>
      </c>
      <c r="W521" s="2"/>
    </row>
    <row r="522" spans="22:23" x14ac:dyDescent="0.25">
      <c r="V522" s="2">
        <v>0</v>
      </c>
      <c r="W522" s="2"/>
    </row>
    <row r="523" spans="22:23" x14ac:dyDescent="0.25">
      <c r="V523" s="2">
        <v>0</v>
      </c>
      <c r="W523" s="2"/>
    </row>
    <row r="524" spans="22:23" x14ac:dyDescent="0.25">
      <c r="V524" s="2">
        <v>0</v>
      </c>
      <c r="W524" s="2"/>
    </row>
    <row r="525" spans="22:23" x14ac:dyDescent="0.25">
      <c r="V525" s="2">
        <v>0</v>
      </c>
      <c r="W525" s="2"/>
    </row>
    <row r="526" spans="22:23" x14ac:dyDescent="0.25">
      <c r="V526" s="2">
        <v>0</v>
      </c>
      <c r="W526" s="2"/>
    </row>
    <row r="527" spans="22:23" x14ac:dyDescent="0.25">
      <c r="V527" s="2">
        <v>0</v>
      </c>
      <c r="W527" s="2"/>
    </row>
    <row r="528" spans="22:23" x14ac:dyDescent="0.25">
      <c r="V528" s="2">
        <v>0</v>
      </c>
      <c r="W528" s="2"/>
    </row>
    <row r="529" spans="22:23" x14ac:dyDescent="0.25">
      <c r="V529" s="2">
        <v>0</v>
      </c>
      <c r="W529" s="2"/>
    </row>
    <row r="530" spans="22:23" x14ac:dyDescent="0.25">
      <c r="V530" s="2">
        <v>0</v>
      </c>
      <c r="W530" s="2"/>
    </row>
    <row r="531" spans="22:23" x14ac:dyDescent="0.25">
      <c r="V531" s="2">
        <v>0</v>
      </c>
      <c r="W531" s="2"/>
    </row>
    <row r="532" spans="22:23" x14ac:dyDescent="0.25">
      <c r="V532" s="2">
        <v>0</v>
      </c>
      <c r="W532" s="2"/>
    </row>
    <row r="533" spans="22:23" x14ac:dyDescent="0.25">
      <c r="V533" s="2">
        <v>0</v>
      </c>
      <c r="W533" s="2"/>
    </row>
    <row r="534" spans="22:23" x14ac:dyDescent="0.25">
      <c r="V534" s="2">
        <v>0</v>
      </c>
      <c r="W534" s="2"/>
    </row>
    <row r="535" spans="22:23" x14ac:dyDescent="0.25">
      <c r="V535" s="2">
        <v>0</v>
      </c>
      <c r="W535" s="2"/>
    </row>
    <row r="536" spans="22:23" x14ac:dyDescent="0.25">
      <c r="V536" s="2">
        <v>0</v>
      </c>
      <c r="W536" s="2"/>
    </row>
    <row r="537" spans="22:23" x14ac:dyDescent="0.25">
      <c r="V537" s="2">
        <v>0</v>
      </c>
      <c r="W537" s="2"/>
    </row>
    <row r="538" spans="22:23" x14ac:dyDescent="0.25">
      <c r="V538" s="2">
        <v>0</v>
      </c>
      <c r="W538" s="2"/>
    </row>
    <row r="539" spans="22:23" x14ac:dyDescent="0.25">
      <c r="V539" s="2">
        <v>0</v>
      </c>
      <c r="W539" s="2"/>
    </row>
    <row r="540" spans="22:23" x14ac:dyDescent="0.25">
      <c r="V540" s="2">
        <v>0</v>
      </c>
      <c r="W540" s="2"/>
    </row>
    <row r="541" spans="22:23" x14ac:dyDescent="0.25">
      <c r="V541" s="2">
        <v>0</v>
      </c>
      <c r="W541" s="2"/>
    </row>
    <row r="542" spans="22:23" x14ac:dyDescent="0.25">
      <c r="V542" s="2">
        <v>0</v>
      </c>
      <c r="W542" s="2"/>
    </row>
    <row r="543" spans="22:23" x14ac:dyDescent="0.25">
      <c r="V543" s="2">
        <v>0</v>
      </c>
      <c r="W543" s="2"/>
    </row>
    <row r="544" spans="22:23" x14ac:dyDescent="0.25">
      <c r="V544" s="2">
        <v>0</v>
      </c>
      <c r="W544" s="2"/>
    </row>
    <row r="545" spans="22:23" x14ac:dyDescent="0.25">
      <c r="V545" s="2">
        <v>0</v>
      </c>
      <c r="W545" s="2"/>
    </row>
    <row r="546" spans="22:23" x14ac:dyDescent="0.25">
      <c r="V546" s="2">
        <v>0</v>
      </c>
      <c r="W546" s="2"/>
    </row>
    <row r="547" spans="22:23" x14ac:dyDescent="0.25">
      <c r="V547" s="2">
        <v>0</v>
      </c>
      <c r="W547" s="2"/>
    </row>
    <row r="548" spans="22:23" x14ac:dyDescent="0.25">
      <c r="V548" s="2">
        <v>0</v>
      </c>
      <c r="W548" s="2"/>
    </row>
    <row r="549" spans="22:23" x14ac:dyDescent="0.25">
      <c r="V549" s="2">
        <v>0</v>
      </c>
      <c r="W549" s="2"/>
    </row>
    <row r="550" spans="22:23" x14ac:dyDescent="0.25">
      <c r="V550" s="2">
        <v>0</v>
      </c>
      <c r="W550" s="2"/>
    </row>
    <row r="551" spans="22:23" x14ac:dyDescent="0.25">
      <c r="V551" s="2">
        <v>0</v>
      </c>
      <c r="W551" s="2"/>
    </row>
    <row r="552" spans="22:23" x14ac:dyDescent="0.25">
      <c r="V552" s="2">
        <v>0</v>
      </c>
      <c r="W552" s="2"/>
    </row>
    <row r="553" spans="22:23" x14ac:dyDescent="0.25">
      <c r="V553" s="2">
        <v>0</v>
      </c>
      <c r="W553" s="2"/>
    </row>
    <row r="554" spans="22:23" x14ac:dyDescent="0.25">
      <c r="V554" s="2">
        <v>0</v>
      </c>
      <c r="W554" s="2"/>
    </row>
    <row r="555" spans="22:23" x14ac:dyDescent="0.25">
      <c r="V555" s="2">
        <v>0</v>
      </c>
      <c r="W555" s="2"/>
    </row>
    <row r="556" spans="22:23" x14ac:dyDescent="0.25">
      <c r="V556" s="2">
        <v>0</v>
      </c>
      <c r="W556" s="2"/>
    </row>
    <row r="557" spans="22:23" x14ac:dyDescent="0.25">
      <c r="V557" s="2">
        <v>0</v>
      </c>
      <c r="W557" s="2"/>
    </row>
    <row r="558" spans="22:23" x14ac:dyDescent="0.25">
      <c r="V558" s="2">
        <v>0</v>
      </c>
      <c r="W558" s="2"/>
    </row>
    <row r="559" spans="22:23" x14ac:dyDescent="0.25">
      <c r="V559" s="2">
        <v>0</v>
      </c>
      <c r="W559" s="2"/>
    </row>
    <row r="560" spans="22:23" x14ac:dyDescent="0.25">
      <c r="V560" s="2">
        <v>0</v>
      </c>
      <c r="W560" s="2"/>
    </row>
    <row r="561" spans="22:23" x14ac:dyDescent="0.25">
      <c r="V561" s="2">
        <v>0</v>
      </c>
      <c r="W561" s="2"/>
    </row>
    <row r="562" spans="22:23" x14ac:dyDescent="0.25">
      <c r="V562" s="2">
        <v>0</v>
      </c>
      <c r="W562" s="2"/>
    </row>
    <row r="563" spans="22:23" x14ac:dyDescent="0.25">
      <c r="V563" s="2">
        <v>0</v>
      </c>
      <c r="W563" s="2"/>
    </row>
    <row r="564" spans="22:23" x14ac:dyDescent="0.25">
      <c r="V564" s="2">
        <v>0</v>
      </c>
      <c r="W564" s="2"/>
    </row>
    <row r="565" spans="22:23" x14ac:dyDescent="0.25">
      <c r="V565" s="2">
        <v>0</v>
      </c>
      <c r="W565" s="2"/>
    </row>
    <row r="566" spans="22:23" x14ac:dyDescent="0.25">
      <c r="V566" s="2">
        <v>0</v>
      </c>
      <c r="W566" s="2"/>
    </row>
    <row r="567" spans="22:23" x14ac:dyDescent="0.25">
      <c r="V567" s="2">
        <v>0</v>
      </c>
      <c r="W567" s="2"/>
    </row>
    <row r="568" spans="22:23" x14ac:dyDescent="0.25">
      <c r="V568" s="2">
        <v>0</v>
      </c>
      <c r="W568" s="2"/>
    </row>
    <row r="569" spans="22:23" x14ac:dyDescent="0.25">
      <c r="V569" s="2">
        <v>0</v>
      </c>
      <c r="W569" s="2"/>
    </row>
    <row r="570" spans="22:23" x14ac:dyDescent="0.25">
      <c r="V570" s="2">
        <v>0</v>
      </c>
      <c r="W570" s="2"/>
    </row>
    <row r="571" spans="22:23" x14ac:dyDescent="0.25">
      <c r="V571" s="2">
        <v>0</v>
      </c>
      <c r="W571" s="2"/>
    </row>
    <row r="572" spans="22:23" x14ac:dyDescent="0.25">
      <c r="V572" s="2">
        <v>0</v>
      </c>
      <c r="W572" s="2"/>
    </row>
    <row r="573" spans="22:23" x14ac:dyDescent="0.25">
      <c r="V573" s="2">
        <v>0</v>
      </c>
      <c r="W573" s="2"/>
    </row>
    <row r="574" spans="22:23" x14ac:dyDescent="0.25">
      <c r="V574" s="2">
        <v>0</v>
      </c>
      <c r="W574" s="2"/>
    </row>
    <row r="575" spans="22:23" x14ac:dyDescent="0.25">
      <c r="V575" s="2">
        <v>0</v>
      </c>
      <c r="W575" s="2"/>
    </row>
    <row r="576" spans="22:23" x14ac:dyDescent="0.25">
      <c r="V576" s="2">
        <v>0</v>
      </c>
      <c r="W576" s="2"/>
    </row>
    <row r="577" spans="22:23" x14ac:dyDescent="0.25">
      <c r="V577" s="2">
        <v>0</v>
      </c>
      <c r="W577" s="2"/>
    </row>
    <row r="578" spans="22:23" x14ac:dyDescent="0.25">
      <c r="V578" s="2">
        <v>0</v>
      </c>
      <c r="W578" s="2"/>
    </row>
    <row r="579" spans="22:23" x14ac:dyDescent="0.25">
      <c r="V579" s="2">
        <v>0</v>
      </c>
      <c r="W579" s="2"/>
    </row>
    <row r="580" spans="22:23" x14ac:dyDescent="0.25">
      <c r="V580" s="2">
        <v>0</v>
      </c>
      <c r="W580" s="2"/>
    </row>
    <row r="581" spans="22:23" x14ac:dyDescent="0.25">
      <c r="V581" s="2">
        <v>0</v>
      </c>
      <c r="W581" s="2"/>
    </row>
    <row r="582" spans="22:23" x14ac:dyDescent="0.25">
      <c r="V582" s="2">
        <v>0</v>
      </c>
      <c r="W582" s="2"/>
    </row>
    <row r="583" spans="22:23" x14ac:dyDescent="0.25">
      <c r="V583" s="2">
        <v>0</v>
      </c>
      <c r="W583" s="2"/>
    </row>
    <row r="584" spans="22:23" x14ac:dyDescent="0.25">
      <c r="V584" s="2">
        <v>0</v>
      </c>
      <c r="W584" s="2"/>
    </row>
    <row r="585" spans="22:23" x14ac:dyDescent="0.25">
      <c r="V585" s="2">
        <v>0</v>
      </c>
      <c r="W585" s="2"/>
    </row>
    <row r="586" spans="22:23" x14ac:dyDescent="0.25">
      <c r="V586" s="2">
        <v>0</v>
      </c>
      <c r="W586" s="2"/>
    </row>
    <row r="587" spans="22:23" x14ac:dyDescent="0.25">
      <c r="V587" s="2">
        <v>0</v>
      </c>
      <c r="W587" s="2"/>
    </row>
    <row r="588" spans="22:23" x14ac:dyDescent="0.25">
      <c r="V588" s="2">
        <v>0</v>
      </c>
      <c r="W588" s="2"/>
    </row>
    <row r="589" spans="22:23" x14ac:dyDescent="0.25">
      <c r="V589" s="2">
        <v>0</v>
      </c>
      <c r="W589" s="2"/>
    </row>
    <row r="590" spans="22:23" x14ac:dyDescent="0.25">
      <c r="V590" s="2">
        <v>0</v>
      </c>
      <c r="W590" s="2"/>
    </row>
    <row r="591" spans="22:23" x14ac:dyDescent="0.25">
      <c r="V591" s="2">
        <v>0</v>
      </c>
      <c r="W591" s="2"/>
    </row>
    <row r="592" spans="22:23" x14ac:dyDescent="0.25">
      <c r="V592" s="2">
        <v>0</v>
      </c>
      <c r="W592" s="2"/>
    </row>
    <row r="593" spans="22:23" x14ac:dyDescent="0.25">
      <c r="V593" s="2">
        <v>0</v>
      </c>
      <c r="W593" s="2"/>
    </row>
    <row r="594" spans="22:23" x14ac:dyDescent="0.25">
      <c r="V594" s="2">
        <v>0</v>
      </c>
      <c r="W594" s="2"/>
    </row>
    <row r="595" spans="22:23" x14ac:dyDescent="0.25">
      <c r="V595" s="2">
        <v>0</v>
      </c>
      <c r="W595" s="2"/>
    </row>
    <row r="596" spans="22:23" x14ac:dyDescent="0.25">
      <c r="V596" s="2">
        <v>0</v>
      </c>
      <c r="W596" s="2"/>
    </row>
    <row r="597" spans="22:23" x14ac:dyDescent="0.25">
      <c r="V597" s="2">
        <v>0</v>
      </c>
      <c r="W597" s="2"/>
    </row>
    <row r="598" spans="22:23" x14ac:dyDescent="0.25">
      <c r="V598" s="2">
        <v>0</v>
      </c>
      <c r="W598" s="2"/>
    </row>
    <row r="599" spans="22:23" x14ac:dyDescent="0.25">
      <c r="V599" s="2">
        <v>0</v>
      </c>
      <c r="W599" s="2"/>
    </row>
    <row r="600" spans="22:23" x14ac:dyDescent="0.25">
      <c r="V600" s="2">
        <v>0</v>
      </c>
      <c r="W600" s="2"/>
    </row>
    <row r="601" spans="22:23" x14ac:dyDescent="0.25">
      <c r="V601" s="2">
        <v>0</v>
      </c>
      <c r="W601" s="2"/>
    </row>
    <row r="602" spans="22:23" x14ac:dyDescent="0.25">
      <c r="V602" s="2">
        <v>0</v>
      </c>
      <c r="W602" s="2"/>
    </row>
    <row r="603" spans="22:23" x14ac:dyDescent="0.25">
      <c r="V603" s="2">
        <v>0</v>
      </c>
      <c r="W603" s="2"/>
    </row>
    <row r="604" spans="22:23" x14ac:dyDescent="0.25">
      <c r="V604" s="2">
        <v>0</v>
      </c>
      <c r="W604" s="2"/>
    </row>
    <row r="605" spans="22:23" x14ac:dyDescent="0.25">
      <c r="V605" s="2">
        <v>0</v>
      </c>
      <c r="W605" s="2"/>
    </row>
    <row r="606" spans="22:23" x14ac:dyDescent="0.25">
      <c r="V606" s="2">
        <v>0</v>
      </c>
      <c r="W606" s="2"/>
    </row>
    <row r="607" spans="22:23" x14ac:dyDescent="0.25">
      <c r="V607" s="2">
        <v>0</v>
      </c>
      <c r="W607" s="2"/>
    </row>
    <row r="608" spans="22:23" x14ac:dyDescent="0.25">
      <c r="V608" s="2">
        <v>0</v>
      </c>
      <c r="W608" s="2"/>
    </row>
    <row r="609" spans="22:23" x14ac:dyDescent="0.25">
      <c r="V609" s="2">
        <v>0</v>
      </c>
      <c r="W609" s="2"/>
    </row>
    <row r="610" spans="22:23" x14ac:dyDescent="0.25">
      <c r="V610" s="2">
        <v>0</v>
      </c>
      <c r="W610" s="2"/>
    </row>
    <row r="611" spans="22:23" x14ac:dyDescent="0.25">
      <c r="V611" s="2">
        <v>0</v>
      </c>
      <c r="W611" s="2"/>
    </row>
    <row r="612" spans="22:23" x14ac:dyDescent="0.25">
      <c r="V612" s="2">
        <v>0</v>
      </c>
      <c r="W612" s="2"/>
    </row>
    <row r="613" spans="22:23" x14ac:dyDescent="0.25">
      <c r="V613" s="2">
        <v>0</v>
      </c>
      <c r="W613" s="2"/>
    </row>
    <row r="614" spans="22:23" x14ac:dyDescent="0.25">
      <c r="V614" s="2">
        <v>0</v>
      </c>
      <c r="W614" s="2"/>
    </row>
    <row r="615" spans="22:23" x14ac:dyDescent="0.25">
      <c r="V615" s="2">
        <v>0</v>
      </c>
      <c r="W615" s="2"/>
    </row>
    <row r="616" spans="22:23" x14ac:dyDescent="0.25">
      <c r="V616" s="2">
        <v>0</v>
      </c>
      <c r="W616" s="2"/>
    </row>
    <row r="617" spans="22:23" x14ac:dyDescent="0.25">
      <c r="V617" s="2">
        <v>0</v>
      </c>
      <c r="W617" s="2"/>
    </row>
    <row r="618" spans="22:23" x14ac:dyDescent="0.25">
      <c r="V618" s="2">
        <v>0</v>
      </c>
      <c r="W618" s="2"/>
    </row>
    <row r="619" spans="22:23" x14ac:dyDescent="0.25">
      <c r="V619" s="2">
        <v>0</v>
      </c>
      <c r="W619" s="2"/>
    </row>
    <row r="620" spans="22:23" x14ac:dyDescent="0.25">
      <c r="V620" s="2">
        <v>0</v>
      </c>
      <c r="W620" s="2"/>
    </row>
    <row r="621" spans="22:23" x14ac:dyDescent="0.25">
      <c r="V621" s="2">
        <v>0</v>
      </c>
      <c r="W621" s="2"/>
    </row>
    <row r="622" spans="22:23" x14ac:dyDescent="0.25">
      <c r="V622" s="2">
        <v>0</v>
      </c>
      <c r="W622" s="2"/>
    </row>
    <row r="623" spans="22:23" x14ac:dyDescent="0.25">
      <c r="V623" s="2">
        <v>0</v>
      </c>
      <c r="W623" s="2"/>
    </row>
    <row r="624" spans="22:23" x14ac:dyDescent="0.25">
      <c r="V624" s="2">
        <v>0</v>
      </c>
      <c r="W624" s="2"/>
    </row>
    <row r="625" spans="22:23" x14ac:dyDescent="0.25">
      <c r="V625" s="2">
        <v>0</v>
      </c>
      <c r="W625" s="2"/>
    </row>
    <row r="626" spans="22:23" x14ac:dyDescent="0.25">
      <c r="V626" s="2">
        <v>0</v>
      </c>
      <c r="W626" s="2"/>
    </row>
    <row r="627" spans="22:23" x14ac:dyDescent="0.25">
      <c r="V627" s="2">
        <v>0</v>
      </c>
      <c r="W627" s="2"/>
    </row>
    <row r="628" spans="22:23" x14ac:dyDescent="0.25">
      <c r="V628" s="2">
        <v>0</v>
      </c>
      <c r="W628" s="2"/>
    </row>
    <row r="629" spans="22:23" x14ac:dyDescent="0.25">
      <c r="V629" s="2">
        <v>0</v>
      </c>
      <c r="W629" s="2"/>
    </row>
    <row r="630" spans="22:23" x14ac:dyDescent="0.25">
      <c r="V630" s="2">
        <v>0</v>
      </c>
      <c r="W630" s="2"/>
    </row>
    <row r="631" spans="22:23" x14ac:dyDescent="0.25">
      <c r="V631" s="2">
        <v>0</v>
      </c>
      <c r="W631" s="2"/>
    </row>
    <row r="632" spans="22:23" x14ac:dyDescent="0.25">
      <c r="V632" s="2">
        <v>0</v>
      </c>
      <c r="W632" s="2"/>
    </row>
    <row r="633" spans="22:23" x14ac:dyDescent="0.25">
      <c r="V633" s="2">
        <v>0</v>
      </c>
      <c r="W633" s="2"/>
    </row>
    <row r="634" spans="22:23" x14ac:dyDescent="0.25">
      <c r="V634" s="2">
        <v>0</v>
      </c>
      <c r="W634" s="2"/>
    </row>
    <row r="635" spans="22:23" x14ac:dyDescent="0.25">
      <c r="V635" s="2">
        <v>0</v>
      </c>
      <c r="W635" s="2"/>
    </row>
    <row r="636" spans="22:23" x14ac:dyDescent="0.25">
      <c r="V636" s="2">
        <v>0</v>
      </c>
      <c r="W636" s="2"/>
    </row>
    <row r="637" spans="22:23" x14ac:dyDescent="0.25">
      <c r="V637" s="2">
        <v>0</v>
      </c>
      <c r="W637" s="2"/>
    </row>
    <row r="638" spans="22:23" x14ac:dyDescent="0.25">
      <c r="V638" s="2">
        <v>0</v>
      </c>
      <c r="W638" s="2"/>
    </row>
    <row r="639" spans="22:23" x14ac:dyDescent="0.25">
      <c r="V639" s="2">
        <v>0</v>
      </c>
      <c r="W639" s="2"/>
    </row>
    <row r="640" spans="22:23" x14ac:dyDescent="0.25">
      <c r="V640" s="2">
        <v>0</v>
      </c>
      <c r="W640" s="2"/>
    </row>
    <row r="641" spans="22:23" x14ac:dyDescent="0.25">
      <c r="V641" s="2">
        <v>0</v>
      </c>
      <c r="W641" s="2"/>
    </row>
    <row r="642" spans="22:23" x14ac:dyDescent="0.25">
      <c r="V642" s="2">
        <v>0</v>
      </c>
      <c r="W642" s="2"/>
    </row>
    <row r="643" spans="22:23" x14ac:dyDescent="0.25">
      <c r="V643" s="2">
        <v>0</v>
      </c>
      <c r="W643" s="2"/>
    </row>
    <row r="644" spans="22:23" x14ac:dyDescent="0.25">
      <c r="V644" s="2">
        <v>0</v>
      </c>
      <c r="W644" s="2"/>
    </row>
    <row r="645" spans="22:23" x14ac:dyDescent="0.25">
      <c r="V645" s="2">
        <v>0</v>
      </c>
      <c r="W645" s="2"/>
    </row>
  </sheetData>
  <mergeCells count="1">
    <mergeCell ref="A65:O65"/>
  </mergeCells>
  <printOptions horizontalCentered="1" verticalCentered="1"/>
  <pageMargins left="0.75" right="0.75" top="1" bottom="1" header="0.5" footer="0.5"/>
  <pageSetup scale="6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AD4F-57EF-43D5-B5EB-C78D5E664607}">
  <sheetPr>
    <pageSetUpPr fitToPage="1"/>
  </sheetPr>
  <dimension ref="A1:X645"/>
  <sheetViews>
    <sheetView topLeftCell="A34" zoomScale="85" zoomScaleNormal="85" zoomScaleSheetLayoutView="55" workbookViewId="0"/>
  </sheetViews>
  <sheetFormatPr defaultRowHeight="13.2" x14ac:dyDescent="0.25"/>
  <cols>
    <col min="3" max="3" width="15.5546875" customWidth="1"/>
    <col min="17" max="19" width="9.21875" bestFit="1" customWidth="1"/>
    <col min="21" max="22" width="20.5546875" customWidth="1"/>
    <col min="23" max="23" width="12.44140625" bestFit="1" customWidth="1"/>
    <col min="24" max="24" width="9.21875" bestFit="1" customWidth="1"/>
  </cols>
  <sheetData>
    <row r="1" spans="17:23" ht="38.25" customHeight="1" x14ac:dyDescent="0.25">
      <c r="R1" s="37" t="s">
        <v>231</v>
      </c>
      <c r="S1" t="s">
        <v>50</v>
      </c>
      <c r="U1" s="44"/>
      <c r="V1" s="44"/>
    </row>
    <row r="2" spans="17:23" ht="13.5" customHeight="1" x14ac:dyDescent="0.25">
      <c r="Q2" t="s">
        <v>0</v>
      </c>
      <c r="U2" s="44"/>
      <c r="V2" s="44"/>
    </row>
    <row r="3" spans="17:23" ht="13.5" customHeight="1" x14ac:dyDescent="0.25">
      <c r="Q3" s="4">
        <v>2015</v>
      </c>
      <c r="R3">
        <v>4.5662563294172287E-2</v>
      </c>
      <c r="S3">
        <v>1.1823611333966255E-2</v>
      </c>
    </row>
    <row r="4" spans="17:23" ht="13.5" customHeight="1" x14ac:dyDescent="0.25">
      <c r="Q4" s="4">
        <f>Q3+1</f>
        <v>2016</v>
      </c>
      <c r="R4">
        <v>4.4127963483333588E-2</v>
      </c>
      <c r="S4">
        <v>1.0587689466774464E-2</v>
      </c>
    </row>
    <row r="5" spans="17:23" ht="13.5" customHeight="1" x14ac:dyDescent="0.25">
      <c r="Q5" s="4">
        <f>Q4+1</f>
        <v>2017</v>
      </c>
      <c r="R5">
        <v>4.4758569449186325E-2</v>
      </c>
      <c r="S5">
        <v>9.4297714531421661E-3</v>
      </c>
    </row>
    <row r="6" spans="17:23" ht="13.5" customHeight="1" x14ac:dyDescent="0.25">
      <c r="Q6" s="4">
        <f>Q5+1</f>
        <v>2018</v>
      </c>
      <c r="R6">
        <v>4.0445730090141296E-2</v>
      </c>
      <c r="S6">
        <v>1.2188548222184181E-2</v>
      </c>
    </row>
    <row r="7" spans="17:23" ht="13.5" customHeight="1" x14ac:dyDescent="0.25">
      <c r="Q7" s="4">
        <v>2019</v>
      </c>
      <c r="R7">
        <v>3.657073900103569E-2</v>
      </c>
      <c r="S7">
        <v>7.5435270555317402E-3</v>
      </c>
    </row>
    <row r="8" spans="17:23" ht="13.5" customHeight="1" x14ac:dyDescent="0.25">
      <c r="Q8" s="4">
        <v>2020</v>
      </c>
      <c r="R8">
        <v>3.2747022807598114E-2</v>
      </c>
      <c r="S8">
        <v>4.9539110623300076E-3</v>
      </c>
      <c r="U8" t="s">
        <v>115</v>
      </c>
      <c r="W8" t="s">
        <v>116</v>
      </c>
    </row>
    <row r="9" spans="17:23" ht="13.5" customHeight="1" x14ac:dyDescent="0.25">
      <c r="Q9" s="4">
        <v>2021</v>
      </c>
      <c r="R9">
        <v>2.308245562016964E-2</v>
      </c>
      <c r="S9">
        <v>5.9892148710787296E-3</v>
      </c>
      <c r="U9">
        <f>+R9-R8</f>
        <v>-9.6645671874284744E-3</v>
      </c>
      <c r="W9">
        <f>+U9/R8</f>
        <v>-0.29512811727074184</v>
      </c>
    </row>
    <row r="10" spans="17:23" ht="13.5" customHeight="1" x14ac:dyDescent="0.25">
      <c r="Q10" s="4">
        <v>2022</v>
      </c>
      <c r="R10">
        <v>3.7659462541341782E-2</v>
      </c>
      <c r="S10">
        <v>3.7338538095355034E-3</v>
      </c>
      <c r="U10">
        <f>+R10-R9</f>
        <v>1.4577006921172142E-2</v>
      </c>
      <c r="W10">
        <f>+U10/R9</f>
        <v>0.63151889734100186</v>
      </c>
    </row>
    <row r="11" spans="17:23" ht="13.5" customHeight="1" x14ac:dyDescent="0.25">
      <c r="Q11" s="4"/>
      <c r="T11" s="57"/>
    </row>
    <row r="12" spans="17:23" ht="13.5" customHeight="1" x14ac:dyDescent="0.25">
      <c r="Q12" s="4" t="s">
        <v>112</v>
      </c>
      <c r="R12" s="58">
        <f>+R7-R3</f>
        <v>-9.0918242931365967E-3</v>
      </c>
      <c r="S12" s="58">
        <f>+S7-S3</f>
        <v>-4.280084278434515E-3</v>
      </c>
      <c r="T12" s="57"/>
    </row>
    <row r="13" spans="17:23" ht="13.5" customHeight="1" x14ac:dyDescent="0.25">
      <c r="Q13" s="4" t="s">
        <v>113</v>
      </c>
      <c r="R13" s="58">
        <f>+R10-R8</f>
        <v>4.9124397337436676E-3</v>
      </c>
      <c r="S13" s="58">
        <f>+S10-S8</f>
        <v>-1.2200572527945042E-3</v>
      </c>
      <c r="T13" s="57"/>
    </row>
    <row r="14" spans="17:23" ht="13.5" customHeight="1" x14ac:dyDescent="0.25">
      <c r="Q14" s="4"/>
      <c r="T14" s="57"/>
    </row>
    <row r="15" spans="17:23" ht="13.5" customHeight="1" x14ac:dyDescent="0.25">
      <c r="Q15" s="4"/>
      <c r="T15" s="57"/>
    </row>
    <row r="16" spans="17:23" ht="13.5" customHeight="1" x14ac:dyDescent="0.25">
      <c r="Q16" s="4"/>
      <c r="T16" s="57"/>
    </row>
    <row r="17" spans="17:22" ht="13.5" customHeight="1" x14ac:dyDescent="0.25">
      <c r="Q17" s="4" t="s">
        <v>114</v>
      </c>
      <c r="T17" s="57"/>
    </row>
    <row r="18" spans="17:22" ht="13.5" customHeight="1" x14ac:dyDescent="0.25">
      <c r="Q18" s="4" t="s">
        <v>112</v>
      </c>
      <c r="R18" s="58">
        <f>+R7/R3-1</f>
        <v>-0.1991089338231905</v>
      </c>
      <c r="S18" s="58">
        <f>+S7/S3-1</f>
        <v>-0.36199466960986038</v>
      </c>
      <c r="T18" s="57"/>
    </row>
    <row r="19" spans="17:22" ht="13.5" customHeight="1" x14ac:dyDescent="0.25">
      <c r="Q19" s="4" t="s">
        <v>113</v>
      </c>
      <c r="R19" s="58">
        <f>+R10/R8-1</f>
        <v>0.1500117968771153</v>
      </c>
      <c r="S19" s="58">
        <f>+S10/S8-1</f>
        <v>-0.24628162222610961</v>
      </c>
      <c r="T19" s="53"/>
      <c r="U19" s="53"/>
      <c r="V19" s="57"/>
    </row>
    <row r="20" spans="17:22" ht="13.5" customHeight="1" x14ac:dyDescent="0.25">
      <c r="Q20" s="4"/>
    </row>
    <row r="21" spans="17:22" ht="13.5" customHeight="1" x14ac:dyDescent="0.25">
      <c r="Q21" s="4"/>
    </row>
    <row r="22" spans="17:22" ht="13.5" customHeight="1" x14ac:dyDescent="0.25">
      <c r="Q22" s="4"/>
    </row>
    <row r="23" spans="17:22" ht="13.5" customHeight="1" x14ac:dyDescent="0.25">
      <c r="Q23" s="4"/>
    </row>
    <row r="24" spans="17:22" ht="13.5" customHeight="1" x14ac:dyDescent="0.25">
      <c r="Q24" s="4"/>
    </row>
    <row r="25" spans="17:22" ht="13.5" customHeight="1" x14ac:dyDescent="0.25">
      <c r="Q25" s="4"/>
    </row>
    <row r="26" spans="17:22" ht="13.5" customHeight="1" x14ac:dyDescent="0.25">
      <c r="Q26" s="4"/>
    </row>
    <row r="27" spans="17:22" ht="13.5" customHeight="1" x14ac:dyDescent="0.25">
      <c r="Q27" s="4"/>
    </row>
    <row r="28" spans="17:22" ht="13.5" customHeight="1" x14ac:dyDescent="0.25">
      <c r="Q28" s="4"/>
    </row>
    <row r="29" spans="17:22" ht="13.5" customHeight="1" x14ac:dyDescent="0.25">
      <c r="Q29" s="4"/>
    </row>
    <row r="30" spans="17:22" ht="13.5" customHeight="1" x14ac:dyDescent="0.25">
      <c r="Q30" s="4"/>
    </row>
    <row r="31" spans="17:22" ht="13.5" customHeight="1" x14ac:dyDescent="0.25">
      <c r="Q31" s="4"/>
    </row>
    <row r="32" spans="17:22" ht="13.5" customHeight="1" x14ac:dyDescent="0.25">
      <c r="Q32" s="4"/>
    </row>
    <row r="33" spans="17:24" ht="13.5" customHeight="1" x14ac:dyDescent="0.25">
      <c r="Q33" s="4"/>
    </row>
    <row r="34" spans="17:24" ht="16.5" customHeight="1" x14ac:dyDescent="0.25">
      <c r="R34" s="37" t="s">
        <v>227</v>
      </c>
      <c r="S34" t="s">
        <v>50</v>
      </c>
    </row>
    <row r="35" spans="17:24" x14ac:dyDescent="0.25">
      <c r="Q35" t="s">
        <v>0</v>
      </c>
    </row>
    <row r="36" spans="17:24" x14ac:dyDescent="0.25">
      <c r="Q36" s="4">
        <v>2015</v>
      </c>
      <c r="R36">
        <v>5.369262769818306E-2</v>
      </c>
      <c r="S36">
        <v>1.7236499115824699E-2</v>
      </c>
    </row>
    <row r="37" spans="17:24" x14ac:dyDescent="0.25">
      <c r="Q37" s="4">
        <f>Q36+1</f>
        <v>2016</v>
      </c>
      <c r="R37">
        <v>5.0144597887992859E-2</v>
      </c>
      <c r="S37">
        <v>1.2069707736372948E-2</v>
      </c>
    </row>
    <row r="38" spans="17:24" x14ac:dyDescent="0.25">
      <c r="Q38" s="4">
        <f>Q37+1</f>
        <v>2017</v>
      </c>
      <c r="R38">
        <v>5.2510876208543777E-2</v>
      </c>
      <c r="S38">
        <v>9.5623861998319626E-3</v>
      </c>
    </row>
    <row r="39" spans="17:24" x14ac:dyDescent="0.25">
      <c r="Q39" s="4">
        <f>Q38+1</f>
        <v>2018</v>
      </c>
      <c r="R39">
        <v>4.1184015572071075E-2</v>
      </c>
      <c r="S39">
        <v>1.3531493954360485E-2</v>
      </c>
    </row>
    <row r="40" spans="17:24" x14ac:dyDescent="0.25">
      <c r="Q40" s="4">
        <v>2019</v>
      </c>
      <c r="R40">
        <v>4.075191542506218E-2</v>
      </c>
      <c r="S40">
        <v>7.9787708818912506E-3</v>
      </c>
      <c r="U40" t="s">
        <v>117</v>
      </c>
      <c r="W40" t="s">
        <v>118</v>
      </c>
    </row>
    <row r="41" spans="17:24" x14ac:dyDescent="0.25">
      <c r="Q41" s="4">
        <v>2020</v>
      </c>
      <c r="R41">
        <v>3.6967840045690536E-2</v>
      </c>
      <c r="S41">
        <v>5.9060687199234962E-3</v>
      </c>
      <c r="U41" t="s">
        <v>115</v>
      </c>
      <c r="V41" t="s">
        <v>116</v>
      </c>
    </row>
    <row r="42" spans="17:24" x14ac:dyDescent="0.25">
      <c r="Q42" s="4">
        <v>2021</v>
      </c>
      <c r="R42">
        <v>1.5337897464632988E-2</v>
      </c>
      <c r="S42">
        <v>5.9231729246675968E-3</v>
      </c>
      <c r="U42">
        <f>+R42-R41</f>
        <v>-2.1629942581057549E-2</v>
      </c>
      <c r="V42">
        <f>+U42/R41</f>
        <v>-0.58510160599926697</v>
      </c>
      <c r="W42">
        <f>+S42-S41</f>
        <v>1.7104204744100571E-5</v>
      </c>
      <c r="X42">
        <f>+W42/S41</f>
        <v>2.8960388974820679E-3</v>
      </c>
    </row>
    <row r="43" spans="17:24" x14ac:dyDescent="0.25">
      <c r="Q43" s="4">
        <v>2022</v>
      </c>
      <c r="R43">
        <v>3.1811483204364777E-2</v>
      </c>
      <c r="S43">
        <v>4.0578390471637249E-3</v>
      </c>
      <c r="U43">
        <f>+R43-R42</f>
        <v>1.6473585739731789E-2</v>
      </c>
      <c r="V43">
        <f>+U43/R42</f>
        <v>1.0740445864707036</v>
      </c>
      <c r="W43">
        <f>+S43-S42</f>
        <v>-1.8653338775038719E-3</v>
      </c>
      <c r="X43">
        <f>+W43/S42</f>
        <v>-0.31492139453425677</v>
      </c>
    </row>
    <row r="44" spans="17:24" x14ac:dyDescent="0.25">
      <c r="Q44" s="4"/>
    </row>
    <row r="45" spans="17:24" ht="15.6" x14ac:dyDescent="0.25">
      <c r="Q45" s="4" t="s">
        <v>112</v>
      </c>
      <c r="R45" s="58">
        <f>+R40-R36</f>
        <v>-1.294071227312088E-2</v>
      </c>
      <c r="S45" s="58">
        <f>+S40-S36</f>
        <v>-9.2577282339334488E-3</v>
      </c>
    </row>
    <row r="46" spans="17:24" ht="15.6" x14ac:dyDescent="0.25">
      <c r="Q46" s="4" t="s">
        <v>113</v>
      </c>
      <c r="R46" s="58">
        <f>+R43-R41</f>
        <v>-5.1563568413257599E-3</v>
      </c>
      <c r="S46" s="58">
        <f>+S43-S41</f>
        <v>-1.8482296727597713E-3</v>
      </c>
      <c r="T46" s="57"/>
    </row>
    <row r="47" spans="17:24" x14ac:dyDescent="0.25">
      <c r="Q47" s="4"/>
      <c r="R47">
        <f>+R42-R41</f>
        <v>-2.1629942581057549E-2</v>
      </c>
      <c r="T47" s="57"/>
    </row>
    <row r="48" spans="17:24" x14ac:dyDescent="0.25">
      <c r="Q48" s="4"/>
      <c r="R48">
        <f>+R43-R42</f>
        <v>1.6473585739731789E-2</v>
      </c>
      <c r="T48" s="57"/>
    </row>
    <row r="49" spans="17:20" x14ac:dyDescent="0.25">
      <c r="Q49" s="4"/>
      <c r="R49">
        <f>+R48/R42</f>
        <v>1.0740445864707036</v>
      </c>
      <c r="T49" s="57"/>
    </row>
    <row r="50" spans="17:20" x14ac:dyDescent="0.25">
      <c r="Q50" s="4" t="s">
        <v>114</v>
      </c>
      <c r="T50" s="57"/>
    </row>
    <row r="51" spans="17:20" ht="15.6" x14ac:dyDescent="0.25">
      <c r="Q51" s="4" t="s">
        <v>112</v>
      </c>
      <c r="R51" s="58">
        <f>+R40/R36-1</f>
        <v>-0.24101469471494663</v>
      </c>
      <c r="S51" s="58">
        <f>+S40/S36-1</f>
        <v>-0.53710026448665538</v>
      </c>
      <c r="T51" s="57"/>
    </row>
    <row r="52" spans="17:20" ht="15.6" x14ac:dyDescent="0.25">
      <c r="Q52" s="4" t="s">
        <v>113</v>
      </c>
      <c r="R52" s="58">
        <f>+R43/R41-1</f>
        <v>-0.13948223198739074</v>
      </c>
      <c r="S52" s="58">
        <f>+S43/S41-1</f>
        <v>-0.31293738024499518</v>
      </c>
      <c r="T52" s="57"/>
    </row>
    <row r="53" spans="17:20" x14ac:dyDescent="0.25">
      <c r="Q53" s="4"/>
      <c r="T53" s="57"/>
    </row>
    <row r="54" spans="17:20" x14ac:dyDescent="0.25">
      <c r="Q54" s="4"/>
    </row>
    <row r="65" spans="1:19" ht="49.05" customHeight="1" x14ac:dyDescent="0.25">
      <c r="A65" s="153" t="s">
        <v>264</v>
      </c>
      <c r="B65" s="154"/>
      <c r="C65" s="154"/>
      <c r="D65" s="154"/>
      <c r="E65" s="154"/>
      <c r="F65" s="154"/>
      <c r="G65" s="154"/>
      <c r="H65" s="154"/>
      <c r="I65" s="154"/>
      <c r="J65" s="154"/>
      <c r="K65" s="154"/>
      <c r="L65" s="154"/>
      <c r="M65" s="154"/>
      <c r="N65" s="154"/>
      <c r="O65" s="154"/>
    </row>
    <row r="68" spans="1:19" x14ac:dyDescent="0.25">
      <c r="R68" s="13"/>
      <c r="S68" s="13"/>
    </row>
    <row r="172" spans="20:20" x14ac:dyDescent="0.25">
      <c r="T172" s="3"/>
    </row>
    <row r="173" spans="20:20" x14ac:dyDescent="0.25">
      <c r="T173" s="2"/>
    </row>
    <row r="174" spans="20:20" x14ac:dyDescent="0.25">
      <c r="T174" s="2"/>
    </row>
    <row r="175" spans="20:20" x14ac:dyDescent="0.25">
      <c r="T175" s="2"/>
    </row>
    <row r="176" spans="20:20" x14ac:dyDescent="0.25">
      <c r="T176" s="2"/>
    </row>
    <row r="177" spans="20:20" x14ac:dyDescent="0.25">
      <c r="T177" s="2"/>
    </row>
    <row r="178" spans="20:20" x14ac:dyDescent="0.25">
      <c r="T178" s="2"/>
    </row>
    <row r="179" spans="20:20" x14ac:dyDescent="0.25">
      <c r="T179" s="2"/>
    </row>
    <row r="180" spans="20:20" x14ac:dyDescent="0.25">
      <c r="T180" s="2"/>
    </row>
    <row r="181" spans="20:20" x14ac:dyDescent="0.25">
      <c r="T181" s="2"/>
    </row>
    <row r="182" spans="20:20" x14ac:dyDescent="0.25">
      <c r="T182" s="2"/>
    </row>
    <row r="183" spans="20:20" x14ac:dyDescent="0.25">
      <c r="T183" s="2"/>
    </row>
    <row r="184" spans="20:20" x14ac:dyDescent="0.25">
      <c r="T184" s="2"/>
    </row>
    <row r="185" spans="20:20" x14ac:dyDescent="0.25">
      <c r="T185" s="2"/>
    </row>
    <row r="186" spans="20:20" x14ac:dyDescent="0.25">
      <c r="T186" s="2"/>
    </row>
    <row r="187" spans="20:20" x14ac:dyDescent="0.25">
      <c r="T187" s="2"/>
    </row>
    <row r="188" spans="20:20" x14ac:dyDescent="0.25">
      <c r="T188" s="2"/>
    </row>
    <row r="189" spans="20:20" x14ac:dyDescent="0.25">
      <c r="T189" s="2"/>
    </row>
    <row r="190" spans="20:20" x14ac:dyDescent="0.25">
      <c r="T190" s="2"/>
    </row>
    <row r="191" spans="20:20" x14ac:dyDescent="0.25">
      <c r="T191" s="2"/>
    </row>
    <row r="192" spans="20:20" x14ac:dyDescent="0.25">
      <c r="T192" s="2"/>
    </row>
    <row r="193" spans="20:20" x14ac:dyDescent="0.25">
      <c r="T193" s="2"/>
    </row>
    <row r="194" spans="20:20" x14ac:dyDescent="0.25">
      <c r="T194" s="2"/>
    </row>
    <row r="195" spans="20:20" x14ac:dyDescent="0.25">
      <c r="T195" s="2"/>
    </row>
    <row r="196" spans="20:20" x14ac:dyDescent="0.25">
      <c r="T196" s="2"/>
    </row>
    <row r="197" spans="20:20" x14ac:dyDescent="0.25">
      <c r="T197" s="2"/>
    </row>
    <row r="198" spans="20:20" x14ac:dyDescent="0.25">
      <c r="T198" s="2"/>
    </row>
    <row r="199" spans="20:20" x14ac:dyDescent="0.25">
      <c r="T199" s="2"/>
    </row>
    <row r="200" spans="20:20" x14ac:dyDescent="0.25">
      <c r="T200" s="2"/>
    </row>
    <row r="201" spans="20:20" x14ac:dyDescent="0.25">
      <c r="T201" s="2"/>
    </row>
    <row r="202" spans="20:20" x14ac:dyDescent="0.25">
      <c r="T202" s="2"/>
    </row>
    <row r="203" spans="20:20" x14ac:dyDescent="0.25">
      <c r="T203" s="2"/>
    </row>
    <row r="204" spans="20:20" x14ac:dyDescent="0.25">
      <c r="T204" s="2"/>
    </row>
    <row r="205" spans="20:20" x14ac:dyDescent="0.25">
      <c r="T205" s="2"/>
    </row>
    <row r="206" spans="20:20" x14ac:dyDescent="0.25">
      <c r="T206" s="2"/>
    </row>
    <row r="207" spans="20:20" x14ac:dyDescent="0.25">
      <c r="T207" s="2"/>
    </row>
    <row r="208" spans="20:20" x14ac:dyDescent="0.25">
      <c r="T208" s="2"/>
    </row>
    <row r="209" spans="20:20" x14ac:dyDescent="0.25">
      <c r="T209" s="2"/>
    </row>
    <row r="210" spans="20:20" x14ac:dyDescent="0.25">
      <c r="T210" s="2"/>
    </row>
    <row r="211" spans="20:20" x14ac:dyDescent="0.25">
      <c r="T211" s="2"/>
    </row>
    <row r="212" spans="20:20" x14ac:dyDescent="0.25">
      <c r="T212" s="2"/>
    </row>
    <row r="213" spans="20:20" x14ac:dyDescent="0.25">
      <c r="T213" s="2"/>
    </row>
    <row r="214" spans="20:20" x14ac:dyDescent="0.25">
      <c r="T214" s="2"/>
    </row>
    <row r="215" spans="20:20" x14ac:dyDescent="0.25">
      <c r="T215" s="2"/>
    </row>
    <row r="216" spans="20:20" x14ac:dyDescent="0.25">
      <c r="T216" s="2"/>
    </row>
    <row r="217" spans="20:20" x14ac:dyDescent="0.25">
      <c r="T217" s="2"/>
    </row>
    <row r="218" spans="20:20" x14ac:dyDescent="0.25">
      <c r="T218" s="2"/>
    </row>
    <row r="219" spans="20:20" x14ac:dyDescent="0.25">
      <c r="T219" s="2"/>
    </row>
    <row r="220" spans="20:20" x14ac:dyDescent="0.25">
      <c r="T220" s="2"/>
    </row>
    <row r="221" spans="20:20" x14ac:dyDescent="0.25">
      <c r="T221" s="2"/>
    </row>
    <row r="222" spans="20:20" x14ac:dyDescent="0.25">
      <c r="T222" s="2"/>
    </row>
    <row r="223" spans="20:20" x14ac:dyDescent="0.25">
      <c r="T223" s="2"/>
    </row>
    <row r="224" spans="20:20" x14ac:dyDescent="0.25">
      <c r="T224" s="2"/>
    </row>
    <row r="225" spans="20:20" x14ac:dyDescent="0.25">
      <c r="T225" s="2"/>
    </row>
    <row r="226" spans="20:20" x14ac:dyDescent="0.25">
      <c r="T226" s="2"/>
    </row>
    <row r="227" spans="20:20" x14ac:dyDescent="0.25">
      <c r="T227" s="2"/>
    </row>
    <row r="228" spans="20:20" x14ac:dyDescent="0.25">
      <c r="T228" s="2"/>
    </row>
    <row r="229" spans="20:20" x14ac:dyDescent="0.25">
      <c r="T229" s="2"/>
    </row>
    <row r="230" spans="20:20" x14ac:dyDescent="0.25">
      <c r="T230" s="2"/>
    </row>
    <row r="231" spans="20:20" x14ac:dyDescent="0.25">
      <c r="T231" s="2"/>
    </row>
    <row r="232" spans="20:20" x14ac:dyDescent="0.25">
      <c r="T232" s="2"/>
    </row>
    <row r="233" spans="20:20" x14ac:dyDescent="0.25">
      <c r="T233" s="2"/>
    </row>
    <row r="234" spans="20:20" x14ac:dyDescent="0.25">
      <c r="T234" s="2"/>
    </row>
    <row r="235" spans="20:20" x14ac:dyDescent="0.25">
      <c r="T235" s="2"/>
    </row>
    <row r="236" spans="20:20" x14ac:dyDescent="0.25">
      <c r="T236" s="2"/>
    </row>
    <row r="237" spans="20:20" x14ac:dyDescent="0.25">
      <c r="T237" s="2"/>
    </row>
    <row r="238" spans="20:20" x14ac:dyDescent="0.25">
      <c r="T238" s="2"/>
    </row>
    <row r="239" spans="20:20" x14ac:dyDescent="0.25">
      <c r="T239" s="2"/>
    </row>
    <row r="240" spans="20:20" x14ac:dyDescent="0.25">
      <c r="T240" s="2"/>
    </row>
    <row r="241" spans="20:20" x14ac:dyDescent="0.25">
      <c r="T241" s="2"/>
    </row>
    <row r="242" spans="20:20" x14ac:dyDescent="0.25">
      <c r="T242" s="2"/>
    </row>
    <row r="243" spans="20:20" x14ac:dyDescent="0.25">
      <c r="T243" s="2"/>
    </row>
    <row r="244" spans="20:20" x14ac:dyDescent="0.25">
      <c r="T244" s="2"/>
    </row>
    <row r="245" spans="20:20" x14ac:dyDescent="0.25">
      <c r="T245" s="2"/>
    </row>
    <row r="246" spans="20:20" x14ac:dyDescent="0.25">
      <c r="T246" s="2"/>
    </row>
    <row r="247" spans="20:20" x14ac:dyDescent="0.25">
      <c r="T247" s="2"/>
    </row>
    <row r="248" spans="20:20" x14ac:dyDescent="0.25">
      <c r="T248" s="2"/>
    </row>
    <row r="249" spans="20:20" x14ac:dyDescent="0.25">
      <c r="T249" s="2"/>
    </row>
    <row r="250" spans="20:20" x14ac:dyDescent="0.25">
      <c r="T250" s="2"/>
    </row>
    <row r="251" spans="20:20" x14ac:dyDescent="0.25">
      <c r="T251" s="2"/>
    </row>
    <row r="252" spans="20:20" x14ac:dyDescent="0.25">
      <c r="T252" s="2"/>
    </row>
    <row r="253" spans="20:20" x14ac:dyDescent="0.25">
      <c r="T253" s="2"/>
    </row>
    <row r="254" spans="20:20" x14ac:dyDescent="0.25">
      <c r="T254" s="2"/>
    </row>
    <row r="255" spans="20:20" x14ac:dyDescent="0.25">
      <c r="T255" s="2"/>
    </row>
    <row r="256" spans="20:20" x14ac:dyDescent="0.25">
      <c r="T256" s="2"/>
    </row>
    <row r="257" spans="20:20" x14ac:dyDescent="0.25">
      <c r="T257" s="2"/>
    </row>
    <row r="258" spans="20:20" x14ac:dyDescent="0.25">
      <c r="T258" s="2"/>
    </row>
    <row r="259" spans="20:20" x14ac:dyDescent="0.25">
      <c r="T259" s="2"/>
    </row>
    <row r="260" spans="20:20" x14ac:dyDescent="0.25">
      <c r="T260" s="2"/>
    </row>
    <row r="261" spans="20:20" x14ac:dyDescent="0.25">
      <c r="T261" s="2"/>
    </row>
    <row r="262" spans="20:20" x14ac:dyDescent="0.25">
      <c r="T262" s="2"/>
    </row>
    <row r="263" spans="20:20" x14ac:dyDescent="0.25">
      <c r="T263" s="2"/>
    </row>
    <row r="264" spans="20:20" x14ac:dyDescent="0.25">
      <c r="T264" s="2"/>
    </row>
    <row r="265" spans="20:20" x14ac:dyDescent="0.25">
      <c r="T265" s="2"/>
    </row>
    <row r="266" spans="20:20" x14ac:dyDescent="0.25">
      <c r="T266" s="2"/>
    </row>
    <row r="267" spans="20:20" x14ac:dyDescent="0.25">
      <c r="T267" s="2"/>
    </row>
    <row r="268" spans="20:20" x14ac:dyDescent="0.25">
      <c r="T268" s="2"/>
    </row>
    <row r="269" spans="20:20" x14ac:dyDescent="0.25">
      <c r="T269" s="2"/>
    </row>
    <row r="270" spans="20:20" x14ac:dyDescent="0.25">
      <c r="T270" s="2"/>
    </row>
    <row r="271" spans="20:20" x14ac:dyDescent="0.25">
      <c r="T271" s="2"/>
    </row>
    <row r="272" spans="20:20" x14ac:dyDescent="0.25">
      <c r="T272" s="2"/>
    </row>
    <row r="273" spans="20:20" x14ac:dyDescent="0.25">
      <c r="T273" s="2"/>
    </row>
    <row r="274" spans="20:20" x14ac:dyDescent="0.25">
      <c r="T274" s="2"/>
    </row>
    <row r="275" spans="20:20" x14ac:dyDescent="0.25">
      <c r="T275" s="2"/>
    </row>
    <row r="276" spans="20:20" x14ac:dyDescent="0.25">
      <c r="T276" s="2"/>
    </row>
    <row r="277" spans="20:20" x14ac:dyDescent="0.25">
      <c r="T277" s="2"/>
    </row>
    <row r="278" spans="20:20" x14ac:dyDescent="0.25">
      <c r="T278" s="2"/>
    </row>
    <row r="279" spans="20:20" x14ac:dyDescent="0.25">
      <c r="T279" s="2"/>
    </row>
    <row r="280" spans="20:20" x14ac:dyDescent="0.25">
      <c r="T280" s="2"/>
    </row>
    <row r="281" spans="20:20" x14ac:dyDescent="0.25">
      <c r="T281" s="2"/>
    </row>
    <row r="282" spans="20:20" x14ac:dyDescent="0.25">
      <c r="T282" s="2"/>
    </row>
    <row r="283" spans="20:20" x14ac:dyDescent="0.25">
      <c r="T283" s="2"/>
    </row>
    <row r="284" spans="20:20" x14ac:dyDescent="0.25">
      <c r="T284" s="2"/>
    </row>
    <row r="285" spans="20:20" x14ac:dyDescent="0.25">
      <c r="T285" s="2"/>
    </row>
    <row r="286" spans="20:20" x14ac:dyDescent="0.25">
      <c r="T286" s="2"/>
    </row>
    <row r="287" spans="20:20" x14ac:dyDescent="0.25">
      <c r="T287" s="2"/>
    </row>
    <row r="288" spans="20:20" x14ac:dyDescent="0.25">
      <c r="T288" s="2"/>
    </row>
    <row r="289" spans="20:20" x14ac:dyDescent="0.25">
      <c r="T289" s="2"/>
    </row>
    <row r="290" spans="20:20" x14ac:dyDescent="0.25">
      <c r="T290" s="2"/>
    </row>
    <row r="291" spans="20:20" x14ac:dyDescent="0.25">
      <c r="T291" s="2"/>
    </row>
    <row r="292" spans="20:20" x14ac:dyDescent="0.25">
      <c r="T292" s="2"/>
    </row>
    <row r="293" spans="20:20" x14ac:dyDescent="0.25">
      <c r="T293" s="2"/>
    </row>
    <row r="294" spans="20:20" x14ac:dyDescent="0.25">
      <c r="T294" s="2"/>
    </row>
    <row r="295" spans="20:20" x14ac:dyDescent="0.25">
      <c r="T295" s="2"/>
    </row>
    <row r="296" spans="20:20" x14ac:dyDescent="0.25">
      <c r="T296" s="2"/>
    </row>
    <row r="297" spans="20:20" x14ac:dyDescent="0.25">
      <c r="T297" s="2"/>
    </row>
    <row r="298" spans="20:20" x14ac:dyDescent="0.25">
      <c r="T298" s="2"/>
    </row>
    <row r="299" spans="20:20" x14ac:dyDescent="0.25">
      <c r="T299" s="2"/>
    </row>
    <row r="300" spans="20:20" x14ac:dyDescent="0.25">
      <c r="T300" s="2"/>
    </row>
    <row r="301" spans="20:20" x14ac:dyDescent="0.25">
      <c r="T301" s="2"/>
    </row>
    <row r="302" spans="20:20" x14ac:dyDescent="0.25">
      <c r="T302" s="2"/>
    </row>
    <row r="303" spans="20:20" x14ac:dyDescent="0.25">
      <c r="T303" s="2"/>
    </row>
    <row r="304" spans="20:20" x14ac:dyDescent="0.25">
      <c r="T304" s="2"/>
    </row>
    <row r="305" spans="20:20" x14ac:dyDescent="0.25">
      <c r="T305" s="2"/>
    </row>
    <row r="306" spans="20:20" x14ac:dyDescent="0.25">
      <c r="T306" s="2"/>
    </row>
    <row r="307" spans="20:20" x14ac:dyDescent="0.25">
      <c r="T307" s="2"/>
    </row>
    <row r="308" spans="20:20" x14ac:dyDescent="0.25">
      <c r="T308" s="2"/>
    </row>
    <row r="309" spans="20:20" x14ac:dyDescent="0.25">
      <c r="T309" s="2"/>
    </row>
    <row r="310" spans="20:20" x14ac:dyDescent="0.25">
      <c r="T310" s="2"/>
    </row>
    <row r="311" spans="20:20" x14ac:dyDescent="0.25">
      <c r="T311" s="2"/>
    </row>
    <row r="312" spans="20:20" x14ac:dyDescent="0.25">
      <c r="T312" s="2"/>
    </row>
    <row r="313" spans="20:20" x14ac:dyDescent="0.25">
      <c r="T313" s="2"/>
    </row>
    <row r="314" spans="20:20" x14ac:dyDescent="0.25">
      <c r="T314" s="2"/>
    </row>
    <row r="315" spans="20:20" x14ac:dyDescent="0.25">
      <c r="T315" s="2"/>
    </row>
    <row r="316" spans="20:20" x14ac:dyDescent="0.25">
      <c r="T316" s="2"/>
    </row>
    <row r="317" spans="20:20" x14ac:dyDescent="0.25">
      <c r="T317" s="2"/>
    </row>
    <row r="318" spans="20:20" x14ac:dyDescent="0.25">
      <c r="T318" s="2"/>
    </row>
    <row r="319" spans="20:20" x14ac:dyDescent="0.25">
      <c r="T319" s="2"/>
    </row>
    <row r="320" spans="20:20" x14ac:dyDescent="0.25">
      <c r="T320" s="2"/>
    </row>
    <row r="321" spans="20:20" x14ac:dyDescent="0.25">
      <c r="T321" s="2"/>
    </row>
    <row r="322" spans="20:20" x14ac:dyDescent="0.25">
      <c r="T322" s="2"/>
    </row>
    <row r="323" spans="20:20" x14ac:dyDescent="0.25">
      <c r="T323" s="2"/>
    </row>
    <row r="324" spans="20:20" x14ac:dyDescent="0.25">
      <c r="T324" s="2"/>
    </row>
    <row r="325" spans="20:20" x14ac:dyDescent="0.25">
      <c r="T325" s="2"/>
    </row>
    <row r="326" spans="20:20" x14ac:dyDescent="0.25">
      <c r="T326" s="2"/>
    </row>
    <row r="327" spans="20:20" x14ac:dyDescent="0.25">
      <c r="T327" s="2"/>
    </row>
    <row r="328" spans="20:20" x14ac:dyDescent="0.25">
      <c r="T328" s="2"/>
    </row>
    <row r="329" spans="20:20" x14ac:dyDescent="0.25">
      <c r="T329" s="2"/>
    </row>
    <row r="330" spans="20:20" x14ac:dyDescent="0.25">
      <c r="T330" s="2"/>
    </row>
    <row r="331" spans="20:20" x14ac:dyDescent="0.25">
      <c r="T331" s="2"/>
    </row>
    <row r="332" spans="20:20" x14ac:dyDescent="0.25">
      <c r="T332" s="2"/>
    </row>
    <row r="333" spans="20:20" x14ac:dyDescent="0.25">
      <c r="T333" s="2"/>
    </row>
    <row r="334" spans="20:20" x14ac:dyDescent="0.25">
      <c r="T334" s="2"/>
    </row>
    <row r="335" spans="20:20" x14ac:dyDescent="0.25">
      <c r="T335" s="2"/>
    </row>
    <row r="336" spans="20:20" x14ac:dyDescent="0.25">
      <c r="T336" s="2"/>
    </row>
    <row r="337" spans="20:20" x14ac:dyDescent="0.25">
      <c r="T337" s="2"/>
    </row>
    <row r="338" spans="20:20" x14ac:dyDescent="0.25">
      <c r="T338" s="2"/>
    </row>
    <row r="339" spans="20:20" x14ac:dyDescent="0.25">
      <c r="T339" s="2"/>
    </row>
    <row r="340" spans="20:20" x14ac:dyDescent="0.25">
      <c r="T340" s="2"/>
    </row>
    <row r="341" spans="20:20" x14ac:dyDescent="0.25">
      <c r="T341" s="2"/>
    </row>
    <row r="342" spans="20:20" x14ac:dyDescent="0.25">
      <c r="T342" s="2"/>
    </row>
    <row r="343" spans="20:20" x14ac:dyDescent="0.25">
      <c r="T343" s="2"/>
    </row>
    <row r="344" spans="20:20" x14ac:dyDescent="0.25">
      <c r="T344" s="2"/>
    </row>
    <row r="345" spans="20:20" x14ac:dyDescent="0.25">
      <c r="T345" s="2"/>
    </row>
    <row r="346" spans="20:20" x14ac:dyDescent="0.25">
      <c r="T346" s="2"/>
    </row>
    <row r="347" spans="20:20" x14ac:dyDescent="0.25">
      <c r="T347" s="2"/>
    </row>
    <row r="348" spans="20:20" x14ac:dyDescent="0.25">
      <c r="T348" s="2"/>
    </row>
    <row r="349" spans="20:20" x14ac:dyDescent="0.25">
      <c r="T349" s="2"/>
    </row>
    <row r="350" spans="20:20" x14ac:dyDescent="0.25">
      <c r="T350" s="2"/>
    </row>
    <row r="351" spans="20:20" x14ac:dyDescent="0.25">
      <c r="T351" s="2"/>
    </row>
    <row r="352" spans="20:20" x14ac:dyDescent="0.25">
      <c r="T352" s="2"/>
    </row>
    <row r="353" spans="20:20" x14ac:dyDescent="0.25">
      <c r="T353" s="2"/>
    </row>
    <row r="354" spans="20:20" x14ac:dyDescent="0.25">
      <c r="T354" s="2"/>
    </row>
    <row r="355" spans="20:20" x14ac:dyDescent="0.25">
      <c r="T355" s="2"/>
    </row>
    <row r="356" spans="20:20" x14ac:dyDescent="0.25">
      <c r="T356" s="2"/>
    </row>
    <row r="357" spans="20:20" x14ac:dyDescent="0.25">
      <c r="T357" s="2"/>
    </row>
    <row r="358" spans="20:20" x14ac:dyDescent="0.25">
      <c r="T358" s="2"/>
    </row>
    <row r="359" spans="20:20" x14ac:dyDescent="0.25">
      <c r="T359" s="2"/>
    </row>
    <row r="360" spans="20:20" x14ac:dyDescent="0.25">
      <c r="T360" s="2"/>
    </row>
    <row r="361" spans="20:20" x14ac:dyDescent="0.25">
      <c r="T361" s="2"/>
    </row>
    <row r="362" spans="20:20" x14ac:dyDescent="0.25">
      <c r="T362" s="2"/>
    </row>
    <row r="363" spans="20:20" x14ac:dyDescent="0.25">
      <c r="T363" s="2"/>
    </row>
    <row r="364" spans="20:20" x14ac:dyDescent="0.25">
      <c r="T364" s="2"/>
    </row>
    <row r="365" spans="20:20" x14ac:dyDescent="0.25">
      <c r="T365" s="2"/>
    </row>
    <row r="366" spans="20:20" x14ac:dyDescent="0.25">
      <c r="T366" s="2"/>
    </row>
    <row r="367" spans="20:20" x14ac:dyDescent="0.25">
      <c r="T367" s="2"/>
    </row>
    <row r="368" spans="20:20" x14ac:dyDescent="0.25">
      <c r="T368" s="2"/>
    </row>
    <row r="369" spans="20:20" x14ac:dyDescent="0.25">
      <c r="T369" s="2"/>
    </row>
    <row r="370" spans="20:20" x14ac:dyDescent="0.25">
      <c r="T370" s="2"/>
    </row>
    <row r="371" spans="20:20" x14ac:dyDescent="0.25">
      <c r="T371" s="2"/>
    </row>
    <row r="372" spans="20:20" x14ac:dyDescent="0.25">
      <c r="T372" s="2"/>
    </row>
    <row r="373" spans="20:20" x14ac:dyDescent="0.25">
      <c r="T373" s="2"/>
    </row>
    <row r="374" spans="20:20" x14ac:dyDescent="0.25">
      <c r="T374" s="2"/>
    </row>
    <row r="375" spans="20:20" x14ac:dyDescent="0.25">
      <c r="T375" s="2"/>
    </row>
    <row r="376" spans="20:20" x14ac:dyDescent="0.25">
      <c r="T376" s="2"/>
    </row>
    <row r="377" spans="20:20" x14ac:dyDescent="0.25">
      <c r="T377" s="2"/>
    </row>
    <row r="378" spans="20:20" x14ac:dyDescent="0.25">
      <c r="T378" s="2"/>
    </row>
    <row r="379" spans="20:20" x14ac:dyDescent="0.25">
      <c r="T379" s="2"/>
    </row>
    <row r="380" spans="20:20" x14ac:dyDescent="0.25">
      <c r="T380" s="2"/>
    </row>
    <row r="381" spans="20:20" x14ac:dyDescent="0.25">
      <c r="T381" s="2"/>
    </row>
    <row r="382" spans="20:20" x14ac:dyDescent="0.25">
      <c r="T382" s="2"/>
    </row>
    <row r="383" spans="20:20" x14ac:dyDescent="0.25">
      <c r="T383" s="2"/>
    </row>
    <row r="384" spans="20:20" x14ac:dyDescent="0.25">
      <c r="T384" s="2"/>
    </row>
    <row r="385" spans="20:20" x14ac:dyDescent="0.25">
      <c r="T385" s="2"/>
    </row>
    <row r="386" spans="20:20" x14ac:dyDescent="0.25">
      <c r="T386" s="2"/>
    </row>
    <row r="387" spans="20:20" x14ac:dyDescent="0.25">
      <c r="T387" s="2"/>
    </row>
    <row r="388" spans="20:20" x14ac:dyDescent="0.25">
      <c r="T388" s="2"/>
    </row>
    <row r="389" spans="20:20" x14ac:dyDescent="0.25">
      <c r="T389" s="2"/>
    </row>
    <row r="390" spans="20:20" x14ac:dyDescent="0.25">
      <c r="T390" s="2"/>
    </row>
    <row r="391" spans="20:20" x14ac:dyDescent="0.25">
      <c r="T391" s="2"/>
    </row>
    <row r="392" spans="20:20" x14ac:dyDescent="0.25">
      <c r="T392" s="2"/>
    </row>
    <row r="393" spans="20:20" x14ac:dyDescent="0.25">
      <c r="T393" s="2"/>
    </row>
    <row r="394" spans="20:20" x14ac:dyDescent="0.25">
      <c r="T394" s="2"/>
    </row>
    <row r="395" spans="20:20" x14ac:dyDescent="0.25">
      <c r="T395" s="2"/>
    </row>
    <row r="396" spans="20:20" x14ac:dyDescent="0.25">
      <c r="T396" s="2"/>
    </row>
    <row r="397" spans="20:20" x14ac:dyDescent="0.25">
      <c r="T397" s="2"/>
    </row>
    <row r="398" spans="20:20" x14ac:dyDescent="0.25">
      <c r="T398" s="2"/>
    </row>
    <row r="399" spans="20:20" x14ac:dyDescent="0.25">
      <c r="T399" s="2"/>
    </row>
    <row r="400" spans="20:20" x14ac:dyDescent="0.25">
      <c r="T400" s="2"/>
    </row>
    <row r="401" spans="20:20" x14ac:dyDescent="0.25">
      <c r="T401" s="2"/>
    </row>
    <row r="402" spans="20:20" x14ac:dyDescent="0.25">
      <c r="T402" s="2"/>
    </row>
    <row r="403" spans="20:20" x14ac:dyDescent="0.25">
      <c r="T403" s="2"/>
    </row>
    <row r="404" spans="20:20" x14ac:dyDescent="0.25">
      <c r="T404" s="2"/>
    </row>
    <row r="405" spans="20:20" x14ac:dyDescent="0.25">
      <c r="T405" s="2"/>
    </row>
    <row r="406" spans="20:20" x14ac:dyDescent="0.25">
      <c r="T406" s="2"/>
    </row>
    <row r="407" spans="20:20" x14ac:dyDescent="0.25">
      <c r="T407" s="2"/>
    </row>
    <row r="408" spans="20:20" x14ac:dyDescent="0.25">
      <c r="T408" s="2"/>
    </row>
    <row r="409" spans="20:20" x14ac:dyDescent="0.25">
      <c r="T409" s="2"/>
    </row>
    <row r="410" spans="20:20" x14ac:dyDescent="0.25">
      <c r="T410" s="2"/>
    </row>
    <row r="411" spans="20:20" x14ac:dyDescent="0.25">
      <c r="T411" s="2"/>
    </row>
    <row r="412" spans="20:20" x14ac:dyDescent="0.25">
      <c r="T412" s="2"/>
    </row>
    <row r="413" spans="20:20" x14ac:dyDescent="0.25">
      <c r="T413" s="2"/>
    </row>
    <row r="414" spans="20:20" x14ac:dyDescent="0.25">
      <c r="T414" s="2"/>
    </row>
    <row r="415" spans="20:20" x14ac:dyDescent="0.25">
      <c r="T415" s="2"/>
    </row>
    <row r="416" spans="20:20" x14ac:dyDescent="0.25">
      <c r="T416" s="2"/>
    </row>
    <row r="417" spans="20:20" x14ac:dyDescent="0.25">
      <c r="T417" s="2"/>
    </row>
    <row r="418" spans="20:20" x14ac:dyDescent="0.25">
      <c r="T418" s="2"/>
    </row>
    <row r="419" spans="20:20" x14ac:dyDescent="0.25">
      <c r="T419" s="2"/>
    </row>
    <row r="420" spans="20:20" x14ac:dyDescent="0.25">
      <c r="T420" s="2"/>
    </row>
    <row r="421" spans="20:20" x14ac:dyDescent="0.25">
      <c r="T421" s="2"/>
    </row>
    <row r="422" spans="20:20" x14ac:dyDescent="0.25">
      <c r="T422" s="2"/>
    </row>
    <row r="423" spans="20:20" x14ac:dyDescent="0.25">
      <c r="T423" s="2"/>
    </row>
    <row r="424" spans="20:20" x14ac:dyDescent="0.25">
      <c r="T424" s="2"/>
    </row>
    <row r="425" spans="20:20" x14ac:dyDescent="0.25">
      <c r="T425" s="2"/>
    </row>
    <row r="426" spans="20:20" x14ac:dyDescent="0.25">
      <c r="T426" s="2"/>
    </row>
    <row r="427" spans="20:20" x14ac:dyDescent="0.25">
      <c r="T427" s="2"/>
    </row>
    <row r="428" spans="20:20" x14ac:dyDescent="0.25">
      <c r="T428" s="2"/>
    </row>
    <row r="429" spans="20:20" x14ac:dyDescent="0.25">
      <c r="T429" s="2"/>
    </row>
    <row r="430" spans="20:20" x14ac:dyDescent="0.25">
      <c r="T430" s="2"/>
    </row>
    <row r="431" spans="20:20" x14ac:dyDescent="0.25">
      <c r="T431" s="2"/>
    </row>
    <row r="432" spans="20:20" x14ac:dyDescent="0.25">
      <c r="T432" s="2"/>
    </row>
    <row r="433" spans="20:20" x14ac:dyDescent="0.25">
      <c r="T433" s="2"/>
    </row>
    <row r="434" spans="20:20" x14ac:dyDescent="0.25">
      <c r="T434" s="2"/>
    </row>
    <row r="435" spans="20:20" x14ac:dyDescent="0.25">
      <c r="T435" s="2"/>
    </row>
    <row r="436" spans="20:20" x14ac:dyDescent="0.25">
      <c r="T436" s="2"/>
    </row>
    <row r="437" spans="20:20" x14ac:dyDescent="0.25">
      <c r="T437" s="2"/>
    </row>
    <row r="438" spans="20:20" x14ac:dyDescent="0.25">
      <c r="T438" s="2"/>
    </row>
    <row r="439" spans="20:20" x14ac:dyDescent="0.25">
      <c r="T439" s="2"/>
    </row>
    <row r="440" spans="20:20" x14ac:dyDescent="0.25">
      <c r="T440" s="2"/>
    </row>
    <row r="441" spans="20:20" x14ac:dyDescent="0.25">
      <c r="T441" s="2"/>
    </row>
    <row r="442" spans="20:20" x14ac:dyDescent="0.25">
      <c r="T442" s="2"/>
    </row>
    <row r="443" spans="20:20" x14ac:dyDescent="0.25">
      <c r="T443" s="2"/>
    </row>
    <row r="444" spans="20:20" x14ac:dyDescent="0.25">
      <c r="T444" s="2"/>
    </row>
    <row r="445" spans="20:20" x14ac:dyDescent="0.25">
      <c r="T445" s="2"/>
    </row>
    <row r="446" spans="20:20" x14ac:dyDescent="0.25">
      <c r="T446" s="2"/>
    </row>
    <row r="447" spans="20:20" x14ac:dyDescent="0.25">
      <c r="T447" s="2"/>
    </row>
    <row r="448" spans="20:20" x14ac:dyDescent="0.25">
      <c r="T448" s="2"/>
    </row>
    <row r="449" spans="20:20" x14ac:dyDescent="0.25">
      <c r="T449" s="2"/>
    </row>
    <row r="450" spans="20:20" x14ac:dyDescent="0.25">
      <c r="T450" s="2"/>
    </row>
    <row r="451" spans="20:20" x14ac:dyDescent="0.25">
      <c r="T451" s="2"/>
    </row>
    <row r="452" spans="20:20" x14ac:dyDescent="0.25">
      <c r="T452" s="2"/>
    </row>
    <row r="453" spans="20:20" x14ac:dyDescent="0.25">
      <c r="T453" s="2"/>
    </row>
    <row r="454" spans="20:20" x14ac:dyDescent="0.25">
      <c r="T454" s="2"/>
    </row>
    <row r="455" spans="20:20" x14ac:dyDescent="0.25">
      <c r="T455" s="2"/>
    </row>
    <row r="456" spans="20:20" x14ac:dyDescent="0.25">
      <c r="T456" s="2"/>
    </row>
    <row r="457" spans="20:20" x14ac:dyDescent="0.25">
      <c r="T457" s="2"/>
    </row>
    <row r="458" spans="20:20" x14ac:dyDescent="0.25">
      <c r="T458" s="2"/>
    </row>
    <row r="459" spans="20:20" x14ac:dyDescent="0.25">
      <c r="T459" s="2"/>
    </row>
    <row r="460" spans="20:20" x14ac:dyDescent="0.25">
      <c r="T460" s="2"/>
    </row>
    <row r="461" spans="20:20" x14ac:dyDescent="0.25">
      <c r="T461" s="2"/>
    </row>
    <row r="462" spans="20:20" x14ac:dyDescent="0.25">
      <c r="T462" s="2"/>
    </row>
    <row r="463" spans="20:20" x14ac:dyDescent="0.25">
      <c r="T463" s="2"/>
    </row>
    <row r="464" spans="20:20" x14ac:dyDescent="0.25">
      <c r="T464" s="2"/>
    </row>
    <row r="465" spans="20:20" x14ac:dyDescent="0.25">
      <c r="T465" s="2"/>
    </row>
    <row r="466" spans="20:20" x14ac:dyDescent="0.25">
      <c r="T466" s="2"/>
    </row>
    <row r="467" spans="20:20" x14ac:dyDescent="0.25">
      <c r="T467" s="2"/>
    </row>
    <row r="468" spans="20:20" x14ac:dyDescent="0.25">
      <c r="T468" s="2"/>
    </row>
    <row r="469" spans="20:20" x14ac:dyDescent="0.25">
      <c r="T469" s="2"/>
    </row>
    <row r="470" spans="20:20" x14ac:dyDescent="0.25">
      <c r="T470" s="2"/>
    </row>
    <row r="471" spans="20:20" x14ac:dyDescent="0.25">
      <c r="T471" s="2"/>
    </row>
    <row r="472" spans="20:20" x14ac:dyDescent="0.25">
      <c r="T472" s="2"/>
    </row>
    <row r="473" spans="20:20" x14ac:dyDescent="0.25">
      <c r="T473" s="2"/>
    </row>
    <row r="474" spans="20:20" x14ac:dyDescent="0.25">
      <c r="T474" s="2"/>
    </row>
    <row r="475" spans="20:20" x14ac:dyDescent="0.25">
      <c r="T475" s="2"/>
    </row>
    <row r="476" spans="20:20" x14ac:dyDescent="0.25">
      <c r="T476" s="2"/>
    </row>
    <row r="477" spans="20:20" x14ac:dyDescent="0.25">
      <c r="T477" s="2"/>
    </row>
    <row r="478" spans="20:20" x14ac:dyDescent="0.25">
      <c r="T478" s="2"/>
    </row>
    <row r="479" spans="20:20" x14ac:dyDescent="0.25">
      <c r="T479" s="2"/>
    </row>
    <row r="480" spans="20:20" x14ac:dyDescent="0.25">
      <c r="T480" s="2"/>
    </row>
    <row r="481" spans="20:20" x14ac:dyDescent="0.25">
      <c r="T481" s="2"/>
    </row>
    <row r="482" spans="20:20" x14ac:dyDescent="0.25">
      <c r="T482" s="2"/>
    </row>
    <row r="483" spans="20:20" x14ac:dyDescent="0.25">
      <c r="T483" s="2"/>
    </row>
    <row r="484" spans="20:20" x14ac:dyDescent="0.25">
      <c r="T484" s="2"/>
    </row>
    <row r="485" spans="20:20" x14ac:dyDescent="0.25">
      <c r="T485" s="2"/>
    </row>
    <row r="486" spans="20:20" x14ac:dyDescent="0.25">
      <c r="T486" s="2"/>
    </row>
    <row r="487" spans="20:20" x14ac:dyDescent="0.25">
      <c r="T487" s="2"/>
    </row>
    <row r="488" spans="20:20" x14ac:dyDescent="0.25">
      <c r="T488" s="2"/>
    </row>
    <row r="489" spans="20:20" x14ac:dyDescent="0.25">
      <c r="T489" s="2"/>
    </row>
    <row r="490" spans="20:20" x14ac:dyDescent="0.25">
      <c r="T490" s="2"/>
    </row>
    <row r="491" spans="20:20" x14ac:dyDescent="0.25">
      <c r="T491" s="2"/>
    </row>
    <row r="492" spans="20:20" x14ac:dyDescent="0.25">
      <c r="T492" s="2"/>
    </row>
    <row r="493" spans="20:20" x14ac:dyDescent="0.25">
      <c r="T493" s="2"/>
    </row>
    <row r="494" spans="20:20" x14ac:dyDescent="0.25">
      <c r="T494" s="2"/>
    </row>
    <row r="495" spans="20:20" x14ac:dyDescent="0.25">
      <c r="T495" s="2"/>
    </row>
    <row r="496" spans="20:20" x14ac:dyDescent="0.25">
      <c r="T496" s="2"/>
    </row>
    <row r="497" spans="20:20" x14ac:dyDescent="0.25">
      <c r="T497" s="2"/>
    </row>
    <row r="498" spans="20:20" x14ac:dyDescent="0.25">
      <c r="T498" s="2"/>
    </row>
    <row r="499" spans="20:20" x14ac:dyDescent="0.25">
      <c r="T499" s="2"/>
    </row>
    <row r="500" spans="20:20" x14ac:dyDescent="0.25">
      <c r="T500" s="2"/>
    </row>
    <row r="501" spans="20:20" x14ac:dyDescent="0.25">
      <c r="T501" s="2"/>
    </row>
    <row r="502" spans="20:20" x14ac:dyDescent="0.25">
      <c r="T502" s="2"/>
    </row>
    <row r="503" spans="20:20" x14ac:dyDescent="0.25">
      <c r="T503" s="2"/>
    </row>
    <row r="504" spans="20:20" x14ac:dyDescent="0.25">
      <c r="T504" s="2"/>
    </row>
    <row r="505" spans="20:20" x14ac:dyDescent="0.25">
      <c r="T505" s="2"/>
    </row>
    <row r="506" spans="20:20" x14ac:dyDescent="0.25">
      <c r="T506" s="2"/>
    </row>
    <row r="507" spans="20:20" x14ac:dyDescent="0.25">
      <c r="T507" s="2"/>
    </row>
    <row r="508" spans="20:20" x14ac:dyDescent="0.25">
      <c r="T508" s="2"/>
    </row>
    <row r="509" spans="20:20" x14ac:dyDescent="0.25">
      <c r="T509" s="2"/>
    </row>
    <row r="510" spans="20:20" x14ac:dyDescent="0.25">
      <c r="T510" s="2"/>
    </row>
    <row r="511" spans="20:20" x14ac:dyDescent="0.25">
      <c r="T511" s="2"/>
    </row>
    <row r="512" spans="20:20" x14ac:dyDescent="0.25">
      <c r="T512" s="2"/>
    </row>
    <row r="513" spans="20:20" x14ac:dyDescent="0.25">
      <c r="T513" s="2"/>
    </row>
    <row r="514" spans="20:20" x14ac:dyDescent="0.25">
      <c r="T514" s="2"/>
    </row>
    <row r="515" spans="20:20" x14ac:dyDescent="0.25">
      <c r="T515" s="2"/>
    </row>
    <row r="516" spans="20:20" x14ac:dyDescent="0.25">
      <c r="T516" s="2"/>
    </row>
    <row r="517" spans="20:20" x14ac:dyDescent="0.25">
      <c r="T517" s="2"/>
    </row>
    <row r="518" spans="20:20" x14ac:dyDescent="0.25">
      <c r="T518" s="2"/>
    </row>
    <row r="519" spans="20:20" x14ac:dyDescent="0.25">
      <c r="T519" s="2"/>
    </row>
    <row r="520" spans="20:20" x14ac:dyDescent="0.25">
      <c r="T520" s="2"/>
    </row>
    <row r="521" spans="20:20" x14ac:dyDescent="0.25">
      <c r="T521" s="2"/>
    </row>
    <row r="522" spans="20:20" x14ac:dyDescent="0.25">
      <c r="T522" s="2"/>
    </row>
    <row r="523" spans="20:20" x14ac:dyDescent="0.25">
      <c r="T523" s="2"/>
    </row>
    <row r="524" spans="20:20" x14ac:dyDescent="0.25">
      <c r="T524" s="2"/>
    </row>
    <row r="525" spans="20:20" x14ac:dyDescent="0.25">
      <c r="T525" s="2"/>
    </row>
    <row r="526" spans="20:20" x14ac:dyDescent="0.25">
      <c r="T526" s="2"/>
    </row>
    <row r="527" spans="20:20" x14ac:dyDescent="0.25">
      <c r="T527" s="2"/>
    </row>
    <row r="528" spans="20:20" x14ac:dyDescent="0.25">
      <c r="T528" s="2"/>
    </row>
    <row r="529" spans="20:20" x14ac:dyDescent="0.25">
      <c r="T529" s="2"/>
    </row>
    <row r="530" spans="20:20" x14ac:dyDescent="0.25">
      <c r="T530" s="2"/>
    </row>
    <row r="531" spans="20:20" x14ac:dyDescent="0.25">
      <c r="T531" s="2"/>
    </row>
    <row r="532" spans="20:20" x14ac:dyDescent="0.25">
      <c r="T532" s="2"/>
    </row>
    <row r="533" spans="20:20" x14ac:dyDescent="0.25">
      <c r="T533" s="2"/>
    </row>
    <row r="534" spans="20:20" x14ac:dyDescent="0.25">
      <c r="T534" s="2"/>
    </row>
    <row r="535" spans="20:20" x14ac:dyDescent="0.25">
      <c r="T535" s="2"/>
    </row>
    <row r="536" spans="20:20" x14ac:dyDescent="0.25">
      <c r="T536" s="2"/>
    </row>
    <row r="537" spans="20:20" x14ac:dyDescent="0.25">
      <c r="T537" s="2"/>
    </row>
    <row r="538" spans="20:20" x14ac:dyDescent="0.25">
      <c r="T538" s="2"/>
    </row>
    <row r="539" spans="20:20" x14ac:dyDescent="0.25">
      <c r="T539" s="2"/>
    </row>
    <row r="540" spans="20:20" x14ac:dyDescent="0.25">
      <c r="T540" s="2"/>
    </row>
    <row r="541" spans="20:20" x14ac:dyDescent="0.25">
      <c r="T541" s="2"/>
    </row>
    <row r="542" spans="20:20" x14ac:dyDescent="0.25">
      <c r="T542" s="2"/>
    </row>
    <row r="543" spans="20:20" x14ac:dyDescent="0.25">
      <c r="T543" s="2"/>
    </row>
    <row r="544" spans="20:20" x14ac:dyDescent="0.25">
      <c r="T544" s="2"/>
    </row>
    <row r="545" spans="20:20" x14ac:dyDescent="0.25">
      <c r="T545" s="2"/>
    </row>
    <row r="546" spans="20:20" x14ac:dyDescent="0.25">
      <c r="T546" s="2"/>
    </row>
    <row r="547" spans="20:20" x14ac:dyDescent="0.25">
      <c r="T547" s="2"/>
    </row>
    <row r="548" spans="20:20" x14ac:dyDescent="0.25">
      <c r="T548" s="2"/>
    </row>
    <row r="549" spans="20:20" x14ac:dyDescent="0.25">
      <c r="T549" s="2"/>
    </row>
    <row r="550" spans="20:20" x14ac:dyDescent="0.25">
      <c r="T550" s="2"/>
    </row>
    <row r="551" spans="20:20" x14ac:dyDescent="0.25">
      <c r="T551" s="2"/>
    </row>
    <row r="552" spans="20:20" x14ac:dyDescent="0.25">
      <c r="T552" s="2"/>
    </row>
    <row r="553" spans="20:20" x14ac:dyDescent="0.25">
      <c r="T553" s="2"/>
    </row>
    <row r="554" spans="20:20" x14ac:dyDescent="0.25">
      <c r="T554" s="2"/>
    </row>
    <row r="555" spans="20:20" x14ac:dyDescent="0.25">
      <c r="T555" s="2"/>
    </row>
    <row r="556" spans="20:20" x14ac:dyDescent="0.25">
      <c r="T556" s="2"/>
    </row>
    <row r="557" spans="20:20" x14ac:dyDescent="0.25">
      <c r="T557" s="2"/>
    </row>
    <row r="558" spans="20:20" x14ac:dyDescent="0.25">
      <c r="T558" s="2"/>
    </row>
    <row r="559" spans="20:20" x14ac:dyDescent="0.25">
      <c r="T559" s="2"/>
    </row>
    <row r="560" spans="20:20" x14ac:dyDescent="0.25">
      <c r="T560" s="2"/>
    </row>
    <row r="561" spans="20:20" x14ac:dyDescent="0.25">
      <c r="T561" s="2"/>
    </row>
    <row r="562" spans="20:20" x14ac:dyDescent="0.25">
      <c r="T562" s="2"/>
    </row>
    <row r="563" spans="20:20" x14ac:dyDescent="0.25">
      <c r="T563" s="2"/>
    </row>
    <row r="564" spans="20:20" x14ac:dyDescent="0.25">
      <c r="T564" s="2"/>
    </row>
    <row r="565" spans="20:20" x14ac:dyDescent="0.25">
      <c r="T565" s="2"/>
    </row>
    <row r="566" spans="20:20" x14ac:dyDescent="0.25">
      <c r="T566" s="2"/>
    </row>
    <row r="567" spans="20:20" x14ac:dyDescent="0.25">
      <c r="T567" s="2"/>
    </row>
    <row r="568" spans="20:20" x14ac:dyDescent="0.25">
      <c r="T568" s="2"/>
    </row>
    <row r="569" spans="20:20" x14ac:dyDescent="0.25">
      <c r="T569" s="2"/>
    </row>
    <row r="570" spans="20:20" x14ac:dyDescent="0.25">
      <c r="T570" s="2"/>
    </row>
    <row r="571" spans="20:20" x14ac:dyDescent="0.25">
      <c r="T571" s="2"/>
    </row>
    <row r="572" spans="20:20" x14ac:dyDescent="0.25">
      <c r="T572" s="2"/>
    </row>
    <row r="573" spans="20:20" x14ac:dyDescent="0.25">
      <c r="T573" s="2"/>
    </row>
    <row r="574" spans="20:20" x14ac:dyDescent="0.25">
      <c r="T574" s="2"/>
    </row>
    <row r="575" spans="20:20" x14ac:dyDescent="0.25">
      <c r="T575" s="2"/>
    </row>
    <row r="576" spans="20:20" x14ac:dyDescent="0.25">
      <c r="T576" s="2"/>
    </row>
    <row r="577" spans="20:20" x14ac:dyDescent="0.25">
      <c r="T577" s="2"/>
    </row>
    <row r="578" spans="20:20" x14ac:dyDescent="0.25">
      <c r="T578" s="2"/>
    </row>
    <row r="579" spans="20:20" x14ac:dyDescent="0.25">
      <c r="T579" s="2"/>
    </row>
    <row r="580" spans="20:20" x14ac:dyDescent="0.25">
      <c r="T580" s="2"/>
    </row>
    <row r="581" spans="20:20" x14ac:dyDescent="0.25">
      <c r="T581" s="2"/>
    </row>
    <row r="582" spans="20:20" x14ac:dyDescent="0.25">
      <c r="T582" s="2"/>
    </row>
    <row r="583" spans="20:20" x14ac:dyDescent="0.25">
      <c r="T583" s="2"/>
    </row>
    <row r="584" spans="20:20" x14ac:dyDescent="0.25">
      <c r="T584" s="2"/>
    </row>
    <row r="585" spans="20:20" x14ac:dyDescent="0.25">
      <c r="T585" s="2"/>
    </row>
    <row r="586" spans="20:20" x14ac:dyDescent="0.25">
      <c r="T586" s="2"/>
    </row>
    <row r="587" spans="20:20" x14ac:dyDescent="0.25">
      <c r="T587" s="2"/>
    </row>
    <row r="588" spans="20:20" x14ac:dyDescent="0.25">
      <c r="T588" s="2"/>
    </row>
    <row r="589" spans="20:20" x14ac:dyDescent="0.25">
      <c r="T589" s="2"/>
    </row>
    <row r="590" spans="20:20" x14ac:dyDescent="0.25">
      <c r="T590" s="2"/>
    </row>
    <row r="591" spans="20:20" x14ac:dyDescent="0.25">
      <c r="T591" s="2"/>
    </row>
    <row r="592" spans="20:20" x14ac:dyDescent="0.25">
      <c r="T592" s="2"/>
    </row>
    <row r="593" spans="20:20" x14ac:dyDescent="0.25">
      <c r="T593" s="2"/>
    </row>
    <row r="594" spans="20:20" x14ac:dyDescent="0.25">
      <c r="T594" s="2"/>
    </row>
    <row r="595" spans="20:20" x14ac:dyDescent="0.25">
      <c r="T595" s="2"/>
    </row>
    <row r="596" spans="20:20" x14ac:dyDescent="0.25">
      <c r="T596" s="2"/>
    </row>
    <row r="597" spans="20:20" x14ac:dyDescent="0.25">
      <c r="T597" s="2"/>
    </row>
    <row r="598" spans="20:20" x14ac:dyDescent="0.25">
      <c r="T598" s="2"/>
    </row>
    <row r="599" spans="20:20" x14ac:dyDescent="0.25">
      <c r="T599" s="2"/>
    </row>
    <row r="600" spans="20:20" x14ac:dyDescent="0.25">
      <c r="T600" s="2"/>
    </row>
    <row r="601" spans="20:20" x14ac:dyDescent="0.25">
      <c r="T601" s="2"/>
    </row>
    <row r="602" spans="20:20" x14ac:dyDescent="0.25">
      <c r="T602" s="2"/>
    </row>
    <row r="603" spans="20:20" x14ac:dyDescent="0.25">
      <c r="T603" s="2"/>
    </row>
    <row r="604" spans="20:20" x14ac:dyDescent="0.25">
      <c r="T604" s="2"/>
    </row>
    <row r="605" spans="20:20" x14ac:dyDescent="0.25">
      <c r="T605" s="2"/>
    </row>
    <row r="606" spans="20:20" x14ac:dyDescent="0.25">
      <c r="T606" s="2"/>
    </row>
    <row r="607" spans="20:20" x14ac:dyDescent="0.25">
      <c r="T607" s="2"/>
    </row>
    <row r="608" spans="20:20" x14ac:dyDescent="0.25">
      <c r="T608" s="2"/>
    </row>
    <row r="609" spans="20:20" x14ac:dyDescent="0.25">
      <c r="T609" s="2"/>
    </row>
    <row r="610" spans="20:20" x14ac:dyDescent="0.25">
      <c r="T610" s="2"/>
    </row>
    <row r="611" spans="20:20" x14ac:dyDescent="0.25">
      <c r="T611" s="2"/>
    </row>
    <row r="612" spans="20:20" x14ac:dyDescent="0.25">
      <c r="T612" s="2"/>
    </row>
    <row r="613" spans="20:20" x14ac:dyDescent="0.25">
      <c r="T613" s="2"/>
    </row>
    <row r="614" spans="20:20" x14ac:dyDescent="0.25">
      <c r="T614" s="2"/>
    </row>
    <row r="615" spans="20:20" x14ac:dyDescent="0.25">
      <c r="T615" s="2"/>
    </row>
    <row r="616" spans="20:20" x14ac:dyDescent="0.25">
      <c r="T616" s="2"/>
    </row>
    <row r="617" spans="20:20" x14ac:dyDescent="0.25">
      <c r="T617" s="2"/>
    </row>
    <row r="618" spans="20:20" x14ac:dyDescent="0.25">
      <c r="T618" s="2"/>
    </row>
    <row r="619" spans="20:20" x14ac:dyDescent="0.25">
      <c r="T619" s="2"/>
    </row>
    <row r="620" spans="20:20" x14ac:dyDescent="0.25">
      <c r="T620" s="2"/>
    </row>
    <row r="621" spans="20:20" x14ac:dyDescent="0.25">
      <c r="T621" s="2"/>
    </row>
    <row r="622" spans="20:20" x14ac:dyDescent="0.25">
      <c r="T622" s="2"/>
    </row>
    <row r="623" spans="20:20" x14ac:dyDescent="0.25">
      <c r="T623" s="2"/>
    </row>
    <row r="624" spans="20:20" x14ac:dyDescent="0.25">
      <c r="T624" s="2"/>
    </row>
    <row r="625" spans="20:20" x14ac:dyDescent="0.25">
      <c r="T625" s="2"/>
    </row>
    <row r="626" spans="20:20" x14ac:dyDescent="0.25">
      <c r="T626" s="2"/>
    </row>
    <row r="627" spans="20:20" x14ac:dyDescent="0.25">
      <c r="T627" s="2"/>
    </row>
    <row r="628" spans="20:20" x14ac:dyDescent="0.25">
      <c r="T628" s="2"/>
    </row>
    <row r="629" spans="20:20" x14ac:dyDescent="0.25">
      <c r="T629" s="2"/>
    </row>
    <row r="630" spans="20:20" x14ac:dyDescent="0.25">
      <c r="T630" s="2"/>
    </row>
    <row r="631" spans="20:20" x14ac:dyDescent="0.25">
      <c r="T631" s="2"/>
    </row>
    <row r="632" spans="20:20" x14ac:dyDescent="0.25">
      <c r="T632" s="2"/>
    </row>
    <row r="633" spans="20:20" x14ac:dyDescent="0.25">
      <c r="T633" s="2"/>
    </row>
    <row r="634" spans="20:20" x14ac:dyDescent="0.25">
      <c r="T634" s="2"/>
    </row>
    <row r="635" spans="20:20" x14ac:dyDescent="0.25">
      <c r="T635" s="2"/>
    </row>
    <row r="636" spans="20:20" x14ac:dyDescent="0.25">
      <c r="T636" s="2"/>
    </row>
    <row r="637" spans="20:20" x14ac:dyDescent="0.25">
      <c r="T637" s="2"/>
    </row>
    <row r="638" spans="20:20" x14ac:dyDescent="0.25">
      <c r="T638" s="2"/>
    </row>
    <row r="639" spans="20:20" x14ac:dyDescent="0.25">
      <c r="T639" s="2"/>
    </row>
    <row r="640" spans="20:20" x14ac:dyDescent="0.25">
      <c r="T640" s="2"/>
    </row>
    <row r="641" spans="20:20" x14ac:dyDescent="0.25">
      <c r="T641" s="2"/>
    </row>
    <row r="642" spans="20:20" x14ac:dyDescent="0.25">
      <c r="T642" s="2"/>
    </row>
    <row r="643" spans="20:20" x14ac:dyDescent="0.25">
      <c r="T643" s="2"/>
    </row>
    <row r="644" spans="20:20" x14ac:dyDescent="0.25">
      <c r="T644" s="2"/>
    </row>
    <row r="645" spans="20:20" x14ac:dyDescent="0.25">
      <c r="T645" s="2"/>
    </row>
  </sheetData>
  <mergeCells count="1">
    <mergeCell ref="A65:O65"/>
  </mergeCells>
  <printOptions horizontalCentered="1" verticalCentered="1"/>
  <pageMargins left="0.75" right="0.75" top="1" bottom="1" header="0.5" footer="0.5"/>
  <pageSetup scale="6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EC83-9D5B-4A21-8FF4-0B93C8740B7F}">
  <sheetPr>
    <pageSetUpPr fitToPage="1"/>
  </sheetPr>
  <dimension ref="A1:X645"/>
  <sheetViews>
    <sheetView zoomScale="70" zoomScaleNormal="70" zoomScaleSheetLayoutView="40" workbookViewId="0"/>
  </sheetViews>
  <sheetFormatPr defaultRowHeight="13.2" x14ac:dyDescent="0.25"/>
  <cols>
    <col min="3" max="3" width="15.5546875" customWidth="1"/>
    <col min="21" max="22" width="20.5546875" customWidth="1"/>
  </cols>
  <sheetData>
    <row r="1" spans="17:23" ht="38.25" customHeight="1" x14ac:dyDescent="0.25">
      <c r="R1" s="37" t="s">
        <v>231</v>
      </c>
      <c r="S1" t="s">
        <v>50</v>
      </c>
      <c r="U1" s="44"/>
      <c r="V1" s="44"/>
    </row>
    <row r="2" spans="17:23" ht="13.5" customHeight="1" x14ac:dyDescent="0.25">
      <c r="Q2" t="s">
        <v>0</v>
      </c>
      <c r="R2" t="s">
        <v>291</v>
      </c>
      <c r="U2" s="44"/>
      <c r="V2" s="44"/>
    </row>
    <row r="3" spans="17:23" ht="13.5" customHeight="1" x14ac:dyDescent="0.25">
      <c r="Q3" s="4">
        <v>2015</v>
      </c>
      <c r="R3">
        <v>0.30526316165924072</v>
      </c>
      <c r="S3">
        <v>0.37156638503074646</v>
      </c>
    </row>
    <row r="4" spans="17:23" ht="13.5" customHeight="1" x14ac:dyDescent="0.25">
      <c r="Q4" s="4">
        <f>Q3+1</f>
        <v>2016</v>
      </c>
      <c r="R4">
        <v>0.28609538078308105</v>
      </c>
      <c r="S4">
        <v>0.35575592517852783</v>
      </c>
    </row>
    <row r="5" spans="17:23" ht="13.5" customHeight="1" x14ac:dyDescent="0.25">
      <c r="Q5" s="4">
        <f>Q4+1</f>
        <v>2017</v>
      </c>
      <c r="R5">
        <v>0.28313791751861572</v>
      </c>
      <c r="S5">
        <v>0.33884268999099731</v>
      </c>
    </row>
    <row r="6" spans="17:23" ht="13.5" customHeight="1" x14ac:dyDescent="0.25">
      <c r="Q6" s="4">
        <f>Q5+1</f>
        <v>2018</v>
      </c>
      <c r="R6">
        <v>0.26979297399520874</v>
      </c>
      <c r="S6">
        <v>0.31742158532142639</v>
      </c>
    </row>
    <row r="7" spans="17:23" ht="13.5" customHeight="1" x14ac:dyDescent="0.25">
      <c r="Q7" s="4">
        <v>2019</v>
      </c>
      <c r="R7">
        <v>0.23347868025302887</v>
      </c>
      <c r="S7">
        <v>0.30162572860717773</v>
      </c>
    </row>
    <row r="8" spans="17:23" ht="13.5" customHeight="1" x14ac:dyDescent="0.25">
      <c r="Q8" s="4">
        <v>2020</v>
      </c>
      <c r="R8">
        <v>0.18222735822200775</v>
      </c>
      <c r="S8">
        <v>0.2867259681224823</v>
      </c>
      <c r="U8" t="s">
        <v>115</v>
      </c>
      <c r="W8" t="s">
        <v>116</v>
      </c>
    </row>
    <row r="9" spans="17:23" ht="13.5" customHeight="1" x14ac:dyDescent="0.25">
      <c r="Q9" s="4">
        <v>2021</v>
      </c>
      <c r="R9">
        <v>0.14341311156749725</v>
      </c>
      <c r="S9">
        <v>0.25290259718894958</v>
      </c>
      <c r="U9">
        <f>+R9-R8</f>
        <v>-3.8814246654510498E-2</v>
      </c>
      <c r="W9">
        <f>+U9/R8</f>
        <v>-0.21299900867367602</v>
      </c>
    </row>
    <row r="10" spans="17:23" ht="13.5" customHeight="1" x14ac:dyDescent="0.25">
      <c r="Q10" s="4">
        <v>2022</v>
      </c>
      <c r="R10">
        <v>0.22834785282611847</v>
      </c>
      <c r="S10">
        <v>0.22680014371871948</v>
      </c>
      <c r="U10">
        <f>+R10-R9</f>
        <v>8.4934741258621216E-2</v>
      </c>
      <c r="W10">
        <f>+U10/R9</f>
        <v>0.59223832695831824</v>
      </c>
    </row>
    <row r="11" spans="17:23" ht="13.5" customHeight="1" x14ac:dyDescent="0.25">
      <c r="Q11" s="4"/>
      <c r="T11" s="57"/>
    </row>
    <row r="12" spans="17:23" ht="13.5" customHeight="1" x14ac:dyDescent="0.25">
      <c r="Q12" s="4" t="s">
        <v>112</v>
      </c>
      <c r="R12" s="58">
        <f>+R7-R3</f>
        <v>-7.1784481406211853E-2</v>
      </c>
      <c r="S12" s="58">
        <f>+S7-S3</f>
        <v>-6.9940656423568726E-2</v>
      </c>
      <c r="T12" s="57"/>
    </row>
    <row r="13" spans="17:23" ht="13.5" customHeight="1" x14ac:dyDescent="0.25">
      <c r="Q13" s="4" t="s">
        <v>113</v>
      </c>
      <c r="R13" s="58">
        <f>+R10-R8</f>
        <v>4.6120494604110718E-2</v>
      </c>
      <c r="S13" s="58">
        <f>+S10-S8</f>
        <v>-5.9925824403762817E-2</v>
      </c>
      <c r="T13" s="57"/>
    </row>
    <row r="14" spans="17:23" ht="13.5" customHeight="1" x14ac:dyDescent="0.25">
      <c r="Q14" s="4"/>
      <c r="T14" s="57"/>
    </row>
    <row r="15" spans="17:23" ht="13.5" customHeight="1" x14ac:dyDescent="0.25">
      <c r="Q15" s="4"/>
      <c r="T15" s="57"/>
    </row>
    <row r="16" spans="17:23" ht="13.5" customHeight="1" x14ac:dyDescent="0.25">
      <c r="Q16" s="4"/>
      <c r="T16" s="57"/>
    </row>
    <row r="17" spans="17:22" ht="13.5" customHeight="1" x14ac:dyDescent="0.25">
      <c r="Q17" s="4" t="s">
        <v>114</v>
      </c>
      <c r="T17" s="57"/>
    </row>
    <row r="18" spans="17:22" ht="13.5" customHeight="1" x14ac:dyDescent="0.25">
      <c r="Q18" s="4" t="s">
        <v>112</v>
      </c>
      <c r="R18" s="58">
        <f>+R7/R3-1</f>
        <v>-0.23515605687902641</v>
      </c>
      <c r="S18" s="58">
        <f>+S7/S3-1</f>
        <v>-0.18823192635625863</v>
      </c>
      <c r="T18" s="57"/>
    </row>
    <row r="19" spans="17:22" ht="13.5" customHeight="1" x14ac:dyDescent="0.25">
      <c r="Q19" s="4" t="s">
        <v>113</v>
      </c>
      <c r="R19" s="58">
        <f>+R10/R8-1</f>
        <v>0.25309314174396413</v>
      </c>
      <c r="S19" s="58">
        <f>+S10/S8-1</f>
        <v>-0.20900033853286692</v>
      </c>
      <c r="T19" s="53"/>
      <c r="U19" s="53"/>
      <c r="V19" s="57"/>
    </row>
    <row r="20" spans="17:22" ht="13.5" customHeight="1" x14ac:dyDescent="0.25">
      <c r="Q20" s="4"/>
    </row>
    <row r="21" spans="17:22" ht="13.5" customHeight="1" x14ac:dyDescent="0.25">
      <c r="Q21" s="4"/>
    </row>
    <row r="22" spans="17:22" ht="13.5" customHeight="1" x14ac:dyDescent="0.25">
      <c r="Q22" s="4"/>
    </row>
    <row r="23" spans="17:22" ht="13.5" customHeight="1" x14ac:dyDescent="0.25">
      <c r="Q23" s="4"/>
    </row>
    <row r="24" spans="17:22" ht="13.5" customHeight="1" x14ac:dyDescent="0.25">
      <c r="Q24" s="4"/>
    </row>
    <row r="25" spans="17:22" ht="13.5" customHeight="1" x14ac:dyDescent="0.25">
      <c r="Q25" s="4"/>
    </row>
    <row r="26" spans="17:22" ht="13.5" customHeight="1" x14ac:dyDescent="0.25">
      <c r="Q26" s="4"/>
    </row>
    <row r="27" spans="17:22" ht="13.5" customHeight="1" x14ac:dyDescent="0.25">
      <c r="Q27" s="4"/>
    </row>
    <row r="28" spans="17:22" ht="13.5" customHeight="1" x14ac:dyDescent="0.25">
      <c r="Q28" s="4"/>
    </row>
    <row r="29" spans="17:22" ht="13.5" customHeight="1" x14ac:dyDescent="0.25">
      <c r="Q29" s="4"/>
    </row>
    <row r="30" spans="17:22" ht="13.5" customHeight="1" x14ac:dyDescent="0.25">
      <c r="Q30" s="4"/>
    </row>
    <row r="31" spans="17:22" ht="13.5" customHeight="1" x14ac:dyDescent="0.25">
      <c r="Q31" s="4"/>
    </row>
    <row r="32" spans="17:22" ht="13.5" customHeight="1" x14ac:dyDescent="0.25">
      <c r="Q32" s="4"/>
    </row>
    <row r="33" spans="17:24" ht="13.5" customHeight="1" x14ac:dyDescent="0.25">
      <c r="Q33" s="4"/>
    </row>
    <row r="34" spans="17:24" ht="16.5" customHeight="1" x14ac:dyDescent="0.25">
      <c r="R34" s="37" t="s">
        <v>227</v>
      </c>
      <c r="S34" t="s">
        <v>50</v>
      </c>
    </row>
    <row r="35" spans="17:24" x14ac:dyDescent="0.25">
      <c r="Q35" t="s">
        <v>0</v>
      </c>
      <c r="R35" t="s">
        <v>292</v>
      </c>
    </row>
    <row r="36" spans="17:24" x14ac:dyDescent="0.25">
      <c r="Q36" s="4">
        <v>2015</v>
      </c>
      <c r="R36">
        <v>0.38593986630439758</v>
      </c>
      <c r="S36">
        <v>0.48551803827285767</v>
      </c>
    </row>
    <row r="37" spans="17:24" x14ac:dyDescent="0.25">
      <c r="Q37" s="4">
        <f>Q36+1</f>
        <v>2016</v>
      </c>
      <c r="R37">
        <v>0.35979250073432922</v>
      </c>
      <c r="S37">
        <v>0.46311458945274353</v>
      </c>
    </row>
    <row r="38" spans="17:24" x14ac:dyDescent="0.25">
      <c r="Q38" s="4">
        <f>Q37+1</f>
        <v>2017</v>
      </c>
      <c r="R38">
        <v>0.35975271463394165</v>
      </c>
      <c r="S38">
        <v>0.44841480255126953</v>
      </c>
    </row>
    <row r="39" spans="17:24" x14ac:dyDescent="0.25">
      <c r="Q39" s="4">
        <f>Q38+1</f>
        <v>2018</v>
      </c>
      <c r="R39">
        <v>0.34645983576774597</v>
      </c>
      <c r="S39">
        <v>0.4315483570098877</v>
      </c>
    </row>
    <row r="40" spans="17:24" x14ac:dyDescent="0.25">
      <c r="Q40" s="4">
        <v>2019</v>
      </c>
      <c r="R40">
        <v>0.29094871878623962</v>
      </c>
      <c r="S40">
        <v>0.41082015633583069</v>
      </c>
      <c r="U40" t="s">
        <v>117</v>
      </c>
      <c r="W40" t="s">
        <v>118</v>
      </c>
    </row>
    <row r="41" spans="17:24" x14ac:dyDescent="0.25">
      <c r="Q41" s="4">
        <v>2020</v>
      </c>
      <c r="R41">
        <v>0.21396948397159576</v>
      </c>
      <c r="S41">
        <v>0.38369384407997131</v>
      </c>
      <c r="U41" t="s">
        <v>115</v>
      </c>
      <c r="V41" t="s">
        <v>116</v>
      </c>
    </row>
    <row r="42" spans="17:24" x14ac:dyDescent="0.25">
      <c r="Q42" s="4">
        <v>2021</v>
      </c>
      <c r="R42">
        <v>0.13628141582012177</v>
      </c>
      <c r="S42">
        <v>0.33763590455055237</v>
      </c>
      <c r="U42">
        <f>+R42-R41</f>
        <v>-7.7688068151473999E-2</v>
      </c>
      <c r="V42">
        <f>+U42/R41</f>
        <v>-0.36308013044414789</v>
      </c>
      <c r="W42">
        <f>+S42-S41</f>
        <v>-4.6057939529418945E-2</v>
      </c>
      <c r="X42">
        <f>+W42/S41</f>
        <v>-0.12003825508292316</v>
      </c>
    </row>
    <row r="43" spans="17:24" x14ac:dyDescent="0.25">
      <c r="Q43" s="4">
        <v>2022</v>
      </c>
      <c r="R43">
        <v>0.27643540501594543</v>
      </c>
      <c r="S43">
        <v>0.3109530508518219</v>
      </c>
      <c r="U43">
        <f>+R43-R42</f>
        <v>0.14015398919582367</v>
      </c>
      <c r="V43">
        <f>+U43/R42</f>
        <v>1.0284160048704905</v>
      </c>
      <c r="W43">
        <f>+S43-S42</f>
        <v>-2.6682853698730469E-2</v>
      </c>
      <c r="X43">
        <f>+W43/S42</f>
        <v>-7.9028484053701678E-2</v>
      </c>
    </row>
    <row r="44" spans="17:24" x14ac:dyDescent="0.25">
      <c r="Q44" s="4"/>
    </row>
    <row r="45" spans="17:24" ht="15.6" x14ac:dyDescent="0.25">
      <c r="Q45" s="4" t="s">
        <v>112</v>
      </c>
      <c r="R45" s="58">
        <f>+R40-R36</f>
        <v>-9.4991147518157959E-2</v>
      </c>
      <c r="S45" s="58">
        <f>+S40-S36</f>
        <v>-7.4697881937026978E-2</v>
      </c>
    </row>
    <row r="46" spans="17:24" ht="15.6" x14ac:dyDescent="0.25">
      <c r="Q46" s="4" t="s">
        <v>113</v>
      </c>
      <c r="R46" s="58">
        <f>+R43-R41</f>
        <v>6.246592104434967E-2</v>
      </c>
      <c r="S46" s="58">
        <f>+S43-S41</f>
        <v>-7.2740793228149414E-2</v>
      </c>
      <c r="T46" s="57"/>
    </row>
    <row r="47" spans="17:24" x14ac:dyDescent="0.25">
      <c r="Q47" s="4"/>
      <c r="R47">
        <f>+R42-R41</f>
        <v>-7.7688068151473999E-2</v>
      </c>
      <c r="T47" s="57"/>
    </row>
    <row r="48" spans="17:24" x14ac:dyDescent="0.25">
      <c r="Q48" s="4"/>
      <c r="R48">
        <f>+R43-R42</f>
        <v>0.14015398919582367</v>
      </c>
      <c r="T48" s="57"/>
    </row>
    <row r="49" spans="17:20" x14ac:dyDescent="0.25">
      <c r="Q49" s="4"/>
      <c r="R49">
        <f>+R48/R42</f>
        <v>1.0284160048704905</v>
      </c>
      <c r="T49" s="57"/>
    </row>
    <row r="50" spans="17:20" x14ac:dyDescent="0.25">
      <c r="Q50" s="4" t="s">
        <v>114</v>
      </c>
      <c r="T50" s="57"/>
    </row>
    <row r="51" spans="17:20" ht="15.6" x14ac:dyDescent="0.25">
      <c r="Q51" s="4" t="s">
        <v>112</v>
      </c>
      <c r="R51" s="58">
        <f>+R40/R36-1</f>
        <v>-0.24612939945218504</v>
      </c>
      <c r="S51" s="58">
        <f>+S40/S36-1</f>
        <v>-0.1538519190816291</v>
      </c>
      <c r="T51" s="57"/>
    </row>
    <row r="52" spans="17:20" ht="15.6" x14ac:dyDescent="0.25">
      <c r="Q52" s="4" t="s">
        <v>113</v>
      </c>
      <c r="R52" s="58">
        <f>+R43/R41-1</f>
        <v>0.29193845722711553</v>
      </c>
      <c r="S52" s="58">
        <f>+S43/S41-1</f>
        <v>-0.1895802978089699</v>
      </c>
      <c r="T52" s="57"/>
    </row>
    <row r="53" spans="17:20" x14ac:dyDescent="0.25">
      <c r="Q53" s="4"/>
      <c r="T53" s="57"/>
    </row>
    <row r="54" spans="17:20" x14ac:dyDescent="0.25">
      <c r="Q54" s="4"/>
    </row>
    <row r="64" spans="17:20" ht="7.05" customHeight="1" x14ac:dyDescent="0.25"/>
    <row r="65" spans="1:23" ht="45.6" customHeight="1" x14ac:dyDescent="0.25">
      <c r="A65" s="153" t="s">
        <v>265</v>
      </c>
      <c r="B65" s="153"/>
      <c r="C65" s="153"/>
      <c r="D65" s="153"/>
      <c r="E65" s="153"/>
      <c r="F65" s="153"/>
      <c r="G65" s="153"/>
      <c r="H65" s="153"/>
      <c r="I65" s="153"/>
      <c r="J65" s="153"/>
      <c r="K65" s="153"/>
      <c r="L65" s="153"/>
      <c r="M65" s="153"/>
      <c r="N65" s="153"/>
      <c r="O65" s="153"/>
    </row>
    <row r="66" spans="1:23" ht="12.75" customHeight="1" x14ac:dyDescent="0.25">
      <c r="A66" s="153"/>
      <c r="B66" s="153"/>
      <c r="C66" s="153"/>
      <c r="D66" s="153"/>
      <c r="E66" s="153"/>
      <c r="F66" s="153"/>
      <c r="G66" s="153"/>
      <c r="H66" s="153"/>
      <c r="I66" s="153"/>
      <c r="J66" s="153"/>
      <c r="K66" s="153"/>
      <c r="L66" s="153"/>
      <c r="M66" s="153"/>
      <c r="N66" s="153"/>
      <c r="O66" s="153"/>
    </row>
    <row r="67" spans="1:23" x14ac:dyDescent="0.25">
      <c r="A67" s="153"/>
      <c r="B67" s="153"/>
      <c r="C67" s="153"/>
      <c r="D67" s="153"/>
      <c r="E67" s="153"/>
      <c r="F67" s="153"/>
      <c r="G67" s="153"/>
      <c r="H67" s="153"/>
      <c r="I67" s="153"/>
      <c r="J67" s="153"/>
      <c r="K67" s="153"/>
      <c r="L67" s="153"/>
      <c r="M67" s="153"/>
      <c r="N67" s="153"/>
      <c r="O67" s="153"/>
    </row>
    <row r="68" spans="1:23" x14ac:dyDescent="0.25">
      <c r="A68" s="153"/>
      <c r="B68" s="153"/>
      <c r="C68" s="153"/>
      <c r="D68" s="153"/>
      <c r="E68" s="153"/>
      <c r="F68" s="153"/>
      <c r="G68" s="153"/>
      <c r="H68" s="153"/>
      <c r="I68" s="153"/>
      <c r="J68" s="153"/>
      <c r="K68" s="153"/>
      <c r="L68" s="153"/>
      <c r="M68" s="153"/>
      <c r="N68" s="153"/>
      <c r="O68" s="153"/>
      <c r="R68" s="13"/>
      <c r="U68" t="s">
        <v>151</v>
      </c>
    </row>
    <row r="70" spans="1:23" x14ac:dyDescent="0.25">
      <c r="S70" t="s">
        <v>150</v>
      </c>
    </row>
    <row r="71" spans="1:23" x14ac:dyDescent="0.25">
      <c r="S71" s="61">
        <v>11326.66</v>
      </c>
    </row>
    <row r="73" spans="1:23" x14ac:dyDescent="0.25">
      <c r="S73" s="59" t="s">
        <v>133</v>
      </c>
      <c r="T73" t="s">
        <v>145</v>
      </c>
      <c r="U73" t="s">
        <v>146</v>
      </c>
      <c r="V73" t="s">
        <v>147</v>
      </c>
      <c r="W73" t="s">
        <v>148</v>
      </c>
    </row>
    <row r="74" spans="1:23" x14ac:dyDescent="0.25">
      <c r="S74" s="59"/>
      <c r="T74" t="s">
        <v>136</v>
      </c>
      <c r="U74" t="s">
        <v>137</v>
      </c>
    </row>
    <row r="75" spans="1:23" x14ac:dyDescent="0.25">
      <c r="S75" s="59">
        <v>0.01</v>
      </c>
      <c r="T75">
        <v>0</v>
      </c>
      <c r="U75">
        <v>-9999</v>
      </c>
      <c r="W75" s="55"/>
    </row>
    <row r="76" spans="1:23" x14ac:dyDescent="0.25">
      <c r="S76" s="59">
        <v>0.05</v>
      </c>
      <c r="T76">
        <v>4523.1890000000003</v>
      </c>
      <c r="U76">
        <v>-9999</v>
      </c>
      <c r="W76" s="55"/>
    </row>
    <row r="77" spans="1:23" x14ac:dyDescent="0.25">
      <c r="S77" s="59">
        <v>0.1</v>
      </c>
      <c r="T77">
        <v>9181.5939999999991</v>
      </c>
      <c r="U77">
        <v>-9999</v>
      </c>
      <c r="V77" t="s">
        <v>59</v>
      </c>
      <c r="W77" s="55">
        <v>185487</v>
      </c>
    </row>
    <row r="78" spans="1:23" x14ac:dyDescent="0.25">
      <c r="S78" s="59">
        <v>0.25</v>
      </c>
      <c r="T78">
        <v>16331</v>
      </c>
      <c r="U78">
        <v>-9983</v>
      </c>
      <c r="V78" t="s">
        <v>138</v>
      </c>
      <c r="W78" s="55">
        <v>185487</v>
      </c>
    </row>
    <row r="80" spans="1:23" x14ac:dyDescent="0.25">
      <c r="S80" s="59">
        <v>0.5</v>
      </c>
      <c r="T80">
        <v>27347.02</v>
      </c>
      <c r="V80" t="s">
        <v>139</v>
      </c>
      <c r="W80">
        <v>33685.86</v>
      </c>
    </row>
    <row r="81" spans="19:23" x14ac:dyDescent="0.25">
      <c r="S81" s="59"/>
      <c r="U81" t="s">
        <v>140</v>
      </c>
      <c r="V81" t="s">
        <v>141</v>
      </c>
      <c r="W81" s="60">
        <v>30760.04</v>
      </c>
    </row>
    <row r="82" spans="19:23" x14ac:dyDescent="0.25">
      <c r="S82" s="59">
        <v>0.75</v>
      </c>
      <c r="T82">
        <v>42689.05</v>
      </c>
      <c r="U82">
        <v>714309.2</v>
      </c>
    </row>
    <row r="83" spans="19:23" x14ac:dyDescent="0.25">
      <c r="S83" s="59">
        <v>0.9</v>
      </c>
      <c r="T83">
        <v>62178.5</v>
      </c>
      <c r="U83">
        <v>749906.6</v>
      </c>
      <c r="V83" t="s">
        <v>142</v>
      </c>
      <c r="W83" s="60">
        <v>946000000</v>
      </c>
    </row>
    <row r="84" spans="19:23" x14ac:dyDescent="0.25">
      <c r="S84" s="59">
        <v>0.95</v>
      </c>
      <c r="T84">
        <v>79914.240000000005</v>
      </c>
      <c r="U84">
        <v>828265.8</v>
      </c>
      <c r="V84" t="s">
        <v>143</v>
      </c>
      <c r="W84">
        <v>5.3557730000000001</v>
      </c>
    </row>
    <row r="85" spans="19:23" x14ac:dyDescent="0.25">
      <c r="S85" s="59">
        <v>0.99</v>
      </c>
      <c r="T85">
        <v>139909.70000000001</v>
      </c>
      <c r="U85">
        <v>901431.8</v>
      </c>
      <c r="V85" t="s">
        <v>144</v>
      </c>
      <c r="W85">
        <v>67.712919999999997</v>
      </c>
    </row>
    <row r="89" spans="19:23" x14ac:dyDescent="0.25">
      <c r="U89" t="s">
        <v>152</v>
      </c>
    </row>
    <row r="91" spans="19:23" x14ac:dyDescent="0.25">
      <c r="S91" t="s">
        <v>150</v>
      </c>
    </row>
    <row r="92" spans="19:23" x14ac:dyDescent="0.25">
      <c r="S92" s="61">
        <v>2794.2289999999998</v>
      </c>
    </row>
    <row r="94" spans="19:23" x14ac:dyDescent="0.25">
      <c r="S94" t="s">
        <v>133</v>
      </c>
      <c r="T94" t="s">
        <v>134</v>
      </c>
      <c r="U94" t="s">
        <v>149</v>
      </c>
      <c r="V94" t="s">
        <v>134</v>
      </c>
      <c r="W94" t="s">
        <v>135</v>
      </c>
    </row>
    <row r="95" spans="19:23" x14ac:dyDescent="0.25">
      <c r="S95" s="59"/>
      <c r="T95" t="s">
        <v>136</v>
      </c>
      <c r="U95" t="s">
        <v>137</v>
      </c>
    </row>
    <row r="96" spans="19:23" x14ac:dyDescent="0.25">
      <c r="S96" s="59">
        <v>0.01</v>
      </c>
      <c r="T96">
        <v>1331.0889999999999</v>
      </c>
      <c r="U96">
        <v>-23.0001</v>
      </c>
    </row>
    <row r="97" spans="19:23" x14ac:dyDescent="0.25">
      <c r="S97" s="59">
        <v>0.05</v>
      </c>
      <c r="T97">
        <v>2205.7199999999998</v>
      </c>
      <c r="U97">
        <v>0</v>
      </c>
      <c r="W97" s="55"/>
    </row>
    <row r="98" spans="19:23" x14ac:dyDescent="0.25">
      <c r="S98" s="59">
        <v>0.1</v>
      </c>
      <c r="T98">
        <v>2712</v>
      </c>
      <c r="U98">
        <v>0</v>
      </c>
      <c r="V98" t="s">
        <v>59</v>
      </c>
      <c r="W98" s="55">
        <v>22231</v>
      </c>
    </row>
    <row r="99" spans="19:23" x14ac:dyDescent="0.25">
      <c r="S99" s="59">
        <v>0.25</v>
      </c>
      <c r="T99">
        <v>3776.5169999999998</v>
      </c>
      <c r="U99">
        <v>0</v>
      </c>
      <c r="V99" t="s">
        <v>138</v>
      </c>
      <c r="W99" s="55">
        <v>22231</v>
      </c>
    </row>
    <row r="100" spans="19:23" x14ac:dyDescent="0.25">
      <c r="S100" s="59"/>
    </row>
    <row r="101" spans="19:23" x14ac:dyDescent="0.25">
      <c r="S101" s="59">
        <v>0.5</v>
      </c>
      <c r="T101">
        <v>5449.6940000000004</v>
      </c>
      <c r="V101" t="s">
        <v>139</v>
      </c>
      <c r="W101">
        <v>6446.8770000000004</v>
      </c>
    </row>
    <row r="102" spans="19:23" x14ac:dyDescent="0.25">
      <c r="S102" s="59"/>
      <c r="U102" t="s">
        <v>140</v>
      </c>
      <c r="V102" t="s">
        <v>141</v>
      </c>
      <c r="W102">
        <v>4424.7479999999996</v>
      </c>
    </row>
    <row r="103" spans="19:23" x14ac:dyDescent="0.25">
      <c r="S103" s="59">
        <v>0.75</v>
      </c>
      <c r="T103">
        <v>7864.7510000000002</v>
      </c>
      <c r="U103">
        <v>80461.77</v>
      </c>
      <c r="W103" s="60"/>
    </row>
    <row r="104" spans="19:23" x14ac:dyDescent="0.25">
      <c r="S104" s="59">
        <v>0.9</v>
      </c>
      <c r="T104">
        <v>11013.22</v>
      </c>
      <c r="U104">
        <v>92680.2</v>
      </c>
      <c r="V104" t="s">
        <v>142</v>
      </c>
      <c r="W104" s="60">
        <v>19600000</v>
      </c>
    </row>
    <row r="105" spans="19:23" x14ac:dyDescent="0.25">
      <c r="S105" s="59">
        <v>0.95</v>
      </c>
      <c r="T105">
        <v>13752.5</v>
      </c>
      <c r="U105">
        <v>94852.11</v>
      </c>
      <c r="V105" t="s">
        <v>143</v>
      </c>
      <c r="W105">
        <v>4.5196170000000002</v>
      </c>
    </row>
    <row r="106" spans="19:23" x14ac:dyDescent="0.25">
      <c r="S106" s="59">
        <v>0.99</v>
      </c>
      <c r="T106">
        <v>22124.06</v>
      </c>
      <c r="U106">
        <v>111487.3</v>
      </c>
      <c r="V106" t="s">
        <v>144</v>
      </c>
      <c r="W106">
        <v>56.41825</v>
      </c>
    </row>
    <row r="172" spans="20:20" x14ac:dyDescent="0.25">
      <c r="T172" s="3"/>
    </row>
    <row r="173" spans="20:20" x14ac:dyDescent="0.25">
      <c r="T173" s="2"/>
    </row>
    <row r="174" spans="20:20" x14ac:dyDescent="0.25">
      <c r="T174" s="2"/>
    </row>
    <row r="175" spans="20:20" x14ac:dyDescent="0.25">
      <c r="T175" s="2"/>
    </row>
    <row r="176" spans="20:20" x14ac:dyDescent="0.25">
      <c r="T176" s="2"/>
    </row>
    <row r="177" spans="20:20" x14ac:dyDescent="0.25">
      <c r="T177" s="2"/>
    </row>
    <row r="178" spans="20:20" x14ac:dyDescent="0.25">
      <c r="T178" s="2"/>
    </row>
    <row r="179" spans="20:20" x14ac:dyDescent="0.25">
      <c r="T179" s="2"/>
    </row>
    <row r="180" spans="20:20" x14ac:dyDescent="0.25">
      <c r="T180" s="2"/>
    </row>
    <row r="181" spans="20:20" x14ac:dyDescent="0.25">
      <c r="T181" s="2"/>
    </row>
    <row r="182" spans="20:20" x14ac:dyDescent="0.25">
      <c r="T182" s="2"/>
    </row>
    <row r="183" spans="20:20" x14ac:dyDescent="0.25">
      <c r="T183" s="2"/>
    </row>
    <row r="184" spans="20:20" x14ac:dyDescent="0.25">
      <c r="T184" s="2"/>
    </row>
    <row r="185" spans="20:20" x14ac:dyDescent="0.25">
      <c r="T185" s="2"/>
    </row>
    <row r="186" spans="20:20" x14ac:dyDescent="0.25">
      <c r="T186" s="2"/>
    </row>
    <row r="187" spans="20:20" x14ac:dyDescent="0.25">
      <c r="T187" s="2"/>
    </row>
    <row r="188" spans="20:20" x14ac:dyDescent="0.25">
      <c r="T188" s="2"/>
    </row>
    <row r="189" spans="20:20" x14ac:dyDescent="0.25">
      <c r="T189" s="2"/>
    </row>
    <row r="190" spans="20:20" x14ac:dyDescent="0.25">
      <c r="T190" s="2"/>
    </row>
    <row r="191" spans="20:20" x14ac:dyDescent="0.25">
      <c r="T191" s="2"/>
    </row>
    <row r="192" spans="20:20" x14ac:dyDescent="0.25">
      <c r="T192" s="2"/>
    </row>
    <row r="193" spans="20:20" x14ac:dyDescent="0.25">
      <c r="T193" s="2"/>
    </row>
    <row r="194" spans="20:20" x14ac:dyDescent="0.25">
      <c r="T194" s="2"/>
    </row>
    <row r="195" spans="20:20" x14ac:dyDescent="0.25">
      <c r="T195" s="2"/>
    </row>
    <row r="196" spans="20:20" x14ac:dyDescent="0.25">
      <c r="T196" s="2"/>
    </row>
    <row r="197" spans="20:20" x14ac:dyDescent="0.25">
      <c r="T197" s="2"/>
    </row>
    <row r="198" spans="20:20" x14ac:dyDescent="0.25">
      <c r="T198" s="2"/>
    </row>
    <row r="199" spans="20:20" x14ac:dyDescent="0.25">
      <c r="T199" s="2"/>
    </row>
    <row r="200" spans="20:20" x14ac:dyDescent="0.25">
      <c r="T200" s="2"/>
    </row>
    <row r="201" spans="20:20" x14ac:dyDescent="0.25">
      <c r="T201" s="2"/>
    </row>
    <row r="202" spans="20:20" x14ac:dyDescent="0.25">
      <c r="T202" s="2"/>
    </row>
    <row r="203" spans="20:20" x14ac:dyDescent="0.25">
      <c r="T203" s="2"/>
    </row>
    <row r="204" spans="20:20" x14ac:dyDescent="0.25">
      <c r="T204" s="2"/>
    </row>
    <row r="205" spans="20:20" x14ac:dyDescent="0.25">
      <c r="T205" s="2"/>
    </row>
    <row r="206" spans="20:20" x14ac:dyDescent="0.25">
      <c r="T206" s="2"/>
    </row>
    <row r="207" spans="20:20" x14ac:dyDescent="0.25">
      <c r="T207" s="2"/>
    </row>
    <row r="208" spans="20:20" x14ac:dyDescent="0.25">
      <c r="T208" s="2"/>
    </row>
    <row r="209" spans="20:20" x14ac:dyDescent="0.25">
      <c r="T209" s="2"/>
    </row>
    <row r="210" spans="20:20" x14ac:dyDescent="0.25">
      <c r="T210" s="2"/>
    </row>
    <row r="211" spans="20:20" x14ac:dyDescent="0.25">
      <c r="T211" s="2"/>
    </row>
    <row r="212" spans="20:20" x14ac:dyDescent="0.25">
      <c r="T212" s="2"/>
    </row>
    <row r="213" spans="20:20" x14ac:dyDescent="0.25">
      <c r="T213" s="2"/>
    </row>
    <row r="214" spans="20:20" x14ac:dyDescent="0.25">
      <c r="T214" s="2"/>
    </row>
    <row r="215" spans="20:20" x14ac:dyDescent="0.25">
      <c r="T215" s="2"/>
    </row>
    <row r="216" spans="20:20" x14ac:dyDescent="0.25">
      <c r="T216" s="2"/>
    </row>
    <row r="217" spans="20:20" x14ac:dyDescent="0.25">
      <c r="T217" s="2"/>
    </row>
    <row r="218" spans="20:20" x14ac:dyDescent="0.25">
      <c r="T218" s="2"/>
    </row>
    <row r="219" spans="20:20" x14ac:dyDescent="0.25">
      <c r="T219" s="2"/>
    </row>
    <row r="220" spans="20:20" x14ac:dyDescent="0.25">
      <c r="T220" s="2"/>
    </row>
    <row r="221" spans="20:20" x14ac:dyDescent="0.25">
      <c r="T221" s="2"/>
    </row>
    <row r="222" spans="20:20" x14ac:dyDescent="0.25">
      <c r="T222" s="2"/>
    </row>
    <row r="223" spans="20:20" x14ac:dyDescent="0.25">
      <c r="T223" s="2"/>
    </row>
    <row r="224" spans="20:20" x14ac:dyDescent="0.25">
      <c r="T224" s="2"/>
    </row>
    <row r="225" spans="20:20" x14ac:dyDescent="0.25">
      <c r="T225" s="2"/>
    </row>
    <row r="226" spans="20:20" x14ac:dyDescent="0.25">
      <c r="T226" s="2"/>
    </row>
    <row r="227" spans="20:20" x14ac:dyDescent="0.25">
      <c r="T227" s="2"/>
    </row>
    <row r="228" spans="20:20" x14ac:dyDescent="0.25">
      <c r="T228" s="2"/>
    </row>
    <row r="229" spans="20:20" x14ac:dyDescent="0.25">
      <c r="T229" s="2"/>
    </row>
    <row r="230" spans="20:20" x14ac:dyDescent="0.25">
      <c r="T230" s="2"/>
    </row>
    <row r="231" spans="20:20" x14ac:dyDescent="0.25">
      <c r="T231" s="2"/>
    </row>
    <row r="232" spans="20:20" x14ac:dyDescent="0.25">
      <c r="T232" s="2"/>
    </row>
    <row r="233" spans="20:20" x14ac:dyDescent="0.25">
      <c r="T233" s="2"/>
    </row>
    <row r="234" spans="20:20" x14ac:dyDescent="0.25">
      <c r="T234" s="2"/>
    </row>
    <row r="235" spans="20:20" x14ac:dyDescent="0.25">
      <c r="T235" s="2"/>
    </row>
    <row r="236" spans="20:20" x14ac:dyDescent="0.25">
      <c r="T236" s="2"/>
    </row>
    <row r="237" spans="20:20" x14ac:dyDescent="0.25">
      <c r="T237" s="2"/>
    </row>
    <row r="238" spans="20:20" x14ac:dyDescent="0.25">
      <c r="T238" s="2"/>
    </row>
    <row r="239" spans="20:20" x14ac:dyDescent="0.25">
      <c r="T239" s="2"/>
    </row>
    <row r="240" spans="20:20" x14ac:dyDescent="0.25">
      <c r="T240" s="2"/>
    </row>
    <row r="241" spans="20:20" x14ac:dyDescent="0.25">
      <c r="T241" s="2"/>
    </row>
    <row r="242" spans="20:20" x14ac:dyDescent="0.25">
      <c r="T242" s="2"/>
    </row>
    <row r="243" spans="20:20" x14ac:dyDescent="0.25">
      <c r="T243" s="2"/>
    </row>
    <row r="244" spans="20:20" x14ac:dyDescent="0.25">
      <c r="T244" s="2"/>
    </row>
    <row r="245" spans="20:20" x14ac:dyDescent="0.25">
      <c r="T245" s="2"/>
    </row>
    <row r="246" spans="20:20" x14ac:dyDescent="0.25">
      <c r="T246" s="2"/>
    </row>
    <row r="247" spans="20:20" x14ac:dyDescent="0.25">
      <c r="T247" s="2"/>
    </row>
    <row r="248" spans="20:20" x14ac:dyDescent="0.25">
      <c r="T248" s="2"/>
    </row>
    <row r="249" spans="20:20" x14ac:dyDescent="0.25">
      <c r="T249" s="2"/>
    </row>
    <row r="250" spans="20:20" x14ac:dyDescent="0.25">
      <c r="T250" s="2"/>
    </row>
    <row r="251" spans="20:20" x14ac:dyDescent="0.25">
      <c r="T251" s="2"/>
    </row>
    <row r="252" spans="20:20" x14ac:dyDescent="0.25">
      <c r="T252" s="2"/>
    </row>
    <row r="253" spans="20:20" x14ac:dyDescent="0.25">
      <c r="T253" s="2"/>
    </row>
    <row r="254" spans="20:20" x14ac:dyDescent="0.25">
      <c r="T254" s="2"/>
    </row>
    <row r="255" spans="20:20" x14ac:dyDescent="0.25">
      <c r="T255" s="2"/>
    </row>
    <row r="256" spans="20:20" x14ac:dyDescent="0.25">
      <c r="T256" s="2"/>
    </row>
    <row r="257" spans="20:20" x14ac:dyDescent="0.25">
      <c r="T257" s="2"/>
    </row>
    <row r="258" spans="20:20" x14ac:dyDescent="0.25">
      <c r="T258" s="2"/>
    </row>
    <row r="259" spans="20:20" x14ac:dyDescent="0.25">
      <c r="T259" s="2"/>
    </row>
    <row r="260" spans="20:20" x14ac:dyDescent="0.25">
      <c r="T260" s="2"/>
    </row>
    <row r="261" spans="20:20" x14ac:dyDescent="0.25">
      <c r="T261" s="2"/>
    </row>
    <row r="262" spans="20:20" x14ac:dyDescent="0.25">
      <c r="T262" s="2"/>
    </row>
    <row r="263" spans="20:20" x14ac:dyDescent="0.25">
      <c r="T263" s="2"/>
    </row>
    <row r="264" spans="20:20" x14ac:dyDescent="0.25">
      <c r="T264" s="2"/>
    </row>
    <row r="265" spans="20:20" x14ac:dyDescent="0.25">
      <c r="T265" s="2"/>
    </row>
    <row r="266" spans="20:20" x14ac:dyDescent="0.25">
      <c r="T266" s="2"/>
    </row>
    <row r="267" spans="20:20" x14ac:dyDescent="0.25">
      <c r="T267" s="2"/>
    </row>
    <row r="268" spans="20:20" x14ac:dyDescent="0.25">
      <c r="T268" s="2"/>
    </row>
    <row r="269" spans="20:20" x14ac:dyDescent="0.25">
      <c r="T269" s="2"/>
    </row>
    <row r="270" spans="20:20" x14ac:dyDescent="0.25">
      <c r="T270" s="2"/>
    </row>
    <row r="271" spans="20:20" x14ac:dyDescent="0.25">
      <c r="T271" s="2"/>
    </row>
    <row r="272" spans="20:20" x14ac:dyDescent="0.25">
      <c r="T272" s="2"/>
    </row>
    <row r="273" spans="20:20" x14ac:dyDescent="0.25">
      <c r="T273" s="2"/>
    </row>
    <row r="274" spans="20:20" x14ac:dyDescent="0.25">
      <c r="T274" s="2"/>
    </row>
    <row r="275" spans="20:20" x14ac:dyDescent="0.25">
      <c r="T275" s="2"/>
    </row>
    <row r="276" spans="20:20" x14ac:dyDescent="0.25">
      <c r="T276" s="2"/>
    </row>
    <row r="277" spans="20:20" x14ac:dyDescent="0.25">
      <c r="T277" s="2"/>
    </row>
    <row r="278" spans="20:20" x14ac:dyDescent="0.25">
      <c r="T278" s="2"/>
    </row>
    <row r="279" spans="20:20" x14ac:dyDescent="0.25">
      <c r="T279" s="2"/>
    </row>
    <row r="280" spans="20:20" x14ac:dyDescent="0.25">
      <c r="T280" s="2"/>
    </row>
    <row r="281" spans="20:20" x14ac:dyDescent="0.25">
      <c r="T281" s="2"/>
    </row>
    <row r="282" spans="20:20" x14ac:dyDescent="0.25">
      <c r="T282" s="2"/>
    </row>
    <row r="283" spans="20:20" x14ac:dyDescent="0.25">
      <c r="T283" s="2"/>
    </row>
    <row r="284" spans="20:20" x14ac:dyDescent="0.25">
      <c r="T284" s="2"/>
    </row>
    <row r="285" spans="20:20" x14ac:dyDescent="0.25">
      <c r="T285" s="2"/>
    </row>
    <row r="286" spans="20:20" x14ac:dyDescent="0.25">
      <c r="T286" s="2"/>
    </row>
    <row r="287" spans="20:20" x14ac:dyDescent="0.25">
      <c r="T287" s="2"/>
    </row>
    <row r="288" spans="20:20" x14ac:dyDescent="0.25">
      <c r="T288" s="2"/>
    </row>
    <row r="289" spans="20:20" x14ac:dyDescent="0.25">
      <c r="T289" s="2"/>
    </row>
    <row r="290" spans="20:20" x14ac:dyDescent="0.25">
      <c r="T290" s="2"/>
    </row>
    <row r="291" spans="20:20" x14ac:dyDescent="0.25">
      <c r="T291" s="2"/>
    </row>
    <row r="292" spans="20:20" x14ac:dyDescent="0.25">
      <c r="T292" s="2"/>
    </row>
    <row r="293" spans="20:20" x14ac:dyDescent="0.25">
      <c r="T293" s="2"/>
    </row>
    <row r="294" spans="20:20" x14ac:dyDescent="0.25">
      <c r="T294" s="2"/>
    </row>
    <row r="295" spans="20:20" x14ac:dyDescent="0.25">
      <c r="T295" s="2"/>
    </row>
    <row r="296" spans="20:20" x14ac:dyDescent="0.25">
      <c r="T296" s="2"/>
    </row>
    <row r="297" spans="20:20" x14ac:dyDescent="0.25">
      <c r="T297" s="2"/>
    </row>
    <row r="298" spans="20:20" x14ac:dyDescent="0.25">
      <c r="T298" s="2"/>
    </row>
    <row r="299" spans="20:20" x14ac:dyDescent="0.25">
      <c r="T299" s="2"/>
    </row>
    <row r="300" spans="20:20" x14ac:dyDescent="0.25">
      <c r="T300" s="2"/>
    </row>
    <row r="301" spans="20:20" x14ac:dyDescent="0.25">
      <c r="T301" s="2"/>
    </row>
    <row r="302" spans="20:20" x14ac:dyDescent="0.25">
      <c r="T302" s="2"/>
    </row>
    <row r="303" spans="20:20" x14ac:dyDescent="0.25">
      <c r="T303" s="2"/>
    </row>
    <row r="304" spans="20:20" x14ac:dyDescent="0.25">
      <c r="T304" s="2"/>
    </row>
    <row r="305" spans="20:20" x14ac:dyDescent="0.25">
      <c r="T305" s="2"/>
    </row>
    <row r="306" spans="20:20" x14ac:dyDescent="0.25">
      <c r="T306" s="2"/>
    </row>
    <row r="307" spans="20:20" x14ac:dyDescent="0.25">
      <c r="T307" s="2"/>
    </row>
    <row r="308" spans="20:20" x14ac:dyDescent="0.25">
      <c r="T308" s="2"/>
    </row>
    <row r="309" spans="20:20" x14ac:dyDescent="0.25">
      <c r="T309" s="2"/>
    </row>
    <row r="310" spans="20:20" x14ac:dyDescent="0.25">
      <c r="T310" s="2"/>
    </row>
    <row r="311" spans="20:20" x14ac:dyDescent="0.25">
      <c r="T311" s="2"/>
    </row>
    <row r="312" spans="20:20" x14ac:dyDescent="0.25">
      <c r="T312" s="2"/>
    </row>
    <row r="313" spans="20:20" x14ac:dyDescent="0.25">
      <c r="T313" s="2"/>
    </row>
    <row r="314" spans="20:20" x14ac:dyDescent="0.25">
      <c r="T314" s="2"/>
    </row>
    <row r="315" spans="20:20" x14ac:dyDescent="0.25">
      <c r="T315" s="2"/>
    </row>
    <row r="316" spans="20:20" x14ac:dyDescent="0.25">
      <c r="T316" s="2"/>
    </row>
    <row r="317" spans="20:20" x14ac:dyDescent="0.25">
      <c r="T317" s="2"/>
    </row>
    <row r="318" spans="20:20" x14ac:dyDescent="0.25">
      <c r="T318" s="2"/>
    </row>
    <row r="319" spans="20:20" x14ac:dyDescent="0.25">
      <c r="T319" s="2"/>
    </row>
    <row r="320" spans="20:20" x14ac:dyDescent="0.25">
      <c r="T320" s="2"/>
    </row>
    <row r="321" spans="20:20" x14ac:dyDescent="0.25">
      <c r="T321" s="2"/>
    </row>
    <row r="322" spans="20:20" x14ac:dyDescent="0.25">
      <c r="T322" s="2"/>
    </row>
    <row r="323" spans="20:20" x14ac:dyDescent="0.25">
      <c r="T323" s="2"/>
    </row>
    <row r="324" spans="20:20" x14ac:dyDescent="0.25">
      <c r="T324" s="2"/>
    </row>
    <row r="325" spans="20:20" x14ac:dyDescent="0.25">
      <c r="T325" s="2"/>
    </row>
    <row r="326" spans="20:20" x14ac:dyDescent="0.25">
      <c r="T326" s="2"/>
    </row>
    <row r="327" spans="20:20" x14ac:dyDescent="0.25">
      <c r="T327" s="2"/>
    </row>
    <row r="328" spans="20:20" x14ac:dyDescent="0.25">
      <c r="T328" s="2"/>
    </row>
    <row r="329" spans="20:20" x14ac:dyDescent="0.25">
      <c r="T329" s="2"/>
    </row>
    <row r="330" spans="20:20" x14ac:dyDescent="0.25">
      <c r="T330" s="2"/>
    </row>
    <row r="331" spans="20:20" x14ac:dyDescent="0.25">
      <c r="T331" s="2"/>
    </row>
    <row r="332" spans="20:20" x14ac:dyDescent="0.25">
      <c r="T332" s="2"/>
    </row>
    <row r="333" spans="20:20" x14ac:dyDescent="0.25">
      <c r="T333" s="2"/>
    </row>
    <row r="334" spans="20:20" x14ac:dyDescent="0.25">
      <c r="T334" s="2"/>
    </row>
    <row r="335" spans="20:20" x14ac:dyDescent="0.25">
      <c r="T335" s="2"/>
    </row>
    <row r="336" spans="20:20" x14ac:dyDescent="0.25">
      <c r="T336" s="2"/>
    </row>
    <row r="337" spans="20:20" x14ac:dyDescent="0.25">
      <c r="T337" s="2"/>
    </row>
    <row r="338" spans="20:20" x14ac:dyDescent="0.25">
      <c r="T338" s="2"/>
    </row>
    <row r="339" spans="20:20" x14ac:dyDescent="0.25">
      <c r="T339" s="2"/>
    </row>
    <row r="340" spans="20:20" x14ac:dyDescent="0.25">
      <c r="T340" s="2"/>
    </row>
    <row r="341" spans="20:20" x14ac:dyDescent="0.25">
      <c r="T341" s="2"/>
    </row>
    <row r="342" spans="20:20" x14ac:dyDescent="0.25">
      <c r="T342" s="2"/>
    </row>
    <row r="343" spans="20:20" x14ac:dyDescent="0.25">
      <c r="T343" s="2"/>
    </row>
    <row r="344" spans="20:20" x14ac:dyDescent="0.25">
      <c r="T344" s="2"/>
    </row>
    <row r="345" spans="20:20" x14ac:dyDescent="0.25">
      <c r="T345" s="2"/>
    </row>
    <row r="346" spans="20:20" x14ac:dyDescent="0.25">
      <c r="T346" s="2"/>
    </row>
    <row r="347" spans="20:20" x14ac:dyDescent="0.25">
      <c r="T347" s="2"/>
    </row>
    <row r="348" spans="20:20" x14ac:dyDescent="0.25">
      <c r="T348" s="2"/>
    </row>
    <row r="349" spans="20:20" x14ac:dyDescent="0.25">
      <c r="T349" s="2"/>
    </row>
    <row r="350" spans="20:20" x14ac:dyDescent="0.25">
      <c r="T350" s="2"/>
    </row>
    <row r="351" spans="20:20" x14ac:dyDescent="0.25">
      <c r="T351" s="2"/>
    </row>
    <row r="352" spans="20:20" x14ac:dyDescent="0.25">
      <c r="T352" s="2"/>
    </row>
    <row r="353" spans="20:20" x14ac:dyDescent="0.25">
      <c r="T353" s="2"/>
    </row>
    <row r="354" spans="20:20" x14ac:dyDescent="0.25">
      <c r="T354" s="2"/>
    </row>
    <row r="355" spans="20:20" x14ac:dyDescent="0.25">
      <c r="T355" s="2"/>
    </row>
    <row r="356" spans="20:20" x14ac:dyDescent="0.25">
      <c r="T356" s="2"/>
    </row>
    <row r="357" spans="20:20" x14ac:dyDescent="0.25">
      <c r="T357" s="2"/>
    </row>
    <row r="358" spans="20:20" x14ac:dyDescent="0.25">
      <c r="T358" s="2"/>
    </row>
    <row r="359" spans="20:20" x14ac:dyDescent="0.25">
      <c r="T359" s="2"/>
    </row>
    <row r="360" spans="20:20" x14ac:dyDescent="0.25">
      <c r="T360" s="2"/>
    </row>
    <row r="361" spans="20:20" x14ac:dyDescent="0.25">
      <c r="T361" s="2"/>
    </row>
    <row r="362" spans="20:20" x14ac:dyDescent="0.25">
      <c r="T362" s="2"/>
    </row>
    <row r="363" spans="20:20" x14ac:dyDescent="0.25">
      <c r="T363" s="2"/>
    </row>
    <row r="364" spans="20:20" x14ac:dyDescent="0.25">
      <c r="T364" s="2"/>
    </row>
    <row r="365" spans="20:20" x14ac:dyDescent="0.25">
      <c r="T365" s="2"/>
    </row>
    <row r="366" spans="20:20" x14ac:dyDescent="0.25">
      <c r="T366" s="2"/>
    </row>
    <row r="367" spans="20:20" x14ac:dyDescent="0.25">
      <c r="T367" s="2"/>
    </row>
    <row r="368" spans="20:20" x14ac:dyDescent="0.25">
      <c r="T368" s="2"/>
    </row>
    <row r="369" spans="20:20" x14ac:dyDescent="0.25">
      <c r="T369" s="2"/>
    </row>
    <row r="370" spans="20:20" x14ac:dyDescent="0.25">
      <c r="T370" s="2"/>
    </row>
    <row r="371" spans="20:20" x14ac:dyDescent="0.25">
      <c r="T371" s="2"/>
    </row>
    <row r="372" spans="20:20" x14ac:dyDescent="0.25">
      <c r="T372" s="2"/>
    </row>
    <row r="373" spans="20:20" x14ac:dyDescent="0.25">
      <c r="T373" s="2"/>
    </row>
    <row r="374" spans="20:20" x14ac:dyDescent="0.25">
      <c r="T374" s="2"/>
    </row>
    <row r="375" spans="20:20" x14ac:dyDescent="0.25">
      <c r="T375" s="2"/>
    </row>
    <row r="376" spans="20:20" x14ac:dyDescent="0.25">
      <c r="T376" s="2"/>
    </row>
    <row r="377" spans="20:20" x14ac:dyDescent="0.25">
      <c r="T377" s="2"/>
    </row>
    <row r="378" spans="20:20" x14ac:dyDescent="0.25">
      <c r="T378" s="2"/>
    </row>
    <row r="379" spans="20:20" x14ac:dyDescent="0.25">
      <c r="T379" s="2"/>
    </row>
    <row r="380" spans="20:20" x14ac:dyDescent="0.25">
      <c r="T380" s="2"/>
    </row>
    <row r="381" spans="20:20" x14ac:dyDescent="0.25">
      <c r="T381" s="2"/>
    </row>
    <row r="382" spans="20:20" x14ac:dyDescent="0.25">
      <c r="T382" s="2"/>
    </row>
    <row r="383" spans="20:20" x14ac:dyDescent="0.25">
      <c r="T383" s="2"/>
    </row>
    <row r="384" spans="20:20" x14ac:dyDescent="0.25">
      <c r="T384" s="2"/>
    </row>
    <row r="385" spans="20:20" x14ac:dyDescent="0.25">
      <c r="T385" s="2"/>
    </row>
    <row r="386" spans="20:20" x14ac:dyDescent="0.25">
      <c r="T386" s="2"/>
    </row>
    <row r="387" spans="20:20" x14ac:dyDescent="0.25">
      <c r="T387" s="2"/>
    </row>
    <row r="388" spans="20:20" x14ac:dyDescent="0.25">
      <c r="T388" s="2"/>
    </row>
    <row r="389" spans="20:20" x14ac:dyDescent="0.25">
      <c r="T389" s="2"/>
    </row>
    <row r="390" spans="20:20" x14ac:dyDescent="0.25">
      <c r="T390" s="2"/>
    </row>
    <row r="391" spans="20:20" x14ac:dyDescent="0.25">
      <c r="T391" s="2"/>
    </row>
    <row r="392" spans="20:20" x14ac:dyDescent="0.25">
      <c r="T392" s="2"/>
    </row>
    <row r="393" spans="20:20" x14ac:dyDescent="0.25">
      <c r="T393" s="2"/>
    </row>
    <row r="394" spans="20:20" x14ac:dyDescent="0.25">
      <c r="T394" s="2"/>
    </row>
    <row r="395" spans="20:20" x14ac:dyDescent="0.25">
      <c r="T395" s="2"/>
    </row>
    <row r="396" spans="20:20" x14ac:dyDescent="0.25">
      <c r="T396" s="2"/>
    </row>
    <row r="397" spans="20:20" x14ac:dyDescent="0.25">
      <c r="T397" s="2"/>
    </row>
    <row r="398" spans="20:20" x14ac:dyDescent="0.25">
      <c r="T398" s="2"/>
    </row>
    <row r="399" spans="20:20" x14ac:dyDescent="0.25">
      <c r="T399" s="2"/>
    </row>
    <row r="400" spans="20:20" x14ac:dyDescent="0.25">
      <c r="T400" s="2"/>
    </row>
    <row r="401" spans="20:20" x14ac:dyDescent="0.25">
      <c r="T401" s="2"/>
    </row>
    <row r="402" spans="20:20" x14ac:dyDescent="0.25">
      <c r="T402" s="2"/>
    </row>
    <row r="403" spans="20:20" x14ac:dyDescent="0.25">
      <c r="T403" s="2"/>
    </row>
    <row r="404" spans="20:20" x14ac:dyDescent="0.25">
      <c r="T404" s="2"/>
    </row>
    <row r="405" spans="20:20" x14ac:dyDescent="0.25">
      <c r="T405" s="2"/>
    </row>
    <row r="406" spans="20:20" x14ac:dyDescent="0.25">
      <c r="T406" s="2"/>
    </row>
    <row r="407" spans="20:20" x14ac:dyDescent="0.25">
      <c r="T407" s="2"/>
    </row>
    <row r="408" spans="20:20" x14ac:dyDescent="0.25">
      <c r="T408" s="2"/>
    </row>
    <row r="409" spans="20:20" x14ac:dyDescent="0.25">
      <c r="T409" s="2"/>
    </row>
    <row r="410" spans="20:20" x14ac:dyDescent="0.25">
      <c r="T410" s="2"/>
    </row>
    <row r="411" spans="20:20" x14ac:dyDescent="0.25">
      <c r="T411" s="2"/>
    </row>
    <row r="412" spans="20:20" x14ac:dyDescent="0.25">
      <c r="T412" s="2"/>
    </row>
    <row r="413" spans="20:20" x14ac:dyDescent="0.25">
      <c r="T413" s="2"/>
    </row>
    <row r="414" spans="20:20" x14ac:dyDescent="0.25">
      <c r="T414" s="2"/>
    </row>
    <row r="415" spans="20:20" x14ac:dyDescent="0.25">
      <c r="T415" s="2"/>
    </row>
    <row r="416" spans="20:20" x14ac:dyDescent="0.25">
      <c r="T416" s="2"/>
    </row>
    <row r="417" spans="20:20" x14ac:dyDescent="0.25">
      <c r="T417" s="2"/>
    </row>
    <row r="418" spans="20:20" x14ac:dyDescent="0.25">
      <c r="T418" s="2"/>
    </row>
    <row r="419" spans="20:20" x14ac:dyDescent="0.25">
      <c r="T419" s="2"/>
    </row>
    <row r="420" spans="20:20" x14ac:dyDescent="0.25">
      <c r="T420" s="2"/>
    </row>
    <row r="421" spans="20:20" x14ac:dyDescent="0.25">
      <c r="T421" s="2"/>
    </row>
    <row r="422" spans="20:20" x14ac:dyDescent="0.25">
      <c r="T422" s="2"/>
    </row>
    <row r="423" spans="20:20" x14ac:dyDescent="0.25">
      <c r="T423" s="2"/>
    </row>
    <row r="424" spans="20:20" x14ac:dyDescent="0.25">
      <c r="T424" s="2"/>
    </row>
    <row r="425" spans="20:20" x14ac:dyDescent="0.25">
      <c r="T425" s="2"/>
    </row>
    <row r="426" spans="20:20" x14ac:dyDescent="0.25">
      <c r="T426" s="2"/>
    </row>
    <row r="427" spans="20:20" x14ac:dyDescent="0.25">
      <c r="T427" s="2"/>
    </row>
    <row r="428" spans="20:20" x14ac:dyDescent="0.25">
      <c r="T428" s="2"/>
    </row>
    <row r="429" spans="20:20" x14ac:dyDescent="0.25">
      <c r="T429" s="2"/>
    </row>
    <row r="430" spans="20:20" x14ac:dyDescent="0.25">
      <c r="T430" s="2"/>
    </row>
    <row r="431" spans="20:20" x14ac:dyDescent="0.25">
      <c r="T431" s="2"/>
    </row>
    <row r="432" spans="20:20" x14ac:dyDescent="0.25">
      <c r="T432" s="2"/>
    </row>
    <row r="433" spans="20:20" x14ac:dyDescent="0.25">
      <c r="T433" s="2"/>
    </row>
    <row r="434" spans="20:20" x14ac:dyDescent="0.25">
      <c r="T434" s="2"/>
    </row>
    <row r="435" spans="20:20" x14ac:dyDescent="0.25">
      <c r="T435" s="2"/>
    </row>
    <row r="436" spans="20:20" x14ac:dyDescent="0.25">
      <c r="T436" s="2"/>
    </row>
    <row r="437" spans="20:20" x14ac:dyDescent="0.25">
      <c r="T437" s="2"/>
    </row>
    <row r="438" spans="20:20" x14ac:dyDescent="0.25">
      <c r="T438" s="2"/>
    </row>
    <row r="439" spans="20:20" x14ac:dyDescent="0.25">
      <c r="T439" s="2"/>
    </row>
    <row r="440" spans="20:20" x14ac:dyDescent="0.25">
      <c r="T440" s="2"/>
    </row>
    <row r="441" spans="20:20" x14ac:dyDescent="0.25">
      <c r="T441" s="2"/>
    </row>
    <row r="442" spans="20:20" x14ac:dyDescent="0.25">
      <c r="T442" s="2"/>
    </row>
    <row r="443" spans="20:20" x14ac:dyDescent="0.25">
      <c r="T443" s="2"/>
    </row>
    <row r="444" spans="20:20" x14ac:dyDescent="0.25">
      <c r="T444" s="2"/>
    </row>
    <row r="445" spans="20:20" x14ac:dyDescent="0.25">
      <c r="T445" s="2"/>
    </row>
    <row r="446" spans="20:20" x14ac:dyDescent="0.25">
      <c r="T446" s="2"/>
    </row>
    <row r="447" spans="20:20" x14ac:dyDescent="0.25">
      <c r="T447" s="2"/>
    </row>
    <row r="448" spans="20:20" x14ac:dyDescent="0.25">
      <c r="T448" s="2"/>
    </row>
    <row r="449" spans="20:20" x14ac:dyDescent="0.25">
      <c r="T449" s="2"/>
    </row>
    <row r="450" spans="20:20" x14ac:dyDescent="0.25">
      <c r="T450" s="2"/>
    </row>
    <row r="451" spans="20:20" x14ac:dyDescent="0.25">
      <c r="T451" s="2"/>
    </row>
    <row r="452" spans="20:20" x14ac:dyDescent="0.25">
      <c r="T452" s="2"/>
    </row>
    <row r="453" spans="20:20" x14ac:dyDescent="0.25">
      <c r="T453" s="2"/>
    </row>
    <row r="454" spans="20:20" x14ac:dyDescent="0.25">
      <c r="T454" s="2"/>
    </row>
    <row r="455" spans="20:20" x14ac:dyDescent="0.25">
      <c r="T455" s="2"/>
    </row>
    <row r="456" spans="20:20" x14ac:dyDescent="0.25">
      <c r="T456" s="2"/>
    </row>
    <row r="457" spans="20:20" x14ac:dyDescent="0.25">
      <c r="T457" s="2"/>
    </row>
    <row r="458" spans="20:20" x14ac:dyDescent="0.25">
      <c r="T458" s="2"/>
    </row>
    <row r="459" spans="20:20" x14ac:dyDescent="0.25">
      <c r="T459" s="2"/>
    </row>
    <row r="460" spans="20:20" x14ac:dyDescent="0.25">
      <c r="T460" s="2"/>
    </row>
    <row r="461" spans="20:20" x14ac:dyDescent="0.25">
      <c r="T461" s="2"/>
    </row>
    <row r="462" spans="20:20" x14ac:dyDescent="0.25">
      <c r="T462" s="2"/>
    </row>
    <row r="463" spans="20:20" x14ac:dyDescent="0.25">
      <c r="T463" s="2"/>
    </row>
    <row r="464" spans="20:20" x14ac:dyDescent="0.25">
      <c r="T464" s="2"/>
    </row>
    <row r="465" spans="20:20" x14ac:dyDescent="0.25">
      <c r="T465" s="2"/>
    </row>
    <row r="466" spans="20:20" x14ac:dyDescent="0.25">
      <c r="T466" s="2"/>
    </row>
    <row r="467" spans="20:20" x14ac:dyDescent="0.25">
      <c r="T467" s="2"/>
    </row>
    <row r="468" spans="20:20" x14ac:dyDescent="0.25">
      <c r="T468" s="2"/>
    </row>
    <row r="469" spans="20:20" x14ac:dyDescent="0.25">
      <c r="T469" s="2"/>
    </row>
    <row r="470" spans="20:20" x14ac:dyDescent="0.25">
      <c r="T470" s="2"/>
    </row>
    <row r="471" spans="20:20" x14ac:dyDescent="0.25">
      <c r="T471" s="2"/>
    </row>
    <row r="472" spans="20:20" x14ac:dyDescent="0.25">
      <c r="T472" s="2"/>
    </row>
    <row r="473" spans="20:20" x14ac:dyDescent="0.25">
      <c r="T473" s="2"/>
    </row>
    <row r="474" spans="20:20" x14ac:dyDescent="0.25">
      <c r="T474" s="2"/>
    </row>
    <row r="475" spans="20:20" x14ac:dyDescent="0.25">
      <c r="T475" s="2"/>
    </row>
    <row r="476" spans="20:20" x14ac:dyDescent="0.25">
      <c r="T476" s="2"/>
    </row>
    <row r="477" spans="20:20" x14ac:dyDescent="0.25">
      <c r="T477" s="2"/>
    </row>
    <row r="478" spans="20:20" x14ac:dyDescent="0.25">
      <c r="T478" s="2"/>
    </row>
    <row r="479" spans="20:20" x14ac:dyDescent="0.25">
      <c r="T479" s="2"/>
    </row>
    <row r="480" spans="20:20" x14ac:dyDescent="0.25">
      <c r="T480" s="2"/>
    </row>
    <row r="481" spans="20:20" x14ac:dyDescent="0.25">
      <c r="T481" s="2"/>
    </row>
    <row r="482" spans="20:20" x14ac:dyDescent="0.25">
      <c r="T482" s="2"/>
    </row>
    <row r="483" spans="20:20" x14ac:dyDescent="0.25">
      <c r="T483" s="2"/>
    </row>
    <row r="484" spans="20:20" x14ac:dyDescent="0.25">
      <c r="T484" s="2"/>
    </row>
    <row r="485" spans="20:20" x14ac:dyDescent="0.25">
      <c r="T485" s="2"/>
    </row>
    <row r="486" spans="20:20" x14ac:dyDescent="0.25">
      <c r="T486" s="2"/>
    </row>
    <row r="487" spans="20:20" x14ac:dyDescent="0.25">
      <c r="T487" s="2"/>
    </row>
    <row r="488" spans="20:20" x14ac:dyDescent="0.25">
      <c r="T488" s="2"/>
    </row>
    <row r="489" spans="20:20" x14ac:dyDescent="0.25">
      <c r="T489" s="2"/>
    </row>
    <row r="490" spans="20:20" x14ac:dyDescent="0.25">
      <c r="T490" s="2"/>
    </row>
    <row r="491" spans="20:20" x14ac:dyDescent="0.25">
      <c r="T491" s="2"/>
    </row>
    <row r="492" spans="20:20" x14ac:dyDescent="0.25">
      <c r="T492" s="2"/>
    </row>
    <row r="493" spans="20:20" x14ac:dyDescent="0.25">
      <c r="T493" s="2"/>
    </row>
    <row r="494" spans="20:20" x14ac:dyDescent="0.25">
      <c r="T494" s="2"/>
    </row>
    <row r="495" spans="20:20" x14ac:dyDescent="0.25">
      <c r="T495" s="2"/>
    </row>
    <row r="496" spans="20:20" x14ac:dyDescent="0.25">
      <c r="T496" s="2"/>
    </row>
    <row r="497" spans="20:20" x14ac:dyDescent="0.25">
      <c r="T497" s="2"/>
    </row>
    <row r="498" spans="20:20" x14ac:dyDescent="0.25">
      <c r="T498" s="2"/>
    </row>
    <row r="499" spans="20:20" x14ac:dyDescent="0.25">
      <c r="T499" s="2"/>
    </row>
    <row r="500" spans="20:20" x14ac:dyDescent="0.25">
      <c r="T500" s="2"/>
    </row>
    <row r="501" spans="20:20" x14ac:dyDescent="0.25">
      <c r="T501" s="2"/>
    </row>
    <row r="502" spans="20:20" x14ac:dyDescent="0.25">
      <c r="T502" s="2"/>
    </row>
    <row r="503" spans="20:20" x14ac:dyDescent="0.25">
      <c r="T503" s="2"/>
    </row>
    <row r="504" spans="20:20" x14ac:dyDescent="0.25">
      <c r="T504" s="2"/>
    </row>
    <row r="505" spans="20:20" x14ac:dyDescent="0.25">
      <c r="T505" s="2"/>
    </row>
    <row r="506" spans="20:20" x14ac:dyDescent="0.25">
      <c r="T506" s="2"/>
    </row>
    <row r="507" spans="20:20" x14ac:dyDescent="0.25">
      <c r="T507" s="2"/>
    </row>
    <row r="508" spans="20:20" x14ac:dyDescent="0.25">
      <c r="T508" s="2"/>
    </row>
    <row r="509" spans="20:20" x14ac:dyDescent="0.25">
      <c r="T509" s="2"/>
    </row>
    <row r="510" spans="20:20" x14ac:dyDescent="0.25">
      <c r="T510" s="2"/>
    </row>
    <row r="511" spans="20:20" x14ac:dyDescent="0.25">
      <c r="T511" s="2"/>
    </row>
    <row r="512" spans="20:20" x14ac:dyDescent="0.25">
      <c r="T512" s="2"/>
    </row>
    <row r="513" spans="20:20" x14ac:dyDescent="0.25">
      <c r="T513" s="2"/>
    </row>
    <row r="514" spans="20:20" x14ac:dyDescent="0.25">
      <c r="T514" s="2"/>
    </row>
    <row r="515" spans="20:20" x14ac:dyDescent="0.25">
      <c r="T515" s="2"/>
    </row>
    <row r="516" spans="20:20" x14ac:dyDescent="0.25">
      <c r="T516" s="2"/>
    </row>
    <row r="517" spans="20:20" x14ac:dyDescent="0.25">
      <c r="T517" s="2"/>
    </row>
    <row r="518" spans="20:20" x14ac:dyDescent="0.25">
      <c r="T518" s="2"/>
    </row>
    <row r="519" spans="20:20" x14ac:dyDescent="0.25">
      <c r="T519" s="2"/>
    </row>
    <row r="520" spans="20:20" x14ac:dyDescent="0.25">
      <c r="T520" s="2"/>
    </row>
    <row r="521" spans="20:20" x14ac:dyDescent="0.25">
      <c r="T521" s="2"/>
    </row>
    <row r="522" spans="20:20" x14ac:dyDescent="0.25">
      <c r="T522" s="2"/>
    </row>
    <row r="523" spans="20:20" x14ac:dyDescent="0.25">
      <c r="T523" s="2"/>
    </row>
    <row r="524" spans="20:20" x14ac:dyDescent="0.25">
      <c r="T524" s="2"/>
    </row>
    <row r="525" spans="20:20" x14ac:dyDescent="0.25">
      <c r="T525" s="2"/>
    </row>
    <row r="526" spans="20:20" x14ac:dyDescent="0.25">
      <c r="T526" s="2"/>
    </row>
    <row r="527" spans="20:20" x14ac:dyDescent="0.25">
      <c r="T527" s="2"/>
    </row>
    <row r="528" spans="20:20" x14ac:dyDescent="0.25">
      <c r="T528" s="2"/>
    </row>
    <row r="529" spans="20:20" x14ac:dyDescent="0.25">
      <c r="T529" s="2"/>
    </row>
    <row r="530" spans="20:20" x14ac:dyDescent="0.25">
      <c r="T530" s="2"/>
    </row>
    <row r="531" spans="20:20" x14ac:dyDescent="0.25">
      <c r="T531" s="2"/>
    </row>
    <row r="532" spans="20:20" x14ac:dyDescent="0.25">
      <c r="T532" s="2"/>
    </row>
    <row r="533" spans="20:20" x14ac:dyDescent="0.25">
      <c r="T533" s="2"/>
    </row>
    <row r="534" spans="20:20" x14ac:dyDescent="0.25">
      <c r="T534" s="2"/>
    </row>
    <row r="535" spans="20:20" x14ac:dyDescent="0.25">
      <c r="T535" s="2"/>
    </row>
    <row r="536" spans="20:20" x14ac:dyDescent="0.25">
      <c r="T536" s="2"/>
    </row>
    <row r="537" spans="20:20" x14ac:dyDescent="0.25">
      <c r="T537" s="2"/>
    </row>
    <row r="538" spans="20:20" x14ac:dyDescent="0.25">
      <c r="T538" s="2"/>
    </row>
    <row r="539" spans="20:20" x14ac:dyDescent="0.25">
      <c r="T539" s="2"/>
    </row>
    <row r="540" spans="20:20" x14ac:dyDescent="0.25">
      <c r="T540" s="2"/>
    </row>
    <row r="541" spans="20:20" x14ac:dyDescent="0.25">
      <c r="T541" s="2"/>
    </row>
    <row r="542" spans="20:20" x14ac:dyDescent="0.25">
      <c r="T542" s="2"/>
    </row>
    <row r="543" spans="20:20" x14ac:dyDescent="0.25">
      <c r="T543" s="2"/>
    </row>
    <row r="544" spans="20:20" x14ac:dyDescent="0.25">
      <c r="T544" s="2"/>
    </row>
    <row r="545" spans="20:20" x14ac:dyDescent="0.25">
      <c r="T545" s="2"/>
    </row>
    <row r="546" spans="20:20" x14ac:dyDescent="0.25">
      <c r="T546" s="2"/>
    </row>
    <row r="547" spans="20:20" x14ac:dyDescent="0.25">
      <c r="T547" s="2"/>
    </row>
    <row r="548" spans="20:20" x14ac:dyDescent="0.25">
      <c r="T548" s="2"/>
    </row>
    <row r="549" spans="20:20" x14ac:dyDescent="0.25">
      <c r="T549" s="2"/>
    </row>
    <row r="550" spans="20:20" x14ac:dyDescent="0.25">
      <c r="T550" s="2"/>
    </row>
    <row r="551" spans="20:20" x14ac:dyDescent="0.25">
      <c r="T551" s="2"/>
    </row>
    <row r="552" spans="20:20" x14ac:dyDescent="0.25">
      <c r="T552" s="2"/>
    </row>
    <row r="553" spans="20:20" x14ac:dyDescent="0.25">
      <c r="T553" s="2"/>
    </row>
    <row r="554" spans="20:20" x14ac:dyDescent="0.25">
      <c r="T554" s="2"/>
    </row>
    <row r="555" spans="20:20" x14ac:dyDescent="0.25">
      <c r="T555" s="2"/>
    </row>
    <row r="556" spans="20:20" x14ac:dyDescent="0.25">
      <c r="T556" s="2"/>
    </row>
    <row r="557" spans="20:20" x14ac:dyDescent="0.25">
      <c r="T557" s="2"/>
    </row>
    <row r="558" spans="20:20" x14ac:dyDescent="0.25">
      <c r="T558" s="2"/>
    </row>
    <row r="559" spans="20:20" x14ac:dyDescent="0.25">
      <c r="T559" s="2"/>
    </row>
    <row r="560" spans="20:20" x14ac:dyDescent="0.25">
      <c r="T560" s="2"/>
    </row>
    <row r="561" spans="20:20" x14ac:dyDescent="0.25">
      <c r="T561" s="2"/>
    </row>
    <row r="562" spans="20:20" x14ac:dyDescent="0.25">
      <c r="T562" s="2"/>
    </row>
    <row r="563" spans="20:20" x14ac:dyDescent="0.25">
      <c r="T563" s="2"/>
    </row>
    <row r="564" spans="20:20" x14ac:dyDescent="0.25">
      <c r="T564" s="2"/>
    </row>
    <row r="565" spans="20:20" x14ac:dyDescent="0.25">
      <c r="T565" s="2"/>
    </row>
    <row r="566" spans="20:20" x14ac:dyDescent="0.25">
      <c r="T566" s="2"/>
    </row>
    <row r="567" spans="20:20" x14ac:dyDescent="0.25">
      <c r="T567" s="2"/>
    </row>
    <row r="568" spans="20:20" x14ac:dyDescent="0.25">
      <c r="T568" s="2"/>
    </row>
    <row r="569" spans="20:20" x14ac:dyDescent="0.25">
      <c r="T569" s="2"/>
    </row>
    <row r="570" spans="20:20" x14ac:dyDescent="0.25">
      <c r="T570" s="2"/>
    </row>
    <row r="571" spans="20:20" x14ac:dyDescent="0.25">
      <c r="T571" s="2"/>
    </row>
    <row r="572" spans="20:20" x14ac:dyDescent="0.25">
      <c r="T572" s="2"/>
    </row>
    <row r="573" spans="20:20" x14ac:dyDescent="0.25">
      <c r="T573" s="2"/>
    </row>
    <row r="574" spans="20:20" x14ac:dyDescent="0.25">
      <c r="T574" s="2"/>
    </row>
    <row r="575" spans="20:20" x14ac:dyDescent="0.25">
      <c r="T575" s="2"/>
    </row>
    <row r="576" spans="20:20" x14ac:dyDescent="0.25">
      <c r="T576" s="2"/>
    </row>
    <row r="577" spans="20:20" x14ac:dyDescent="0.25">
      <c r="T577" s="2"/>
    </row>
    <row r="578" spans="20:20" x14ac:dyDescent="0.25">
      <c r="T578" s="2"/>
    </row>
    <row r="579" spans="20:20" x14ac:dyDescent="0.25">
      <c r="T579" s="2"/>
    </row>
    <row r="580" spans="20:20" x14ac:dyDescent="0.25">
      <c r="T580" s="2"/>
    </row>
    <row r="581" spans="20:20" x14ac:dyDescent="0.25">
      <c r="T581" s="2"/>
    </row>
    <row r="582" spans="20:20" x14ac:dyDescent="0.25">
      <c r="T582" s="2"/>
    </row>
    <row r="583" spans="20:20" x14ac:dyDescent="0.25">
      <c r="T583" s="2"/>
    </row>
    <row r="584" spans="20:20" x14ac:dyDescent="0.25">
      <c r="T584" s="2"/>
    </row>
    <row r="585" spans="20:20" x14ac:dyDescent="0.25">
      <c r="T585" s="2"/>
    </row>
    <row r="586" spans="20:20" x14ac:dyDescent="0.25">
      <c r="T586" s="2"/>
    </row>
    <row r="587" spans="20:20" x14ac:dyDescent="0.25">
      <c r="T587" s="2"/>
    </row>
    <row r="588" spans="20:20" x14ac:dyDescent="0.25">
      <c r="T588" s="2"/>
    </row>
    <row r="589" spans="20:20" x14ac:dyDescent="0.25">
      <c r="T589" s="2"/>
    </row>
    <row r="590" spans="20:20" x14ac:dyDescent="0.25">
      <c r="T590" s="2"/>
    </row>
    <row r="591" spans="20:20" x14ac:dyDescent="0.25">
      <c r="T591" s="2"/>
    </row>
    <row r="592" spans="20:20" x14ac:dyDescent="0.25">
      <c r="T592" s="2"/>
    </row>
    <row r="593" spans="20:20" x14ac:dyDescent="0.25">
      <c r="T593" s="2"/>
    </row>
    <row r="594" spans="20:20" x14ac:dyDescent="0.25">
      <c r="T594" s="2"/>
    </row>
    <row r="595" spans="20:20" x14ac:dyDescent="0.25">
      <c r="T595" s="2"/>
    </row>
    <row r="596" spans="20:20" x14ac:dyDescent="0.25">
      <c r="T596" s="2"/>
    </row>
    <row r="597" spans="20:20" x14ac:dyDescent="0.25">
      <c r="T597" s="2"/>
    </row>
    <row r="598" spans="20:20" x14ac:dyDescent="0.25">
      <c r="T598" s="2"/>
    </row>
    <row r="599" spans="20:20" x14ac:dyDescent="0.25">
      <c r="T599" s="2"/>
    </row>
    <row r="600" spans="20:20" x14ac:dyDescent="0.25">
      <c r="T600" s="2"/>
    </row>
    <row r="601" spans="20:20" x14ac:dyDescent="0.25">
      <c r="T601" s="2"/>
    </row>
    <row r="602" spans="20:20" x14ac:dyDescent="0.25">
      <c r="T602" s="2"/>
    </row>
    <row r="603" spans="20:20" x14ac:dyDescent="0.25">
      <c r="T603" s="2"/>
    </row>
    <row r="604" spans="20:20" x14ac:dyDescent="0.25">
      <c r="T604" s="2"/>
    </row>
    <row r="605" spans="20:20" x14ac:dyDescent="0.25">
      <c r="T605" s="2"/>
    </row>
    <row r="606" spans="20:20" x14ac:dyDescent="0.25">
      <c r="T606" s="2"/>
    </row>
    <row r="607" spans="20:20" x14ac:dyDescent="0.25">
      <c r="T607" s="2"/>
    </row>
    <row r="608" spans="20:20" x14ac:dyDescent="0.25">
      <c r="T608" s="2"/>
    </row>
    <row r="609" spans="20:20" x14ac:dyDescent="0.25">
      <c r="T609" s="2"/>
    </row>
    <row r="610" spans="20:20" x14ac:dyDescent="0.25">
      <c r="T610" s="2"/>
    </row>
    <row r="611" spans="20:20" x14ac:dyDescent="0.25">
      <c r="T611" s="2"/>
    </row>
    <row r="612" spans="20:20" x14ac:dyDescent="0.25">
      <c r="T612" s="2"/>
    </row>
    <row r="613" spans="20:20" x14ac:dyDescent="0.25">
      <c r="T613" s="2"/>
    </row>
    <row r="614" spans="20:20" x14ac:dyDescent="0.25">
      <c r="T614" s="2"/>
    </row>
    <row r="615" spans="20:20" x14ac:dyDescent="0.25">
      <c r="T615" s="2"/>
    </row>
    <row r="616" spans="20:20" x14ac:dyDescent="0.25">
      <c r="T616" s="2"/>
    </row>
    <row r="617" spans="20:20" x14ac:dyDescent="0.25">
      <c r="T617" s="2"/>
    </row>
    <row r="618" spans="20:20" x14ac:dyDescent="0.25">
      <c r="T618" s="2"/>
    </row>
    <row r="619" spans="20:20" x14ac:dyDescent="0.25">
      <c r="T619" s="2"/>
    </row>
    <row r="620" spans="20:20" x14ac:dyDescent="0.25">
      <c r="T620" s="2"/>
    </row>
    <row r="621" spans="20:20" x14ac:dyDescent="0.25">
      <c r="T621" s="2"/>
    </row>
    <row r="622" spans="20:20" x14ac:dyDescent="0.25">
      <c r="T622" s="2"/>
    </row>
    <row r="623" spans="20:20" x14ac:dyDescent="0.25">
      <c r="T623" s="2"/>
    </row>
    <row r="624" spans="20:20" x14ac:dyDescent="0.25">
      <c r="T624" s="2"/>
    </row>
    <row r="625" spans="20:20" x14ac:dyDescent="0.25">
      <c r="T625" s="2"/>
    </row>
    <row r="626" spans="20:20" x14ac:dyDescent="0.25">
      <c r="T626" s="2"/>
    </row>
    <row r="627" spans="20:20" x14ac:dyDescent="0.25">
      <c r="T627" s="2"/>
    </row>
    <row r="628" spans="20:20" x14ac:dyDescent="0.25">
      <c r="T628" s="2"/>
    </row>
    <row r="629" spans="20:20" x14ac:dyDescent="0.25">
      <c r="T629" s="2"/>
    </row>
    <row r="630" spans="20:20" x14ac:dyDescent="0.25">
      <c r="T630" s="2"/>
    </row>
    <row r="631" spans="20:20" x14ac:dyDescent="0.25">
      <c r="T631" s="2"/>
    </row>
    <row r="632" spans="20:20" x14ac:dyDescent="0.25">
      <c r="T632" s="2"/>
    </row>
    <row r="633" spans="20:20" x14ac:dyDescent="0.25">
      <c r="T633" s="2"/>
    </row>
    <row r="634" spans="20:20" x14ac:dyDescent="0.25">
      <c r="T634" s="2"/>
    </row>
    <row r="635" spans="20:20" x14ac:dyDescent="0.25">
      <c r="T635" s="2"/>
    </row>
    <row r="636" spans="20:20" x14ac:dyDescent="0.25">
      <c r="T636" s="2"/>
    </row>
    <row r="637" spans="20:20" x14ac:dyDescent="0.25">
      <c r="T637" s="2"/>
    </row>
    <row r="638" spans="20:20" x14ac:dyDescent="0.25">
      <c r="T638" s="2"/>
    </row>
    <row r="639" spans="20:20" x14ac:dyDescent="0.25">
      <c r="T639" s="2"/>
    </row>
    <row r="640" spans="20:20" x14ac:dyDescent="0.25">
      <c r="T640" s="2"/>
    </row>
    <row r="641" spans="20:20" x14ac:dyDescent="0.25">
      <c r="T641" s="2"/>
    </row>
    <row r="642" spans="20:20" x14ac:dyDescent="0.25">
      <c r="T642" s="2"/>
    </row>
    <row r="643" spans="20:20" x14ac:dyDescent="0.25">
      <c r="T643" s="2"/>
    </row>
    <row r="644" spans="20:20" x14ac:dyDescent="0.25">
      <c r="T644" s="2"/>
    </row>
    <row r="645" spans="20:20" x14ac:dyDescent="0.25">
      <c r="T645" s="2"/>
    </row>
  </sheetData>
  <mergeCells count="2">
    <mergeCell ref="A65:O65"/>
    <mergeCell ref="A66:O68"/>
  </mergeCells>
  <printOptions horizontalCentered="1" verticalCentered="1"/>
  <pageMargins left="0.75" right="0.75" top="1" bottom="1" header="0.5" footer="0.5"/>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94CA-DA15-4E59-8810-A005B72F32C9}">
  <sheetPr>
    <pageSetUpPr fitToPage="1"/>
  </sheetPr>
  <dimension ref="A1:AL331"/>
  <sheetViews>
    <sheetView zoomScale="85" zoomScaleNormal="85" zoomScaleSheetLayoutView="55" workbookViewId="0"/>
  </sheetViews>
  <sheetFormatPr defaultRowHeight="13.2" x14ac:dyDescent="0.25"/>
  <cols>
    <col min="3" max="3" width="15.5546875" customWidth="1"/>
  </cols>
  <sheetData>
    <row r="1" spans="16:38" ht="16.5" customHeight="1" x14ac:dyDescent="0.25">
      <c r="P1" s="1" t="s">
        <v>198</v>
      </c>
      <c r="Y1" s="9"/>
      <c r="Z1" s="9"/>
      <c r="AA1" s="9"/>
      <c r="AB1" s="9"/>
      <c r="AC1" s="9"/>
      <c r="AD1" s="9"/>
      <c r="AE1" s="9"/>
    </row>
    <row r="2" spans="16:38" ht="16.5" customHeight="1" x14ac:dyDescent="0.25">
      <c r="Q2" t="s">
        <v>0</v>
      </c>
      <c r="R2" s="9" t="s">
        <v>66</v>
      </c>
      <c r="S2" s="9" t="s">
        <v>67</v>
      </c>
      <c r="T2" s="9" t="s">
        <v>64</v>
      </c>
      <c r="U2" s="9" t="s">
        <v>68</v>
      </c>
      <c r="V2" s="9" t="s">
        <v>69</v>
      </c>
      <c r="W2" s="9" t="s">
        <v>65</v>
      </c>
      <c r="X2" s="9"/>
    </row>
    <row r="3" spans="16:38" ht="16.5" customHeight="1" x14ac:dyDescent="0.25">
      <c r="Q3" s="20">
        <v>2015</v>
      </c>
    </row>
    <row r="4" spans="16:38" ht="16.5" customHeight="1" x14ac:dyDescent="0.25">
      <c r="Q4" s="20">
        <v>2016</v>
      </c>
    </row>
    <row r="5" spans="16:38" ht="16.5" customHeight="1" x14ac:dyDescent="0.25">
      <c r="Q5" s="4">
        <v>2017</v>
      </c>
    </row>
    <row r="6" spans="16:38" ht="16.5" customHeight="1" x14ac:dyDescent="0.25">
      <c r="Q6" s="4">
        <v>2018</v>
      </c>
    </row>
    <row r="7" spans="16:38" ht="16.5" customHeight="1" x14ac:dyDescent="0.25">
      <c r="Q7" s="4">
        <v>2019</v>
      </c>
    </row>
    <row r="8" spans="16:38" ht="16.5" customHeight="1" x14ac:dyDescent="0.25">
      <c r="Q8" s="4">
        <v>2020</v>
      </c>
      <c r="R8">
        <v>0.20483137667179108</v>
      </c>
      <c r="S8">
        <v>0.6073954701423645</v>
      </c>
      <c r="T8">
        <v>0.18372367322444916</v>
      </c>
      <c r="U8">
        <v>0.18083064258098602</v>
      </c>
      <c r="V8">
        <v>0.61042499542236328</v>
      </c>
      <c r="W8">
        <v>0.20366953313350677</v>
      </c>
    </row>
    <row r="9" spans="16:38" ht="16.5" customHeight="1" x14ac:dyDescent="0.25">
      <c r="Q9" s="4">
        <v>2021</v>
      </c>
      <c r="R9">
        <v>0.14686320722103119</v>
      </c>
      <c r="S9">
        <v>0.64378291368484497</v>
      </c>
      <c r="T9">
        <v>0.20935389399528503</v>
      </c>
      <c r="U9">
        <v>0.1276785135269165</v>
      </c>
      <c r="V9">
        <v>0.64007657766342163</v>
      </c>
      <c r="W9">
        <v>0.23224489390850067</v>
      </c>
    </row>
    <row r="10" spans="16:38" ht="16.5" customHeight="1" x14ac:dyDescent="0.25">
      <c r="Q10" s="4">
        <v>2022</v>
      </c>
      <c r="R10">
        <v>0.14615604281425476</v>
      </c>
      <c r="S10">
        <v>0.6093825101852417</v>
      </c>
      <c r="T10">
        <v>0.24446141719818115</v>
      </c>
      <c r="U10">
        <v>0.11607874929904938</v>
      </c>
      <c r="V10">
        <v>0.52278727293014526</v>
      </c>
      <c r="W10">
        <v>0.36113396286964417</v>
      </c>
    </row>
    <row r="11" spans="16:38" ht="16.5" customHeight="1" x14ac:dyDescent="0.25">
      <c r="Q11" s="4">
        <v>2023</v>
      </c>
      <c r="R11">
        <v>0.15064653754234314</v>
      </c>
      <c r="S11">
        <v>0.57914644479751587</v>
      </c>
      <c r="T11">
        <v>0.2702069878578186</v>
      </c>
      <c r="U11">
        <v>0.1113661527633667</v>
      </c>
      <c r="V11">
        <v>0.52875375747680664</v>
      </c>
      <c r="W11">
        <v>0.35988008975982666</v>
      </c>
    </row>
    <row r="12" spans="16:38" ht="16.5" customHeight="1" x14ac:dyDescent="0.25">
      <c r="P12" t="s">
        <v>199</v>
      </c>
      <c r="Q12" t="s">
        <v>0</v>
      </c>
      <c r="R12" s="9" t="s">
        <v>66</v>
      </c>
      <c r="S12" s="9" t="s">
        <v>67</v>
      </c>
      <c r="T12" s="9" t="s">
        <v>64</v>
      </c>
      <c r="U12" s="9" t="s">
        <v>68</v>
      </c>
      <c r="V12" s="9" t="s">
        <v>69</v>
      </c>
      <c r="W12" s="9" t="s">
        <v>65</v>
      </c>
    </row>
    <row r="13" spans="16:38" ht="16.5" customHeight="1" x14ac:dyDescent="0.25">
      <c r="Q13" s="20">
        <v>2015</v>
      </c>
      <c r="AG13" s="9"/>
      <c r="AH13" s="9"/>
      <c r="AI13" s="9"/>
      <c r="AJ13" s="9"/>
      <c r="AK13" s="9"/>
      <c r="AL13" s="9"/>
    </row>
    <row r="14" spans="16:38" ht="16.5" customHeight="1" x14ac:dyDescent="0.25">
      <c r="Q14" s="20">
        <v>2016</v>
      </c>
      <c r="AF14" s="20"/>
    </row>
    <row r="15" spans="16:38" ht="16.5" customHeight="1" x14ac:dyDescent="0.25">
      <c r="Q15" s="4">
        <v>2017</v>
      </c>
      <c r="AF15" s="20"/>
    </row>
    <row r="16" spans="16:38" ht="16.5" customHeight="1" x14ac:dyDescent="0.25">
      <c r="Q16" s="4">
        <v>2018</v>
      </c>
      <c r="AF16" s="4"/>
    </row>
    <row r="17" spans="1:32" ht="16.5" customHeight="1" x14ac:dyDescent="0.25">
      <c r="Q17" s="4">
        <v>2019</v>
      </c>
      <c r="AF17" s="4"/>
    </row>
    <row r="18" spans="1:32" ht="16.5" customHeight="1" x14ac:dyDescent="0.25">
      <c r="Q18" s="4">
        <v>2020</v>
      </c>
      <c r="R18">
        <v>0.29466649889945984</v>
      </c>
      <c r="S18">
        <v>0.50046932697296143</v>
      </c>
      <c r="T18">
        <v>0.20081725716590881</v>
      </c>
      <c r="U18">
        <v>0.19177184998989105</v>
      </c>
      <c r="V18">
        <v>0.54242253303527832</v>
      </c>
      <c r="W18">
        <v>0.25884902477264404</v>
      </c>
      <c r="X18" s="9"/>
      <c r="AF18" s="4"/>
    </row>
    <row r="19" spans="1:32" ht="16.5" customHeight="1" x14ac:dyDescent="0.25">
      <c r="Q19" s="4">
        <v>2021</v>
      </c>
      <c r="R19">
        <v>0.19627322256565094</v>
      </c>
      <c r="S19">
        <v>0.55373722314834595</v>
      </c>
      <c r="T19">
        <v>0.24998956918716431</v>
      </c>
      <c r="U19">
        <v>0.11940715461969376</v>
      </c>
      <c r="V19">
        <v>0.61401796340942383</v>
      </c>
      <c r="W19">
        <v>0.2665749192237854</v>
      </c>
    </row>
    <row r="20" spans="1:32" ht="16.5" customHeight="1" x14ac:dyDescent="0.25">
      <c r="Q20" s="4">
        <v>2022</v>
      </c>
      <c r="R20">
        <v>0.18770569562911987</v>
      </c>
      <c r="S20">
        <v>0.57112610340118408</v>
      </c>
      <c r="T20">
        <v>0.24116820096969604</v>
      </c>
      <c r="U20">
        <v>0.12287170439958572</v>
      </c>
      <c r="V20">
        <v>0.5104527473449707</v>
      </c>
      <c r="W20">
        <v>0.36667555570602417</v>
      </c>
    </row>
    <row r="21" spans="1:32" ht="16.5" customHeight="1" x14ac:dyDescent="0.25">
      <c r="Q21" s="4">
        <v>2023</v>
      </c>
      <c r="R21">
        <v>0.18699854612350464</v>
      </c>
      <c r="S21">
        <v>0.54557657241821289</v>
      </c>
      <c r="T21">
        <v>0.26742491126060486</v>
      </c>
      <c r="U21">
        <v>0.12066000699996948</v>
      </c>
      <c r="V21">
        <v>0.45345881581306458</v>
      </c>
      <c r="W21">
        <v>0.42588117718696594</v>
      </c>
    </row>
    <row r="22" spans="1:32" ht="16.5" customHeight="1" x14ac:dyDescent="0.25"/>
    <row r="23" spans="1:32" ht="16.5" customHeight="1" x14ac:dyDescent="0.25">
      <c r="R23" s="9"/>
      <c r="S23" s="9"/>
      <c r="T23" s="9"/>
      <c r="U23" s="9"/>
      <c r="V23" s="9"/>
      <c r="W23" s="9"/>
    </row>
    <row r="24" spans="1:32" ht="16.5" customHeight="1" x14ac:dyDescent="0.25">
      <c r="Q24" s="20"/>
    </row>
    <row r="25" spans="1:32" ht="16.5" customHeight="1" x14ac:dyDescent="0.25">
      <c r="Q25" s="20"/>
    </row>
    <row r="26" spans="1:32" ht="16.5" customHeight="1" x14ac:dyDescent="0.25">
      <c r="Q26" s="4"/>
    </row>
    <row r="27" spans="1:32" ht="16.5" customHeight="1" x14ac:dyDescent="0.25">
      <c r="Q27" s="4"/>
    </row>
    <row r="28" spans="1:32" ht="16.5" customHeight="1" x14ac:dyDescent="0.25">
      <c r="A28" s="154" t="s">
        <v>268</v>
      </c>
      <c r="B28" s="154"/>
      <c r="C28" s="154"/>
      <c r="D28" s="154"/>
      <c r="E28" s="154"/>
      <c r="F28" s="154"/>
      <c r="G28" s="154"/>
      <c r="H28" s="154"/>
      <c r="I28" s="154"/>
      <c r="J28" s="154"/>
      <c r="K28" s="154"/>
      <c r="L28" s="154"/>
      <c r="M28" s="154"/>
      <c r="N28" s="154"/>
      <c r="O28" s="154"/>
      <c r="Q28" s="4"/>
    </row>
    <row r="29" spans="1:32" ht="16.5" customHeight="1" x14ac:dyDescent="0.25">
      <c r="A29" s="154"/>
      <c r="B29" s="154"/>
      <c r="C29" s="154"/>
      <c r="D29" s="154"/>
      <c r="E29" s="154"/>
      <c r="F29" s="154"/>
      <c r="G29" s="154"/>
      <c r="H29" s="154"/>
      <c r="I29" s="154"/>
      <c r="J29" s="154"/>
      <c r="K29" s="154"/>
      <c r="L29" s="154"/>
      <c r="M29" s="154"/>
      <c r="N29" s="154"/>
      <c r="O29" s="154"/>
      <c r="Q29" s="4"/>
    </row>
    <row r="30" spans="1:32" ht="16.5" customHeight="1" x14ac:dyDescent="0.25">
      <c r="A30" s="154"/>
      <c r="B30" s="154"/>
      <c r="C30" s="154"/>
      <c r="D30" s="154"/>
      <c r="E30" s="154"/>
      <c r="F30" s="154"/>
      <c r="G30" s="154"/>
      <c r="H30" s="154"/>
      <c r="I30" s="154"/>
      <c r="J30" s="154"/>
      <c r="K30" s="154"/>
      <c r="L30" s="154"/>
      <c r="M30" s="154"/>
      <c r="N30" s="154"/>
      <c r="O30" s="154"/>
      <c r="Q30" s="4"/>
    </row>
    <row r="31" spans="1:32" ht="16.5" customHeight="1" x14ac:dyDescent="0.25">
      <c r="Q31" s="4"/>
    </row>
    <row r="32" spans="1:32" x14ac:dyDescent="0.25">
      <c r="A32" s="9" t="s">
        <v>52</v>
      </c>
      <c r="S32" s="2"/>
    </row>
    <row r="33" spans="1:19" x14ac:dyDescent="0.25">
      <c r="A33">
        <v>2022</v>
      </c>
      <c r="B33" t="s">
        <v>62</v>
      </c>
      <c r="S33" s="2"/>
    </row>
    <row r="34" spans="1:19" x14ac:dyDescent="0.25">
      <c r="A34">
        <v>2021</v>
      </c>
      <c r="B34" s="9" t="s">
        <v>63</v>
      </c>
      <c r="S34" s="2"/>
    </row>
    <row r="35" spans="1:19" x14ac:dyDescent="0.25">
      <c r="A35">
        <v>2020</v>
      </c>
      <c r="B35" t="s">
        <v>54</v>
      </c>
      <c r="S35" s="2"/>
    </row>
    <row r="36" spans="1:19" x14ac:dyDescent="0.25">
      <c r="A36">
        <v>2019</v>
      </c>
      <c r="B36" t="s">
        <v>55</v>
      </c>
      <c r="S36" s="2"/>
    </row>
    <row r="37" spans="1:19" x14ac:dyDescent="0.25">
      <c r="A37">
        <v>2018</v>
      </c>
      <c r="B37" t="s">
        <v>56</v>
      </c>
      <c r="S37" s="2"/>
    </row>
    <row r="38" spans="1:19" x14ac:dyDescent="0.25">
      <c r="A38">
        <v>2017</v>
      </c>
      <c r="B38" t="s">
        <v>57</v>
      </c>
      <c r="S38" s="2"/>
    </row>
    <row r="39" spans="1:19" x14ac:dyDescent="0.25">
      <c r="A39">
        <v>2016</v>
      </c>
      <c r="B39" t="s">
        <v>55</v>
      </c>
      <c r="S39" s="2"/>
    </row>
    <row r="40" spans="1:19" x14ac:dyDescent="0.25">
      <c r="A40">
        <v>2015</v>
      </c>
      <c r="B40" t="s">
        <v>56</v>
      </c>
      <c r="S40" s="2"/>
    </row>
    <row r="41" spans="1:19" x14ac:dyDescent="0.25">
      <c r="S41" s="2"/>
    </row>
    <row r="42" spans="1:19" x14ac:dyDescent="0.25">
      <c r="S42" s="2"/>
    </row>
    <row r="43" spans="1:19" x14ac:dyDescent="0.25">
      <c r="S43" s="2"/>
    </row>
    <row r="44" spans="1:19" x14ac:dyDescent="0.25">
      <c r="S44" s="2"/>
    </row>
    <row r="45" spans="1:19" x14ac:dyDescent="0.25">
      <c r="S45" s="2"/>
    </row>
    <row r="46" spans="1:19" x14ac:dyDescent="0.25">
      <c r="S46" s="2"/>
    </row>
    <row r="47" spans="1:19" x14ac:dyDescent="0.25">
      <c r="S47" s="2"/>
    </row>
    <row r="48" spans="1:19" x14ac:dyDescent="0.25">
      <c r="S48" s="2"/>
    </row>
    <row r="49" spans="19:19" x14ac:dyDescent="0.25">
      <c r="S49" s="2"/>
    </row>
    <row r="50" spans="19:19" x14ac:dyDescent="0.25">
      <c r="S50" s="2"/>
    </row>
    <row r="51" spans="19:19" x14ac:dyDescent="0.25">
      <c r="S51" s="2"/>
    </row>
    <row r="52" spans="19:19" x14ac:dyDescent="0.25">
      <c r="S52" s="2"/>
    </row>
    <row r="53" spans="19:19" x14ac:dyDescent="0.25">
      <c r="S53" s="2"/>
    </row>
    <row r="54" spans="19:19" x14ac:dyDescent="0.25">
      <c r="S54" s="2"/>
    </row>
    <row r="55" spans="19:19" x14ac:dyDescent="0.25">
      <c r="S55" s="2"/>
    </row>
    <row r="56" spans="19:19" x14ac:dyDescent="0.25">
      <c r="S56" s="2"/>
    </row>
    <row r="57" spans="19:19" x14ac:dyDescent="0.25">
      <c r="S57" s="2"/>
    </row>
    <row r="58" spans="19:19" x14ac:dyDescent="0.25">
      <c r="S58" s="2"/>
    </row>
    <row r="59" spans="19:19" x14ac:dyDescent="0.25">
      <c r="S59" s="2"/>
    </row>
    <row r="60" spans="19:19" x14ac:dyDescent="0.25">
      <c r="S60" s="2"/>
    </row>
    <row r="61" spans="19:19" x14ac:dyDescent="0.25">
      <c r="S61" s="2"/>
    </row>
    <row r="62" spans="19:19" x14ac:dyDescent="0.25">
      <c r="S62" s="2"/>
    </row>
    <row r="63" spans="19:19" x14ac:dyDescent="0.25">
      <c r="S63" s="2"/>
    </row>
    <row r="64" spans="19:19" x14ac:dyDescent="0.25">
      <c r="S64" s="2"/>
    </row>
    <row r="65" spans="19:19" x14ac:dyDescent="0.25">
      <c r="S65" s="2"/>
    </row>
    <row r="66" spans="19:19" x14ac:dyDescent="0.25">
      <c r="S66" s="2"/>
    </row>
    <row r="67" spans="19:19" x14ac:dyDescent="0.25">
      <c r="S67" s="2"/>
    </row>
    <row r="68" spans="19:19" x14ac:dyDescent="0.25">
      <c r="S68" s="2"/>
    </row>
    <row r="69" spans="19:19" x14ac:dyDescent="0.25">
      <c r="S69" s="2"/>
    </row>
    <row r="70" spans="19:19" x14ac:dyDescent="0.25">
      <c r="S70" s="2"/>
    </row>
    <row r="71" spans="19:19" x14ac:dyDescent="0.25">
      <c r="S71" s="2"/>
    </row>
    <row r="72" spans="19:19" x14ac:dyDescent="0.25">
      <c r="S72" s="2"/>
    </row>
    <row r="73" spans="19:19" x14ac:dyDescent="0.25">
      <c r="S73" s="2"/>
    </row>
    <row r="74" spans="19:19" x14ac:dyDescent="0.25">
      <c r="S74" s="2"/>
    </row>
    <row r="75" spans="19:19" x14ac:dyDescent="0.25">
      <c r="S75" s="2"/>
    </row>
    <row r="76" spans="19:19" x14ac:dyDescent="0.25">
      <c r="S76" s="2"/>
    </row>
    <row r="77" spans="19:19" x14ac:dyDescent="0.25">
      <c r="S77" s="2"/>
    </row>
    <row r="78" spans="19:19" x14ac:dyDescent="0.25">
      <c r="S78" s="2"/>
    </row>
    <row r="79" spans="19:19" x14ac:dyDescent="0.25">
      <c r="S79" s="2"/>
    </row>
    <row r="80" spans="19:19" x14ac:dyDescent="0.25">
      <c r="S80" s="2"/>
    </row>
    <row r="81" spans="19:19" x14ac:dyDescent="0.25">
      <c r="S81" s="2"/>
    </row>
    <row r="82" spans="19:19" x14ac:dyDescent="0.25">
      <c r="S82" s="2"/>
    </row>
    <row r="83" spans="19:19" x14ac:dyDescent="0.25">
      <c r="S83" s="2"/>
    </row>
    <row r="84" spans="19:19" x14ac:dyDescent="0.25">
      <c r="S84" s="2"/>
    </row>
    <row r="85" spans="19:19" x14ac:dyDescent="0.25">
      <c r="S85" s="2"/>
    </row>
    <row r="86" spans="19:19" x14ac:dyDescent="0.25">
      <c r="S86" s="2"/>
    </row>
    <row r="87" spans="19:19" x14ac:dyDescent="0.25">
      <c r="S87" s="2"/>
    </row>
    <row r="88" spans="19:19" x14ac:dyDescent="0.25">
      <c r="S88" s="2"/>
    </row>
    <row r="89" spans="19:19" x14ac:dyDescent="0.25">
      <c r="S89" s="2"/>
    </row>
    <row r="90" spans="19:19" x14ac:dyDescent="0.25">
      <c r="S90" s="2"/>
    </row>
    <row r="91" spans="19:19" x14ac:dyDescent="0.25">
      <c r="S91" s="2"/>
    </row>
    <row r="92" spans="19:19" x14ac:dyDescent="0.25">
      <c r="S92" s="2"/>
    </row>
    <row r="93" spans="19:19" x14ac:dyDescent="0.25">
      <c r="S93" s="2"/>
    </row>
    <row r="94" spans="19:19" x14ac:dyDescent="0.25">
      <c r="S94" s="2"/>
    </row>
    <row r="95" spans="19:19" x14ac:dyDescent="0.25">
      <c r="S95" s="2"/>
    </row>
    <row r="96" spans="19:19" x14ac:dyDescent="0.25">
      <c r="S96" s="2"/>
    </row>
    <row r="97" spans="19:19" x14ac:dyDescent="0.25">
      <c r="S97" s="2"/>
    </row>
    <row r="98" spans="19:19" x14ac:dyDescent="0.25">
      <c r="S98" s="2"/>
    </row>
    <row r="99" spans="19:19" x14ac:dyDescent="0.25">
      <c r="S99" s="2"/>
    </row>
    <row r="100" spans="19:19" x14ac:dyDescent="0.25">
      <c r="S100" s="2"/>
    </row>
    <row r="101" spans="19:19" x14ac:dyDescent="0.25">
      <c r="S101" s="2"/>
    </row>
    <row r="102" spans="19:19" x14ac:dyDescent="0.25">
      <c r="S102" s="2"/>
    </row>
    <row r="103" spans="19:19" x14ac:dyDescent="0.25">
      <c r="S103" s="2"/>
    </row>
    <row r="104" spans="19:19" x14ac:dyDescent="0.25">
      <c r="S104" s="2"/>
    </row>
    <row r="105" spans="19:19" x14ac:dyDescent="0.25">
      <c r="S105" s="2"/>
    </row>
    <row r="106" spans="19:19" x14ac:dyDescent="0.25">
      <c r="S106" s="2"/>
    </row>
    <row r="107" spans="19:19" x14ac:dyDescent="0.25">
      <c r="S107" s="2"/>
    </row>
    <row r="108" spans="19:19" x14ac:dyDescent="0.25">
      <c r="S108" s="2"/>
    </row>
    <row r="109" spans="19:19" x14ac:dyDescent="0.25">
      <c r="S109" s="2"/>
    </row>
    <row r="110" spans="19:19" x14ac:dyDescent="0.25">
      <c r="S110" s="2"/>
    </row>
    <row r="111" spans="19:19" x14ac:dyDescent="0.25">
      <c r="S111" s="2"/>
    </row>
    <row r="112" spans="19:19" x14ac:dyDescent="0.25">
      <c r="S112" s="2"/>
    </row>
    <row r="113" spans="19:19" x14ac:dyDescent="0.25">
      <c r="S113" s="2"/>
    </row>
    <row r="114" spans="19:19" x14ac:dyDescent="0.25">
      <c r="S114" s="2"/>
    </row>
    <row r="115" spans="19:19" x14ac:dyDescent="0.25">
      <c r="S115" s="2"/>
    </row>
    <row r="116" spans="19:19" x14ac:dyDescent="0.25">
      <c r="S116" s="2"/>
    </row>
    <row r="117" spans="19:19" x14ac:dyDescent="0.25">
      <c r="S117" s="2"/>
    </row>
    <row r="118" spans="19:19" x14ac:dyDescent="0.25">
      <c r="S118" s="2"/>
    </row>
    <row r="119" spans="19:19" x14ac:dyDescent="0.25">
      <c r="S119" s="2"/>
    </row>
    <row r="120" spans="19:19" x14ac:dyDescent="0.25">
      <c r="S120" s="2"/>
    </row>
    <row r="121" spans="19:19" x14ac:dyDescent="0.25">
      <c r="S121" s="2"/>
    </row>
    <row r="122" spans="19:19" x14ac:dyDescent="0.25">
      <c r="S122" s="2"/>
    </row>
    <row r="123" spans="19:19" x14ac:dyDescent="0.25">
      <c r="S123" s="2"/>
    </row>
    <row r="124" spans="19:19" x14ac:dyDescent="0.25">
      <c r="S124" s="2"/>
    </row>
    <row r="125" spans="19:19" x14ac:dyDescent="0.25">
      <c r="S125" s="2"/>
    </row>
    <row r="126" spans="19:19" x14ac:dyDescent="0.25">
      <c r="S126" s="2"/>
    </row>
    <row r="127" spans="19:19" x14ac:dyDescent="0.25">
      <c r="S127" s="2"/>
    </row>
    <row r="128" spans="19:19" x14ac:dyDescent="0.25">
      <c r="S128" s="2"/>
    </row>
    <row r="129" spans="19:19" x14ac:dyDescent="0.25">
      <c r="S129" s="2"/>
    </row>
    <row r="130" spans="19:19" x14ac:dyDescent="0.25">
      <c r="S130" s="2"/>
    </row>
    <row r="131" spans="19:19" x14ac:dyDescent="0.25">
      <c r="S131" s="2"/>
    </row>
    <row r="132" spans="19:19" x14ac:dyDescent="0.25">
      <c r="S132" s="2"/>
    </row>
    <row r="133" spans="19:19" x14ac:dyDescent="0.25">
      <c r="S133" s="2"/>
    </row>
    <row r="134" spans="19:19" x14ac:dyDescent="0.25">
      <c r="S134" s="2"/>
    </row>
    <row r="135" spans="19:19" x14ac:dyDescent="0.25">
      <c r="S135" s="2"/>
    </row>
    <row r="136" spans="19:19" x14ac:dyDescent="0.25">
      <c r="S136" s="2"/>
    </row>
    <row r="137" spans="19:19" x14ac:dyDescent="0.25">
      <c r="S137" s="2"/>
    </row>
    <row r="138" spans="19:19" x14ac:dyDescent="0.25">
      <c r="S138" s="2"/>
    </row>
    <row r="139" spans="19:19" x14ac:dyDescent="0.25">
      <c r="S139" s="2"/>
    </row>
    <row r="140" spans="19:19" x14ac:dyDescent="0.25">
      <c r="S140" s="2"/>
    </row>
    <row r="141" spans="19:19" x14ac:dyDescent="0.25">
      <c r="S141" s="2"/>
    </row>
    <row r="142" spans="19:19" x14ac:dyDescent="0.25">
      <c r="S142" s="2"/>
    </row>
    <row r="143" spans="19:19" x14ac:dyDescent="0.25">
      <c r="S143" s="2"/>
    </row>
    <row r="144" spans="19:19" x14ac:dyDescent="0.25">
      <c r="S144" s="2"/>
    </row>
    <row r="145" spans="19:19" x14ac:dyDescent="0.25">
      <c r="S145" s="2"/>
    </row>
    <row r="146" spans="19:19" x14ac:dyDescent="0.25">
      <c r="S146" s="2"/>
    </row>
    <row r="147" spans="19:19" x14ac:dyDescent="0.25">
      <c r="S147" s="2"/>
    </row>
    <row r="148" spans="19:19" x14ac:dyDescent="0.25">
      <c r="S148" s="2"/>
    </row>
    <row r="149" spans="19:19" x14ac:dyDescent="0.25">
      <c r="S149" s="2"/>
    </row>
    <row r="150" spans="19:19" x14ac:dyDescent="0.25">
      <c r="S150" s="2"/>
    </row>
    <row r="151" spans="19:19" x14ac:dyDescent="0.25">
      <c r="S151" s="2"/>
    </row>
    <row r="152" spans="19:19" x14ac:dyDescent="0.25">
      <c r="S152" s="2"/>
    </row>
    <row r="153" spans="19:19" x14ac:dyDescent="0.25">
      <c r="S153" s="2"/>
    </row>
    <row r="154" spans="19:19" x14ac:dyDescent="0.25">
      <c r="S154" s="2"/>
    </row>
    <row r="155" spans="19:19" x14ac:dyDescent="0.25">
      <c r="S155" s="2"/>
    </row>
    <row r="156" spans="19:19" x14ac:dyDescent="0.25">
      <c r="S156" s="2"/>
    </row>
    <row r="157" spans="19:19" x14ac:dyDescent="0.25">
      <c r="S157" s="2"/>
    </row>
    <row r="158" spans="19:19" x14ac:dyDescent="0.25">
      <c r="S158" s="2"/>
    </row>
    <row r="159" spans="19:19" x14ac:dyDescent="0.25">
      <c r="S159" s="2"/>
    </row>
    <row r="160" spans="19:19" x14ac:dyDescent="0.25">
      <c r="S160" s="2"/>
    </row>
    <row r="161" spans="19:19" x14ac:dyDescent="0.25">
      <c r="S161" s="2"/>
    </row>
    <row r="162" spans="19:19" x14ac:dyDescent="0.25">
      <c r="S162" s="2"/>
    </row>
    <row r="163" spans="19:19" x14ac:dyDescent="0.25">
      <c r="S163" s="2"/>
    </row>
    <row r="164" spans="19:19" x14ac:dyDescent="0.25">
      <c r="S164" s="2"/>
    </row>
    <row r="165" spans="19:19" x14ac:dyDescent="0.25">
      <c r="S165" s="2"/>
    </row>
    <row r="166" spans="19:19" x14ac:dyDescent="0.25">
      <c r="S166" s="2"/>
    </row>
    <row r="167" spans="19:19" x14ac:dyDescent="0.25">
      <c r="S167" s="2"/>
    </row>
    <row r="168" spans="19:19" x14ac:dyDescent="0.25">
      <c r="S168" s="2"/>
    </row>
    <row r="169" spans="19:19" x14ac:dyDescent="0.25">
      <c r="S169" s="2"/>
    </row>
    <row r="170" spans="19:19" x14ac:dyDescent="0.25">
      <c r="S170" s="2"/>
    </row>
    <row r="171" spans="19:19" x14ac:dyDescent="0.25">
      <c r="S171" s="2"/>
    </row>
    <row r="172" spans="19:19" x14ac:dyDescent="0.25">
      <c r="S172" s="2"/>
    </row>
    <row r="173" spans="19:19" x14ac:dyDescent="0.25">
      <c r="S173" s="2"/>
    </row>
    <row r="174" spans="19:19" x14ac:dyDescent="0.25">
      <c r="S174" s="2"/>
    </row>
    <row r="175" spans="19:19" x14ac:dyDescent="0.25">
      <c r="S175" s="2"/>
    </row>
    <row r="176" spans="19:19" x14ac:dyDescent="0.25">
      <c r="S176" s="2"/>
    </row>
    <row r="177" spans="19:19" x14ac:dyDescent="0.25">
      <c r="S177" s="2"/>
    </row>
    <row r="178" spans="19:19" x14ac:dyDescent="0.25">
      <c r="S178" s="2"/>
    </row>
    <row r="179" spans="19:19" x14ac:dyDescent="0.25">
      <c r="S179" s="2"/>
    </row>
    <row r="180" spans="19:19" x14ac:dyDescent="0.25">
      <c r="S180" s="2"/>
    </row>
    <row r="181" spans="19:19" x14ac:dyDescent="0.25">
      <c r="S181" s="2"/>
    </row>
    <row r="182" spans="19:19" x14ac:dyDescent="0.25">
      <c r="S182" s="2"/>
    </row>
    <row r="183" spans="19:19" x14ac:dyDescent="0.25">
      <c r="S183" s="2"/>
    </row>
    <row r="184" spans="19:19" x14ac:dyDescent="0.25">
      <c r="S184" s="2"/>
    </row>
    <row r="185" spans="19:19" x14ac:dyDescent="0.25">
      <c r="S185" s="2"/>
    </row>
    <row r="186" spans="19:19" x14ac:dyDescent="0.25">
      <c r="S186" s="2"/>
    </row>
    <row r="187" spans="19:19" x14ac:dyDescent="0.25">
      <c r="S187" s="2"/>
    </row>
    <row r="188" spans="19:19" x14ac:dyDescent="0.25">
      <c r="S188" s="2"/>
    </row>
    <row r="189" spans="19:19" x14ac:dyDescent="0.25">
      <c r="S189" s="2"/>
    </row>
    <row r="190" spans="19:19" x14ac:dyDescent="0.25">
      <c r="S190" s="2"/>
    </row>
    <row r="191" spans="19:19" x14ac:dyDescent="0.25">
      <c r="S191" s="2"/>
    </row>
    <row r="192" spans="19:19" x14ac:dyDescent="0.25">
      <c r="S192" s="2"/>
    </row>
    <row r="193" spans="19:19" x14ac:dyDescent="0.25">
      <c r="S193" s="2"/>
    </row>
    <row r="194" spans="19:19" x14ac:dyDescent="0.25">
      <c r="S194" s="2"/>
    </row>
    <row r="195" spans="19:19" x14ac:dyDescent="0.25">
      <c r="S195" s="2"/>
    </row>
    <row r="196" spans="19:19" x14ac:dyDescent="0.25">
      <c r="S196" s="2"/>
    </row>
    <row r="197" spans="19:19" x14ac:dyDescent="0.25">
      <c r="S197" s="2"/>
    </row>
    <row r="198" spans="19:19" x14ac:dyDescent="0.25">
      <c r="S198" s="2"/>
    </row>
    <row r="199" spans="19:19" x14ac:dyDescent="0.25">
      <c r="S199" s="2"/>
    </row>
    <row r="200" spans="19:19" x14ac:dyDescent="0.25">
      <c r="S200" s="2"/>
    </row>
    <row r="201" spans="19:19" x14ac:dyDescent="0.25">
      <c r="S201" s="2"/>
    </row>
    <row r="202" spans="19:19" x14ac:dyDescent="0.25">
      <c r="S202" s="2"/>
    </row>
    <row r="203" spans="19:19" x14ac:dyDescent="0.25">
      <c r="S203" s="2"/>
    </row>
    <row r="204" spans="19:19" x14ac:dyDescent="0.25">
      <c r="S204" s="2"/>
    </row>
    <row r="205" spans="19:19" x14ac:dyDescent="0.25">
      <c r="S205" s="2"/>
    </row>
    <row r="206" spans="19:19" x14ac:dyDescent="0.25">
      <c r="S206" s="2"/>
    </row>
    <row r="207" spans="19:19" x14ac:dyDescent="0.25">
      <c r="S207" s="2"/>
    </row>
    <row r="208" spans="19:19" x14ac:dyDescent="0.25">
      <c r="S208" s="2"/>
    </row>
    <row r="209" spans="19:19" x14ac:dyDescent="0.25">
      <c r="S209" s="2"/>
    </row>
    <row r="210" spans="19:19" x14ac:dyDescent="0.25">
      <c r="S210" s="2"/>
    </row>
    <row r="211" spans="19:19" x14ac:dyDescent="0.25">
      <c r="S211" s="2"/>
    </row>
    <row r="212" spans="19:19" x14ac:dyDescent="0.25">
      <c r="S212" s="2"/>
    </row>
    <row r="213" spans="19:19" x14ac:dyDescent="0.25">
      <c r="S213" s="2"/>
    </row>
    <row r="214" spans="19:19" x14ac:dyDescent="0.25">
      <c r="S214" s="2"/>
    </row>
    <row r="215" spans="19:19" x14ac:dyDescent="0.25">
      <c r="S215" s="2"/>
    </row>
    <row r="216" spans="19:19" x14ac:dyDescent="0.25">
      <c r="S216" s="2"/>
    </row>
    <row r="217" spans="19:19" x14ac:dyDescent="0.25">
      <c r="S217" s="2"/>
    </row>
    <row r="218" spans="19:19" x14ac:dyDescent="0.25">
      <c r="S218" s="2"/>
    </row>
    <row r="219" spans="19:19" x14ac:dyDescent="0.25">
      <c r="S219" s="2"/>
    </row>
    <row r="220" spans="19:19" x14ac:dyDescent="0.25">
      <c r="S220" s="2"/>
    </row>
    <row r="221" spans="19:19" x14ac:dyDescent="0.25">
      <c r="S221" s="2"/>
    </row>
    <row r="222" spans="19:19" x14ac:dyDescent="0.25">
      <c r="S222" s="2"/>
    </row>
    <row r="223" spans="19:19" x14ac:dyDescent="0.25">
      <c r="S223" s="2"/>
    </row>
    <row r="224" spans="19:19" x14ac:dyDescent="0.25">
      <c r="S224" s="2"/>
    </row>
    <row r="225" spans="19:19" x14ac:dyDescent="0.25">
      <c r="S225" s="2"/>
    </row>
    <row r="226" spans="19:19" x14ac:dyDescent="0.25">
      <c r="S226" s="2"/>
    </row>
    <row r="227" spans="19:19" x14ac:dyDescent="0.25">
      <c r="S227" s="2"/>
    </row>
    <row r="228" spans="19:19" x14ac:dyDescent="0.25">
      <c r="S228" s="2"/>
    </row>
    <row r="229" spans="19:19" x14ac:dyDescent="0.25">
      <c r="S229" s="2"/>
    </row>
    <row r="230" spans="19:19" x14ac:dyDescent="0.25">
      <c r="S230" s="2"/>
    </row>
    <row r="231" spans="19:19" x14ac:dyDescent="0.25">
      <c r="S231" s="2"/>
    </row>
    <row r="232" spans="19:19" x14ac:dyDescent="0.25">
      <c r="S232" s="2"/>
    </row>
    <row r="233" spans="19:19" x14ac:dyDescent="0.25">
      <c r="S233" s="2"/>
    </row>
    <row r="234" spans="19:19" x14ac:dyDescent="0.25">
      <c r="S234" s="2"/>
    </row>
    <row r="235" spans="19:19" x14ac:dyDescent="0.25">
      <c r="S235" s="2"/>
    </row>
    <row r="236" spans="19:19" x14ac:dyDescent="0.25">
      <c r="S236" s="2"/>
    </row>
    <row r="237" spans="19:19" x14ac:dyDescent="0.25">
      <c r="S237" s="2"/>
    </row>
    <row r="238" spans="19:19" x14ac:dyDescent="0.25">
      <c r="S238" s="2"/>
    </row>
    <row r="239" spans="19:19" x14ac:dyDescent="0.25">
      <c r="S239" s="2"/>
    </row>
    <row r="240" spans="19:19" x14ac:dyDescent="0.25">
      <c r="S240" s="2"/>
    </row>
    <row r="241" spans="19:19" x14ac:dyDescent="0.25">
      <c r="S241" s="2"/>
    </row>
    <row r="242" spans="19:19" x14ac:dyDescent="0.25">
      <c r="S242" s="2"/>
    </row>
    <row r="243" spans="19:19" x14ac:dyDescent="0.25">
      <c r="S243" s="2"/>
    </row>
    <row r="244" spans="19:19" x14ac:dyDescent="0.25">
      <c r="S244" s="2"/>
    </row>
    <row r="245" spans="19:19" x14ac:dyDescent="0.25">
      <c r="S245" s="2"/>
    </row>
    <row r="246" spans="19:19" x14ac:dyDescent="0.25">
      <c r="S246" s="2"/>
    </row>
    <row r="247" spans="19:19" x14ac:dyDescent="0.25">
      <c r="S247" s="2"/>
    </row>
    <row r="248" spans="19:19" x14ac:dyDescent="0.25">
      <c r="S248" s="2"/>
    </row>
    <row r="249" spans="19:19" x14ac:dyDescent="0.25">
      <c r="S249" s="2"/>
    </row>
    <row r="250" spans="19:19" x14ac:dyDescent="0.25">
      <c r="S250" s="2"/>
    </row>
    <row r="251" spans="19:19" x14ac:dyDescent="0.25">
      <c r="S251" s="2"/>
    </row>
    <row r="252" spans="19:19" x14ac:dyDescent="0.25">
      <c r="S252" s="2"/>
    </row>
    <row r="253" spans="19:19" x14ac:dyDescent="0.25">
      <c r="S253" s="2"/>
    </row>
    <row r="254" spans="19:19" x14ac:dyDescent="0.25">
      <c r="S254" s="2"/>
    </row>
    <row r="255" spans="19:19" x14ac:dyDescent="0.25">
      <c r="S255" s="2"/>
    </row>
    <row r="256" spans="19:19" x14ac:dyDescent="0.25">
      <c r="S256" s="2"/>
    </row>
    <row r="257" spans="19:19" x14ac:dyDescent="0.25">
      <c r="S257" s="2"/>
    </row>
    <row r="258" spans="19:19" x14ac:dyDescent="0.25">
      <c r="S258" s="2"/>
    </row>
    <row r="259" spans="19:19" x14ac:dyDescent="0.25">
      <c r="S259" s="2"/>
    </row>
    <row r="260" spans="19:19" x14ac:dyDescent="0.25">
      <c r="S260" s="2"/>
    </row>
    <row r="261" spans="19:19" x14ac:dyDescent="0.25">
      <c r="S261" s="2"/>
    </row>
    <row r="262" spans="19:19" x14ac:dyDescent="0.25">
      <c r="S262" s="2"/>
    </row>
    <row r="263" spans="19:19" x14ac:dyDescent="0.25">
      <c r="S263" s="2"/>
    </row>
    <row r="264" spans="19:19" x14ac:dyDescent="0.25">
      <c r="S264" s="2"/>
    </row>
    <row r="265" spans="19:19" x14ac:dyDescent="0.25">
      <c r="S265" s="2"/>
    </row>
    <row r="266" spans="19:19" x14ac:dyDescent="0.25">
      <c r="S266" s="2"/>
    </row>
    <row r="267" spans="19:19" x14ac:dyDescent="0.25">
      <c r="S267" s="2"/>
    </row>
    <row r="268" spans="19:19" x14ac:dyDescent="0.25">
      <c r="S268" s="2"/>
    </row>
    <row r="269" spans="19:19" x14ac:dyDescent="0.25">
      <c r="S269" s="2"/>
    </row>
    <row r="270" spans="19:19" x14ac:dyDescent="0.25">
      <c r="S270" s="2"/>
    </row>
    <row r="271" spans="19:19" x14ac:dyDescent="0.25">
      <c r="S271" s="2"/>
    </row>
    <row r="272" spans="19:19" x14ac:dyDescent="0.25">
      <c r="S272" s="2"/>
    </row>
    <row r="273" spans="19:19" x14ac:dyDescent="0.25">
      <c r="S273" s="2"/>
    </row>
    <row r="274" spans="19:19" x14ac:dyDescent="0.25">
      <c r="S274" s="2"/>
    </row>
    <row r="275" spans="19:19" x14ac:dyDescent="0.25">
      <c r="S275" s="2"/>
    </row>
    <row r="276" spans="19:19" x14ac:dyDescent="0.25">
      <c r="S276" s="2"/>
    </row>
    <row r="277" spans="19:19" x14ac:dyDescent="0.25">
      <c r="S277" s="2"/>
    </row>
    <row r="278" spans="19:19" x14ac:dyDescent="0.25">
      <c r="S278" s="2"/>
    </row>
    <row r="279" spans="19:19" x14ac:dyDescent="0.25">
      <c r="S279" s="2"/>
    </row>
    <row r="280" spans="19:19" x14ac:dyDescent="0.25">
      <c r="S280" s="2"/>
    </row>
    <row r="281" spans="19:19" x14ac:dyDescent="0.25">
      <c r="S281" s="2"/>
    </row>
    <row r="282" spans="19:19" x14ac:dyDescent="0.25">
      <c r="S282" s="2"/>
    </row>
    <row r="283" spans="19:19" x14ac:dyDescent="0.25">
      <c r="S283" s="2"/>
    </row>
    <row r="284" spans="19:19" x14ac:dyDescent="0.25">
      <c r="S284" s="2"/>
    </row>
    <row r="285" spans="19:19" x14ac:dyDescent="0.25">
      <c r="S285" s="2"/>
    </row>
    <row r="286" spans="19:19" x14ac:dyDescent="0.25">
      <c r="S286" s="2"/>
    </row>
    <row r="287" spans="19:19" x14ac:dyDescent="0.25">
      <c r="S287" s="2"/>
    </row>
    <row r="288" spans="19:19" x14ac:dyDescent="0.25">
      <c r="S288" s="2"/>
    </row>
    <row r="289" spans="19:19" x14ac:dyDescent="0.25">
      <c r="S289" s="2"/>
    </row>
    <row r="290" spans="19:19" x14ac:dyDescent="0.25">
      <c r="S290" s="2"/>
    </row>
    <row r="291" spans="19:19" x14ac:dyDescent="0.25">
      <c r="S291" s="2"/>
    </row>
    <row r="292" spans="19:19" x14ac:dyDescent="0.25">
      <c r="S292" s="2"/>
    </row>
    <row r="293" spans="19:19" x14ac:dyDescent="0.25">
      <c r="S293" s="2"/>
    </row>
    <row r="294" spans="19:19" x14ac:dyDescent="0.25">
      <c r="S294" s="2"/>
    </row>
    <row r="295" spans="19:19" x14ac:dyDescent="0.25">
      <c r="S295" s="2"/>
    </row>
    <row r="296" spans="19:19" x14ac:dyDescent="0.25">
      <c r="S296" s="2"/>
    </row>
    <row r="297" spans="19:19" x14ac:dyDescent="0.25">
      <c r="S297" s="2"/>
    </row>
    <row r="298" spans="19:19" x14ac:dyDescent="0.25">
      <c r="S298" s="2"/>
    </row>
    <row r="299" spans="19:19" x14ac:dyDescent="0.25">
      <c r="S299" s="2"/>
    </row>
    <row r="300" spans="19:19" x14ac:dyDescent="0.25">
      <c r="S300" s="2"/>
    </row>
    <row r="301" spans="19:19" x14ac:dyDescent="0.25">
      <c r="S301" s="2"/>
    </row>
    <row r="302" spans="19:19" x14ac:dyDescent="0.25">
      <c r="S302" s="2"/>
    </row>
    <row r="303" spans="19:19" x14ac:dyDescent="0.25">
      <c r="S303" s="2"/>
    </row>
    <row r="304" spans="19:19" x14ac:dyDescent="0.25">
      <c r="S304" s="2"/>
    </row>
    <row r="305" spans="19:19" x14ac:dyDescent="0.25">
      <c r="S305" s="2"/>
    </row>
    <row r="306" spans="19:19" x14ac:dyDescent="0.25">
      <c r="S306" s="2"/>
    </row>
    <row r="307" spans="19:19" x14ac:dyDescent="0.25">
      <c r="S307" s="2"/>
    </row>
    <row r="308" spans="19:19" x14ac:dyDescent="0.25">
      <c r="S308" s="2"/>
    </row>
    <row r="309" spans="19:19" x14ac:dyDescent="0.25">
      <c r="S309" s="2"/>
    </row>
    <row r="310" spans="19:19" x14ac:dyDescent="0.25">
      <c r="S310" s="2"/>
    </row>
    <row r="311" spans="19:19" x14ac:dyDescent="0.25">
      <c r="S311" s="2"/>
    </row>
    <row r="312" spans="19:19" x14ac:dyDescent="0.25">
      <c r="S312" s="2"/>
    </row>
    <row r="313" spans="19:19" x14ac:dyDescent="0.25">
      <c r="S313" s="2"/>
    </row>
    <row r="314" spans="19:19" x14ac:dyDescent="0.25">
      <c r="S314" s="2"/>
    </row>
    <row r="315" spans="19:19" x14ac:dyDescent="0.25">
      <c r="S315" s="2"/>
    </row>
    <row r="316" spans="19:19" x14ac:dyDescent="0.25">
      <c r="S316" s="2"/>
    </row>
    <row r="317" spans="19:19" x14ac:dyDescent="0.25">
      <c r="S317" s="2"/>
    </row>
    <row r="318" spans="19:19" x14ac:dyDescent="0.25">
      <c r="S318" s="2"/>
    </row>
    <row r="319" spans="19:19" x14ac:dyDescent="0.25">
      <c r="S319" s="2"/>
    </row>
    <row r="320" spans="19:19" x14ac:dyDescent="0.25">
      <c r="S320" s="2"/>
    </row>
    <row r="321" spans="19:19" x14ac:dyDescent="0.25">
      <c r="S321" s="2"/>
    </row>
    <row r="322" spans="19:19" x14ac:dyDescent="0.25">
      <c r="S322" s="2"/>
    </row>
    <row r="323" spans="19:19" x14ac:dyDescent="0.25">
      <c r="S323" s="2"/>
    </row>
    <row r="324" spans="19:19" x14ac:dyDescent="0.25">
      <c r="S324" s="2"/>
    </row>
    <row r="325" spans="19:19" x14ac:dyDescent="0.25">
      <c r="S325" s="2"/>
    </row>
    <row r="326" spans="19:19" x14ac:dyDescent="0.25">
      <c r="S326" s="2"/>
    </row>
    <row r="327" spans="19:19" x14ac:dyDescent="0.25">
      <c r="S327" s="2"/>
    </row>
    <row r="328" spans="19:19" x14ac:dyDescent="0.25">
      <c r="S328" s="2"/>
    </row>
    <row r="329" spans="19:19" x14ac:dyDescent="0.25">
      <c r="S329" s="2"/>
    </row>
    <row r="330" spans="19:19" x14ac:dyDescent="0.25">
      <c r="S330" s="2"/>
    </row>
    <row r="331" spans="19:19" x14ac:dyDescent="0.25">
      <c r="S331" s="2"/>
    </row>
  </sheetData>
  <mergeCells count="1">
    <mergeCell ref="A28:O30"/>
  </mergeCells>
  <printOptions horizontalCentered="1" verticalCentered="1"/>
  <pageMargins left="0.75" right="0.75" top="1" bottom="1" header="0.5" footer="0.5"/>
  <pageSetup scale="86"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EEA29-B86B-479D-AF88-6378E1F13DAA}">
  <sheetPr>
    <pageSetUpPr fitToPage="1"/>
  </sheetPr>
  <dimension ref="A1:P68"/>
  <sheetViews>
    <sheetView topLeftCell="A16" zoomScale="115" zoomScaleNormal="115" zoomScaleSheetLayoutView="70" workbookViewId="0">
      <selection activeCell="K43" sqref="K43"/>
    </sheetView>
  </sheetViews>
  <sheetFormatPr defaultRowHeight="13.2" x14ac:dyDescent="0.25"/>
  <cols>
    <col min="7" max="7" width="9" customWidth="1"/>
  </cols>
  <sheetData>
    <row r="1" spans="10:16" ht="12.75" customHeight="1" x14ac:dyDescent="0.25">
      <c r="K1" s="155" t="s">
        <v>287</v>
      </c>
      <c r="L1" s="155"/>
      <c r="M1" s="155" t="s">
        <v>288</v>
      </c>
      <c r="N1" s="155"/>
      <c r="O1" s="155" t="s">
        <v>336</v>
      </c>
      <c r="P1" s="155"/>
    </row>
    <row r="2" spans="10:16" x14ac:dyDescent="0.25">
      <c r="J2" t="s">
        <v>3</v>
      </c>
      <c r="K2" t="s">
        <v>197</v>
      </c>
      <c r="L2" t="s">
        <v>196</v>
      </c>
      <c r="M2" t="s">
        <v>197</v>
      </c>
      <c r="N2" t="s">
        <v>196</v>
      </c>
      <c r="O2" t="s">
        <v>197</v>
      </c>
      <c r="P2" t="s">
        <v>196</v>
      </c>
    </row>
    <row r="3" spans="10:16" x14ac:dyDescent="0.25">
      <c r="J3" t="s">
        <v>20</v>
      </c>
      <c r="K3">
        <v>1000</v>
      </c>
      <c r="L3">
        <v>1000</v>
      </c>
      <c r="M3">
        <v>6000</v>
      </c>
      <c r="N3">
        <v>6000</v>
      </c>
      <c r="O3">
        <v>0</v>
      </c>
      <c r="P3">
        <v>0</v>
      </c>
    </row>
    <row r="4" spans="10:16" x14ac:dyDescent="0.25">
      <c r="J4" t="s">
        <v>21</v>
      </c>
      <c r="K4">
        <v>989.930908203125</v>
      </c>
      <c r="L4">
        <v>593.95855712890625</v>
      </c>
      <c r="M4">
        <v>6929.51611328125</v>
      </c>
      <c r="N4">
        <v>4454.68896484375</v>
      </c>
      <c r="O4">
        <v>19.798618316650391</v>
      </c>
      <c r="P4">
        <v>4.9496545791625977</v>
      </c>
    </row>
    <row r="5" spans="10:16" x14ac:dyDescent="0.25">
      <c r="J5" t="s">
        <v>22</v>
      </c>
      <c r="K5">
        <v>989.26580810546875</v>
      </c>
      <c r="L5">
        <v>989.26580810546875</v>
      </c>
      <c r="M5">
        <v>3957.063232421875</v>
      </c>
      <c r="N5">
        <v>3759.2099609375</v>
      </c>
      <c r="O5">
        <v>9.8926582336425781</v>
      </c>
      <c r="P5">
        <v>49.463291168212891</v>
      </c>
    </row>
    <row r="6" spans="10:16" x14ac:dyDescent="0.25">
      <c r="J6" t="s">
        <v>23</v>
      </c>
      <c r="K6">
        <v>995.711669921875</v>
      </c>
      <c r="L6">
        <v>796.5693359375</v>
      </c>
      <c r="M6">
        <v>3982.8466796875</v>
      </c>
      <c r="N6">
        <v>3982.8466796875</v>
      </c>
      <c r="O6">
        <v>42.815601348876953</v>
      </c>
      <c r="P6">
        <v>99.5711669921875</v>
      </c>
    </row>
    <row r="7" spans="10:16" x14ac:dyDescent="0.25">
      <c r="J7" t="s">
        <v>24</v>
      </c>
      <c r="K7">
        <v>996.94293212890625</v>
      </c>
      <c r="L7">
        <v>996.94293212890625</v>
      </c>
      <c r="M7">
        <v>5040.54345703125</v>
      </c>
      <c r="N7">
        <v>4984.71484375</v>
      </c>
      <c r="O7">
        <v>40.874660491943359</v>
      </c>
      <c r="P7">
        <v>40.874660491943359</v>
      </c>
    </row>
    <row r="8" spans="10:16" x14ac:dyDescent="0.25">
      <c r="J8" t="s">
        <v>25</v>
      </c>
      <c r="K8">
        <v>1157.1336669921875</v>
      </c>
      <c r="L8">
        <v>1309.1802978515625</v>
      </c>
      <c r="M8">
        <v>5430.23486328125</v>
      </c>
      <c r="N8">
        <v>5430.23486328125</v>
      </c>
      <c r="O8">
        <v>49.365772247314453</v>
      </c>
      <c r="P8">
        <v>98.731544494628906</v>
      </c>
    </row>
    <row r="9" spans="10:16" x14ac:dyDescent="0.25">
      <c r="J9" t="s">
        <v>26</v>
      </c>
      <c r="K9">
        <v>986.02862548828125</v>
      </c>
      <c r="L9">
        <v>986.02862548828125</v>
      </c>
      <c r="M9">
        <v>3944.114501953125</v>
      </c>
      <c r="N9">
        <v>3549.703125</v>
      </c>
      <c r="O9">
        <v>9.8602867126464844</v>
      </c>
      <c r="P9">
        <v>5.9161715507507324</v>
      </c>
    </row>
    <row r="10" spans="10:16" x14ac:dyDescent="0.25">
      <c r="J10" t="s">
        <v>27</v>
      </c>
      <c r="K10">
        <v>985.77349853515625</v>
      </c>
      <c r="L10">
        <v>985.77349853515625</v>
      </c>
      <c r="M10">
        <v>5914.64111328125</v>
      </c>
      <c r="N10">
        <v>5914.64111328125</v>
      </c>
      <c r="O10">
        <v>4.9288673400878906</v>
      </c>
      <c r="P10">
        <v>1.97154700756073</v>
      </c>
    </row>
    <row r="11" spans="10:16" x14ac:dyDescent="0.25">
      <c r="J11" t="s">
        <v>28</v>
      </c>
      <c r="K11">
        <v>1304.506103515625</v>
      </c>
      <c r="L11">
        <v>1304.506103515625</v>
      </c>
      <c r="M11">
        <v>5880.568359375</v>
      </c>
      <c r="N11">
        <v>4900.4736328125</v>
      </c>
      <c r="O11">
        <v>14.701420783996582</v>
      </c>
      <c r="P11">
        <v>19.601894378662109</v>
      </c>
    </row>
    <row r="12" spans="10:16" x14ac:dyDescent="0.25">
      <c r="J12" t="s">
        <v>29</v>
      </c>
      <c r="K12">
        <v>586.0072021484375</v>
      </c>
      <c r="L12">
        <v>390.67144775390625</v>
      </c>
      <c r="M12">
        <v>3418.375244140625</v>
      </c>
      <c r="N12">
        <v>2148.693115234375</v>
      </c>
      <c r="O12">
        <v>0</v>
      </c>
      <c r="P12">
        <v>0</v>
      </c>
    </row>
    <row r="13" spans="10:16" x14ac:dyDescent="0.25">
      <c r="J13" t="s">
        <v>30</v>
      </c>
      <c r="K13">
        <v>682.2576904296875</v>
      </c>
      <c r="L13">
        <v>730.99041748046875</v>
      </c>
      <c r="M13">
        <v>4873.26953125</v>
      </c>
      <c r="N13">
        <v>3898.615478515625</v>
      </c>
      <c r="O13">
        <v>0.97465384006500244</v>
      </c>
      <c r="P13">
        <v>2.9239616394042969</v>
      </c>
    </row>
    <row r="14" spans="10:16" x14ac:dyDescent="0.25">
      <c r="J14" t="s">
        <v>31</v>
      </c>
      <c r="K14">
        <v>583.85845947265625</v>
      </c>
      <c r="L14">
        <v>526.44573974609375</v>
      </c>
      <c r="M14">
        <v>4378.9384765625</v>
      </c>
      <c r="N14">
        <v>4378.9384765625</v>
      </c>
      <c r="O14">
        <v>0.97309744358062744</v>
      </c>
      <c r="P14">
        <v>0.97309744358062744</v>
      </c>
    </row>
    <row r="15" spans="10:16" x14ac:dyDescent="0.25">
      <c r="J15" t="s">
        <v>32</v>
      </c>
      <c r="K15">
        <v>483.24893188476563</v>
      </c>
      <c r="L15">
        <v>483.24893188476563</v>
      </c>
      <c r="M15">
        <v>3896.91943359375</v>
      </c>
      <c r="N15">
        <v>3896.91943359375</v>
      </c>
      <c r="O15">
        <v>0</v>
      </c>
      <c r="P15">
        <v>0</v>
      </c>
    </row>
    <row r="16" spans="10:16" x14ac:dyDescent="0.25">
      <c r="J16" t="s">
        <v>33</v>
      </c>
      <c r="K16">
        <v>479.22726440429688</v>
      </c>
      <c r="L16">
        <v>479.22726440429688</v>
      </c>
      <c r="M16">
        <v>2396.136474609375</v>
      </c>
      <c r="N16">
        <v>2396.136474609375</v>
      </c>
      <c r="O16">
        <v>0</v>
      </c>
      <c r="P16">
        <v>0</v>
      </c>
    </row>
    <row r="17" spans="10:16" x14ac:dyDescent="0.25">
      <c r="J17" t="s">
        <v>34</v>
      </c>
      <c r="K17">
        <v>765.6700439453125</v>
      </c>
      <c r="L17">
        <v>765.6700439453125</v>
      </c>
      <c r="M17">
        <v>5742.525390625</v>
      </c>
      <c r="N17">
        <v>4785.4375</v>
      </c>
      <c r="O17">
        <v>0</v>
      </c>
      <c r="P17">
        <v>0.95708751678466797</v>
      </c>
    </row>
    <row r="18" spans="10:16" x14ac:dyDescent="0.25">
      <c r="J18" t="s">
        <v>35</v>
      </c>
      <c r="K18">
        <v>719.57830810546875</v>
      </c>
      <c r="L18">
        <v>959.437744140625</v>
      </c>
      <c r="M18">
        <v>7675.501953125</v>
      </c>
      <c r="N18">
        <v>9594.3779296875</v>
      </c>
      <c r="O18">
        <v>0</v>
      </c>
      <c r="P18">
        <v>0</v>
      </c>
    </row>
    <row r="19" spans="10:16" x14ac:dyDescent="0.25">
      <c r="J19" t="s">
        <v>4</v>
      </c>
      <c r="K19">
        <v>575.05401611328125</v>
      </c>
      <c r="L19">
        <v>575.05401611328125</v>
      </c>
      <c r="M19">
        <v>4348.36669921875</v>
      </c>
      <c r="N19">
        <v>2875.27001953125</v>
      </c>
      <c r="O19">
        <v>0</v>
      </c>
      <c r="P19">
        <v>0</v>
      </c>
    </row>
    <row r="20" spans="10:16" x14ac:dyDescent="0.25">
      <c r="J20" t="s">
        <v>5</v>
      </c>
      <c r="K20">
        <v>1043.8099365234375</v>
      </c>
      <c r="L20">
        <v>1138.7017822265625</v>
      </c>
      <c r="M20">
        <v>4744.5908203125</v>
      </c>
      <c r="N20">
        <v>5219.0498046875</v>
      </c>
      <c r="O20">
        <v>0.94891810417175293</v>
      </c>
      <c r="P20">
        <v>0.94891810417175293</v>
      </c>
    </row>
    <row r="21" spans="10:16" ht="13.5" customHeight="1" x14ac:dyDescent="0.25">
      <c r="J21" t="s">
        <v>6</v>
      </c>
      <c r="K21">
        <v>758.43359375</v>
      </c>
      <c r="L21">
        <v>568.8251953125</v>
      </c>
      <c r="M21">
        <v>10428.4619140625</v>
      </c>
      <c r="N21">
        <v>9480.419921875</v>
      </c>
      <c r="O21">
        <v>0.94804197549819946</v>
      </c>
      <c r="P21">
        <v>0.94804197549819946</v>
      </c>
    </row>
    <row r="22" spans="10:16" x14ac:dyDescent="0.25">
      <c r="J22" t="s">
        <v>7</v>
      </c>
      <c r="K22">
        <v>473.880126953125</v>
      </c>
      <c r="L22">
        <v>473.880126953125</v>
      </c>
      <c r="M22">
        <v>3791.041015625</v>
      </c>
      <c r="N22">
        <v>3791.041015625</v>
      </c>
      <c r="O22">
        <v>0</v>
      </c>
      <c r="P22">
        <v>0</v>
      </c>
    </row>
    <row r="23" spans="10:16" x14ac:dyDescent="0.25">
      <c r="J23" t="s">
        <v>8</v>
      </c>
      <c r="K23">
        <v>945.8997802734375</v>
      </c>
      <c r="L23">
        <v>567.53985595703125</v>
      </c>
      <c r="M23">
        <v>3523.4765625</v>
      </c>
      <c r="N23">
        <v>2837.69921875</v>
      </c>
      <c r="O23">
        <v>0</v>
      </c>
      <c r="P23">
        <v>0</v>
      </c>
    </row>
    <row r="24" spans="10:16" x14ac:dyDescent="0.25">
      <c r="J24" t="s">
        <v>9</v>
      </c>
      <c r="K24">
        <v>1904.1343994140625</v>
      </c>
      <c r="L24">
        <v>2856.20166015625</v>
      </c>
      <c r="M24">
        <v>6664.47021484375</v>
      </c>
      <c r="N24">
        <v>7616.53759765625</v>
      </c>
      <c r="O24">
        <v>28.562015533447266</v>
      </c>
      <c r="P24">
        <v>43.795089721679688</v>
      </c>
    </row>
    <row r="25" spans="10:16" x14ac:dyDescent="0.25">
      <c r="J25" t="s">
        <v>10</v>
      </c>
      <c r="K25">
        <v>1885.94970703125</v>
      </c>
      <c r="L25">
        <v>1414.4622802734375</v>
      </c>
      <c r="M25">
        <v>12850.861328125</v>
      </c>
      <c r="N25">
        <v>9429.748046875</v>
      </c>
      <c r="O25">
        <v>135.78837585449219</v>
      </c>
      <c r="P25">
        <v>94.2974853515625</v>
      </c>
    </row>
    <row r="26" spans="10:16" x14ac:dyDescent="0.25">
      <c r="J26" t="s">
        <v>11</v>
      </c>
      <c r="K26">
        <v>942.9698486328125</v>
      </c>
      <c r="L26">
        <v>565.78192138671875</v>
      </c>
      <c r="M26">
        <v>7543.7587890625</v>
      </c>
      <c r="N26">
        <v>4714.84912109375</v>
      </c>
      <c r="O26">
        <v>0</v>
      </c>
      <c r="P26">
        <v>0</v>
      </c>
    </row>
    <row r="27" spans="10:16" x14ac:dyDescent="0.25">
      <c r="J27" t="s">
        <v>12</v>
      </c>
      <c r="K27">
        <v>794.33551025390625</v>
      </c>
      <c r="L27">
        <v>560.7073974609375</v>
      </c>
      <c r="M27">
        <v>6074.330078125</v>
      </c>
      <c r="N27">
        <v>4672.5615234375</v>
      </c>
      <c r="O27">
        <v>0</v>
      </c>
      <c r="P27">
        <v>0</v>
      </c>
    </row>
    <row r="28" spans="10:16" x14ac:dyDescent="0.25">
      <c r="J28" t="s">
        <v>13</v>
      </c>
      <c r="K28">
        <v>3656.00634765625</v>
      </c>
      <c r="L28">
        <v>4570.0078125</v>
      </c>
      <c r="M28">
        <v>18280.03125</v>
      </c>
      <c r="N28">
        <v>18280.03125</v>
      </c>
      <c r="O28">
        <v>45.700080871582031</v>
      </c>
      <c r="P28">
        <v>8.2260141372680664</v>
      </c>
    </row>
    <row r="29" spans="10:16" x14ac:dyDescent="0.25">
      <c r="J29" t="s">
        <v>14</v>
      </c>
      <c r="K29">
        <v>2703.57861328125</v>
      </c>
      <c r="L29">
        <v>3604.771484375</v>
      </c>
      <c r="M29">
        <v>9011.9287109375</v>
      </c>
      <c r="N29">
        <v>9011.9287109375</v>
      </c>
      <c r="O29">
        <v>51.367996215820313</v>
      </c>
      <c r="P29">
        <v>180.23857116699219</v>
      </c>
    </row>
    <row r="30" spans="10:16" x14ac:dyDescent="0.25">
      <c r="J30" t="s">
        <v>15</v>
      </c>
      <c r="K30">
        <v>2223.970458984375</v>
      </c>
      <c r="L30">
        <v>1601.2586669921875</v>
      </c>
      <c r="M30">
        <v>10675.0576171875</v>
      </c>
      <c r="N30">
        <v>8895.8818359375</v>
      </c>
      <c r="O30">
        <v>88.958816528320313</v>
      </c>
      <c r="P30">
        <v>177.91763305664063</v>
      </c>
    </row>
    <row r="31" spans="10:16" x14ac:dyDescent="0.25">
      <c r="J31" t="s">
        <v>16</v>
      </c>
      <c r="K31">
        <v>871.11151123046875</v>
      </c>
      <c r="L31">
        <v>1306.667236328125</v>
      </c>
      <c r="M31">
        <v>5226.6689453125</v>
      </c>
      <c r="N31">
        <v>8711.115234375</v>
      </c>
      <c r="O31">
        <v>0</v>
      </c>
      <c r="P31">
        <v>0</v>
      </c>
    </row>
    <row r="32" spans="10:16" x14ac:dyDescent="0.25">
      <c r="J32" t="s">
        <v>17</v>
      </c>
      <c r="K32">
        <v>1270.970947265625</v>
      </c>
      <c r="L32">
        <v>1270.970947265625</v>
      </c>
      <c r="M32">
        <v>8473.1396484375</v>
      </c>
      <c r="N32">
        <v>8473.1396484375</v>
      </c>
      <c r="O32">
        <v>0</v>
      </c>
      <c r="P32">
        <v>0</v>
      </c>
    </row>
    <row r="33" spans="10:16" x14ac:dyDescent="0.25">
      <c r="J33" t="s">
        <v>18</v>
      </c>
      <c r="K33">
        <v>745.86151123046875</v>
      </c>
      <c r="L33">
        <v>745.86151123046875</v>
      </c>
      <c r="M33">
        <v>2514.139892578125</v>
      </c>
      <c r="N33">
        <v>2178.921142578125</v>
      </c>
      <c r="O33">
        <v>20.113119125366211</v>
      </c>
      <c r="P33">
        <v>33.521865844726563</v>
      </c>
    </row>
    <row r="34" spans="10:16" x14ac:dyDescent="0.25">
      <c r="J34" t="s">
        <v>19</v>
      </c>
      <c r="K34">
        <v>836.59320068359375</v>
      </c>
      <c r="L34">
        <v>836.59320068359375</v>
      </c>
      <c r="M34">
        <v>7529.3388671875</v>
      </c>
      <c r="N34">
        <v>6692.74560546875</v>
      </c>
      <c r="O34">
        <v>16.731864929199219</v>
      </c>
      <c r="P34">
        <v>83.659324645996094</v>
      </c>
    </row>
    <row r="40" spans="10:16" ht="13.2" customHeight="1" x14ac:dyDescent="0.25"/>
    <row r="46" spans="10:16" ht="13.2" customHeight="1" x14ac:dyDescent="0.25"/>
    <row r="50" spans="1:14" x14ac:dyDescent="0.25">
      <c r="A50" s="6"/>
      <c r="B50" s="6"/>
      <c r="C50" s="6"/>
      <c r="D50" s="6"/>
      <c r="E50" s="6"/>
      <c r="F50" s="6"/>
      <c r="G50" s="6"/>
      <c r="H50" s="6"/>
      <c r="K50" s="155"/>
      <c r="L50" s="155"/>
      <c r="M50" s="155"/>
      <c r="N50" s="155"/>
    </row>
    <row r="51" spans="1:14" x14ac:dyDescent="0.25">
      <c r="A51" s="6"/>
      <c r="B51" s="6"/>
      <c r="C51" s="6"/>
      <c r="D51" s="6"/>
      <c r="E51" s="6"/>
      <c r="F51" s="6"/>
      <c r="G51" s="6"/>
      <c r="H51" s="6"/>
    </row>
    <row r="59" spans="1:14" ht="12.75" customHeight="1" x14ac:dyDescent="0.25">
      <c r="A59" s="156" t="s">
        <v>351</v>
      </c>
      <c r="B59" s="156"/>
      <c r="C59" s="156"/>
      <c r="D59" s="156"/>
      <c r="E59" s="156"/>
      <c r="F59" s="156"/>
      <c r="G59" s="156"/>
      <c r="H59" s="156"/>
    </row>
    <row r="60" spans="1:14" x14ac:dyDescent="0.25">
      <c r="A60" s="156"/>
      <c r="B60" s="156"/>
      <c r="C60" s="156"/>
      <c r="D60" s="156"/>
      <c r="E60" s="156"/>
      <c r="F60" s="156"/>
      <c r="G60" s="156"/>
      <c r="H60" s="156"/>
    </row>
    <row r="61" spans="1:14" x14ac:dyDescent="0.25">
      <c r="A61" s="156"/>
      <c r="B61" s="156"/>
      <c r="C61" s="156"/>
      <c r="D61" s="156"/>
      <c r="E61" s="156"/>
      <c r="F61" s="156"/>
      <c r="G61" s="156"/>
      <c r="H61" s="156"/>
    </row>
    <row r="62" spans="1:14" x14ac:dyDescent="0.25">
      <c r="A62" s="156"/>
      <c r="B62" s="156"/>
      <c r="C62" s="156"/>
      <c r="D62" s="156"/>
      <c r="E62" s="156"/>
      <c r="F62" s="156"/>
      <c r="G62" s="156"/>
      <c r="H62" s="156"/>
    </row>
    <row r="63" spans="1:14" x14ac:dyDescent="0.25">
      <c r="A63" s="156"/>
      <c r="B63" s="156"/>
      <c r="C63" s="156"/>
      <c r="D63" s="156"/>
      <c r="E63" s="156"/>
      <c r="F63" s="156"/>
      <c r="G63" s="156"/>
      <c r="H63" s="156"/>
    </row>
    <row r="64" spans="1:14" x14ac:dyDescent="0.25">
      <c r="A64" s="156"/>
      <c r="B64" s="156"/>
      <c r="C64" s="156"/>
      <c r="D64" s="156"/>
      <c r="E64" s="156"/>
      <c r="F64" s="156"/>
      <c r="G64" s="156"/>
      <c r="H64" s="156"/>
    </row>
    <row r="65" spans="1:8" x14ac:dyDescent="0.25">
      <c r="A65" s="156"/>
      <c r="B65" s="156"/>
      <c r="C65" s="156"/>
      <c r="D65" s="156"/>
      <c r="E65" s="156"/>
      <c r="F65" s="156"/>
      <c r="G65" s="156"/>
      <c r="H65" s="156"/>
    </row>
    <row r="66" spans="1:8" x14ac:dyDescent="0.25">
      <c r="A66" s="156"/>
      <c r="B66" s="156"/>
      <c r="C66" s="156"/>
      <c r="D66" s="156"/>
      <c r="E66" s="156"/>
      <c r="F66" s="156"/>
      <c r="G66" s="156"/>
      <c r="H66" s="156"/>
    </row>
    <row r="67" spans="1:8" x14ac:dyDescent="0.25">
      <c r="A67" s="156"/>
      <c r="B67" s="156"/>
      <c r="C67" s="156"/>
      <c r="D67" s="156"/>
      <c r="E67" s="156"/>
      <c r="F67" s="156"/>
      <c r="G67" s="156"/>
      <c r="H67" s="156"/>
    </row>
    <row r="68" spans="1:8" x14ac:dyDescent="0.25">
      <c r="A68" s="129"/>
      <c r="B68" s="129"/>
      <c r="C68" s="129"/>
      <c r="D68" s="129"/>
      <c r="E68" s="129"/>
      <c r="F68" s="129"/>
      <c r="G68" s="129"/>
      <c r="H68" s="129"/>
    </row>
  </sheetData>
  <mergeCells count="6">
    <mergeCell ref="O1:P1"/>
    <mergeCell ref="A59:H67"/>
    <mergeCell ref="K1:L1"/>
    <mergeCell ref="M1:N1"/>
    <mergeCell ref="K50:L50"/>
    <mergeCell ref="M50:N50"/>
  </mergeCells>
  <printOptions horizontalCentered="1"/>
  <pageMargins left="0.7" right="0.7" top="0.75" bottom="0.75" header="0.3" footer="0.3"/>
  <pageSetup scale="8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59"/>
  <sheetViews>
    <sheetView zoomScale="85" zoomScaleNormal="85" zoomScaleSheetLayoutView="85" workbookViewId="0">
      <selection activeCell="H1" sqref="H1"/>
    </sheetView>
  </sheetViews>
  <sheetFormatPr defaultRowHeight="13.2" x14ac:dyDescent="0.25"/>
  <cols>
    <col min="7" max="7" width="9" customWidth="1"/>
  </cols>
  <sheetData>
    <row r="1" spans="9:18" x14ac:dyDescent="0.25">
      <c r="J1" t="s">
        <v>166</v>
      </c>
      <c r="M1" t="s">
        <v>165</v>
      </c>
      <c r="R1" s="5"/>
    </row>
    <row r="2" spans="9:18" x14ac:dyDescent="0.25">
      <c r="I2" t="s">
        <v>3</v>
      </c>
      <c r="J2" t="s">
        <v>162</v>
      </c>
      <c r="K2" t="s">
        <v>164</v>
      </c>
      <c r="L2" t="s">
        <v>163</v>
      </c>
      <c r="M2" t="s">
        <v>162</v>
      </c>
      <c r="N2" t="s">
        <v>164</v>
      </c>
      <c r="O2" t="s">
        <v>163</v>
      </c>
    </row>
    <row r="3" spans="9:18" x14ac:dyDescent="0.25">
      <c r="I3" t="s">
        <v>20</v>
      </c>
      <c r="J3">
        <v>0.18822064995765686</v>
      </c>
      <c r="K3">
        <v>0.71648406982421875</v>
      </c>
      <c r="L3">
        <v>9.529530256986618E-2</v>
      </c>
      <c r="M3">
        <v>0.170154869556427</v>
      </c>
      <c r="N3">
        <v>0.71602153778076172</v>
      </c>
      <c r="O3">
        <v>0.11382359266281128</v>
      </c>
    </row>
    <row r="4" spans="9:18" x14ac:dyDescent="0.25">
      <c r="I4" t="s">
        <v>21</v>
      </c>
      <c r="J4">
        <v>0.22185024619102478</v>
      </c>
      <c r="K4">
        <v>0.65906912088394165</v>
      </c>
      <c r="L4">
        <v>0.11908061057329178</v>
      </c>
      <c r="M4">
        <v>0.23448120057582855</v>
      </c>
      <c r="N4">
        <v>0.64930516481399536</v>
      </c>
      <c r="O4">
        <v>0.1162135973572731</v>
      </c>
    </row>
    <row r="5" spans="9:18" x14ac:dyDescent="0.25">
      <c r="I5" t="s">
        <v>22</v>
      </c>
      <c r="J5">
        <v>0.24275636672973633</v>
      </c>
      <c r="K5">
        <v>0.64223229885101318</v>
      </c>
      <c r="L5">
        <v>0.11501135677099228</v>
      </c>
      <c r="M5">
        <v>0.2481183260679245</v>
      </c>
      <c r="N5">
        <v>0.62799680233001709</v>
      </c>
      <c r="O5">
        <v>0.12388487905263901</v>
      </c>
    </row>
    <row r="6" spans="9:18" x14ac:dyDescent="0.25">
      <c r="I6" t="s">
        <v>23</v>
      </c>
      <c r="J6">
        <v>0.28279763460159302</v>
      </c>
      <c r="K6">
        <v>0.61345064640045166</v>
      </c>
      <c r="L6">
        <v>0.10375169664621353</v>
      </c>
      <c r="M6">
        <v>0.29785159230232239</v>
      </c>
      <c r="N6">
        <v>0.60031604766845703</v>
      </c>
      <c r="O6">
        <v>0.10183233022689819</v>
      </c>
    </row>
    <row r="7" spans="9:18" x14ac:dyDescent="0.25">
      <c r="I7" t="s">
        <v>24</v>
      </c>
      <c r="J7">
        <v>0.21498940885066986</v>
      </c>
      <c r="K7">
        <v>0.68049460649490356</v>
      </c>
      <c r="L7">
        <v>0.10451596975326538</v>
      </c>
      <c r="M7">
        <v>0.19989971816539764</v>
      </c>
      <c r="N7">
        <v>0.73019373416900635</v>
      </c>
      <c r="O7">
        <v>6.9906517863273621E-2</v>
      </c>
    </row>
    <row r="8" spans="9:18" x14ac:dyDescent="0.25">
      <c r="I8" t="s">
        <v>25</v>
      </c>
      <c r="J8">
        <v>0.19698978960514069</v>
      </c>
      <c r="K8">
        <v>0.69058972597122192</v>
      </c>
      <c r="L8">
        <v>0.112420454621315</v>
      </c>
      <c r="M8">
        <v>0.20173242688179016</v>
      </c>
      <c r="N8">
        <v>0.68333142995834351</v>
      </c>
      <c r="O8">
        <v>0.11493612080812454</v>
      </c>
    </row>
    <row r="9" spans="9:18" x14ac:dyDescent="0.25">
      <c r="I9" t="s">
        <v>26</v>
      </c>
      <c r="J9">
        <v>0.20418387651443481</v>
      </c>
      <c r="K9">
        <v>0.69949907064437866</v>
      </c>
      <c r="L9">
        <v>9.6317052841186523E-2</v>
      </c>
      <c r="M9">
        <v>0.20718373358249664</v>
      </c>
      <c r="N9">
        <v>0.70197182893753052</v>
      </c>
      <c r="O9">
        <v>9.0844422578811646E-2</v>
      </c>
    </row>
    <row r="10" spans="9:18" x14ac:dyDescent="0.25">
      <c r="I10" t="s">
        <v>27</v>
      </c>
      <c r="J10">
        <v>0.19803367555141449</v>
      </c>
      <c r="K10">
        <v>0.66150414943695068</v>
      </c>
      <c r="L10">
        <v>0.14046220481395721</v>
      </c>
      <c r="M10">
        <v>0.17087966203689575</v>
      </c>
      <c r="N10">
        <v>0.66090118885040283</v>
      </c>
      <c r="O10">
        <v>0.16821913421154022</v>
      </c>
    </row>
    <row r="11" spans="9:18" x14ac:dyDescent="0.25">
      <c r="I11" t="s">
        <v>28</v>
      </c>
      <c r="J11">
        <v>0.24040476977825165</v>
      </c>
      <c r="K11">
        <v>0.63956087827682495</v>
      </c>
      <c r="L11">
        <v>0.12003433704376221</v>
      </c>
      <c r="M11">
        <v>0.24630078673362732</v>
      </c>
      <c r="N11">
        <v>0.61993670463562012</v>
      </c>
      <c r="O11">
        <v>0.13376249372959137</v>
      </c>
    </row>
    <row r="12" spans="9:18" x14ac:dyDescent="0.25">
      <c r="I12" t="s">
        <v>29</v>
      </c>
      <c r="J12">
        <v>0.17652799189090729</v>
      </c>
      <c r="K12">
        <v>0.74196946620941162</v>
      </c>
      <c r="L12">
        <v>8.1502534449100494E-2</v>
      </c>
      <c r="M12">
        <v>0.19668681919574738</v>
      </c>
      <c r="N12">
        <v>0.71765100955963135</v>
      </c>
      <c r="O12">
        <v>8.5662178695201874E-2</v>
      </c>
    </row>
    <row r="13" spans="9:18" x14ac:dyDescent="0.25">
      <c r="I13" t="s">
        <v>30</v>
      </c>
      <c r="J13">
        <v>0.19755537807941437</v>
      </c>
      <c r="K13">
        <v>0.71226722002029419</v>
      </c>
      <c r="L13">
        <v>9.017740935087204E-2</v>
      </c>
      <c r="M13">
        <v>0.1973579078912735</v>
      </c>
      <c r="N13">
        <v>0.71447426080703735</v>
      </c>
      <c r="O13">
        <v>8.8167831301689148E-2</v>
      </c>
    </row>
    <row r="14" spans="9:18" x14ac:dyDescent="0.25">
      <c r="I14" t="s">
        <v>31</v>
      </c>
      <c r="J14">
        <v>0.20658794045448303</v>
      </c>
      <c r="K14">
        <v>0.71790212392807007</v>
      </c>
      <c r="L14">
        <v>7.550995796918869E-2</v>
      </c>
      <c r="M14">
        <v>0.22874696552753448</v>
      </c>
      <c r="N14">
        <v>0.7076566219329834</v>
      </c>
      <c r="O14">
        <v>6.3596412539482117E-2</v>
      </c>
    </row>
    <row r="15" spans="9:18" x14ac:dyDescent="0.25">
      <c r="I15" t="s">
        <v>32</v>
      </c>
      <c r="J15">
        <v>0.13717219233512878</v>
      </c>
      <c r="K15">
        <v>0.7800031304359436</v>
      </c>
      <c r="L15">
        <v>8.282470703125E-2</v>
      </c>
      <c r="M15">
        <v>0.10734838247299194</v>
      </c>
      <c r="N15">
        <v>0.80089133977890015</v>
      </c>
      <c r="O15">
        <v>9.1760247945785522E-2</v>
      </c>
    </row>
    <row r="16" spans="9:18" x14ac:dyDescent="0.25">
      <c r="I16" t="s">
        <v>33</v>
      </c>
      <c r="J16">
        <v>0.16095483303070068</v>
      </c>
      <c r="K16">
        <v>0.75757855176925659</v>
      </c>
      <c r="L16">
        <v>8.1466637551784515E-2</v>
      </c>
      <c r="M16">
        <v>0.15538878738880157</v>
      </c>
      <c r="N16">
        <v>0.75806230306625366</v>
      </c>
      <c r="O16">
        <v>8.6548909544944763E-2</v>
      </c>
    </row>
    <row r="17" spans="9:15" x14ac:dyDescent="0.25">
      <c r="I17" t="s">
        <v>34</v>
      </c>
      <c r="J17">
        <v>0.166224405169487</v>
      </c>
      <c r="K17">
        <v>0.72611021995544434</v>
      </c>
      <c r="L17">
        <v>0.10766535997390747</v>
      </c>
      <c r="M17">
        <v>0.1775083988904953</v>
      </c>
      <c r="N17">
        <v>0.69535678625106812</v>
      </c>
      <c r="O17">
        <v>0.12713481485843658</v>
      </c>
    </row>
    <row r="18" spans="9:15" x14ac:dyDescent="0.25">
      <c r="I18" t="s">
        <v>35</v>
      </c>
      <c r="J18">
        <v>0.19637550413608551</v>
      </c>
      <c r="K18">
        <v>0.73215150833129883</v>
      </c>
      <c r="L18">
        <v>7.1472994983196259E-2</v>
      </c>
      <c r="M18">
        <v>0.19818484783172607</v>
      </c>
      <c r="N18">
        <v>0.73679912090301514</v>
      </c>
      <c r="O18">
        <v>6.5016061067581177E-2</v>
      </c>
    </row>
    <row r="19" spans="9:15" x14ac:dyDescent="0.25">
      <c r="I19" t="s">
        <v>4</v>
      </c>
      <c r="J19">
        <v>0.22391593456268311</v>
      </c>
      <c r="K19">
        <v>0.72174298763275146</v>
      </c>
      <c r="L19">
        <v>5.4341055452823639E-2</v>
      </c>
      <c r="M19">
        <v>0.25965780019760132</v>
      </c>
      <c r="N19">
        <v>0.70457583665847778</v>
      </c>
      <c r="O19">
        <v>3.5766340792179108E-2</v>
      </c>
    </row>
    <row r="20" spans="9:15" x14ac:dyDescent="0.25">
      <c r="I20" t="s">
        <v>5</v>
      </c>
      <c r="J20">
        <v>0.16286249458789825</v>
      </c>
      <c r="K20">
        <v>0.73701894283294678</v>
      </c>
      <c r="L20">
        <v>0.10011857002973557</v>
      </c>
      <c r="M20">
        <v>0.13795401155948639</v>
      </c>
      <c r="N20">
        <v>0.7586284875869751</v>
      </c>
      <c r="O20">
        <v>0.10341750830411911</v>
      </c>
    </row>
    <row r="21" spans="9:15" ht="12.75" customHeight="1" x14ac:dyDescent="0.25">
      <c r="I21" t="s">
        <v>6</v>
      </c>
      <c r="J21">
        <v>0.22885881364345551</v>
      </c>
      <c r="K21">
        <v>0.68151950836181641</v>
      </c>
      <c r="L21">
        <v>8.9621670544147491E-2</v>
      </c>
      <c r="M21">
        <v>0.25572767853736877</v>
      </c>
      <c r="N21">
        <v>0.66402870416641235</v>
      </c>
      <c r="O21">
        <v>8.0243602395057678E-2</v>
      </c>
    </row>
    <row r="22" spans="9:15" x14ac:dyDescent="0.25">
      <c r="I22" t="s">
        <v>7</v>
      </c>
      <c r="J22">
        <v>0.15658281743526459</v>
      </c>
      <c r="K22">
        <v>0.71767884492874146</v>
      </c>
      <c r="L22">
        <v>0.12573835253715515</v>
      </c>
      <c r="M22">
        <v>0.15692466497421265</v>
      </c>
      <c r="N22">
        <v>0.70323145389556885</v>
      </c>
      <c r="O22">
        <v>0.13984388113021851</v>
      </c>
    </row>
    <row r="23" spans="9:15" x14ac:dyDescent="0.25">
      <c r="I23" t="s">
        <v>8</v>
      </c>
      <c r="J23">
        <v>0.15158629417419434</v>
      </c>
      <c r="K23">
        <v>0.79826903343200684</v>
      </c>
      <c r="L23">
        <v>5.0144683569669724E-2</v>
      </c>
      <c r="M23">
        <v>0.14510741829872131</v>
      </c>
      <c r="N23">
        <v>0.80670040845870972</v>
      </c>
      <c r="O23">
        <v>4.8192143440246582E-2</v>
      </c>
    </row>
    <row r="24" spans="9:15" x14ac:dyDescent="0.25">
      <c r="I24" t="s">
        <v>9</v>
      </c>
      <c r="J24">
        <v>0.28145214915275574</v>
      </c>
      <c r="K24">
        <v>0.63409394025802612</v>
      </c>
      <c r="L24">
        <v>8.4453940391540527E-2</v>
      </c>
      <c r="M24">
        <v>0.31016501784324646</v>
      </c>
      <c r="N24">
        <v>0.61840653419494629</v>
      </c>
      <c r="O24">
        <v>7.1428418159484863E-2</v>
      </c>
    </row>
    <row r="25" spans="9:15" x14ac:dyDescent="0.25">
      <c r="I25" t="s">
        <v>10</v>
      </c>
      <c r="J25">
        <v>0.23222790658473969</v>
      </c>
      <c r="K25">
        <v>0.66122251749038696</v>
      </c>
      <c r="L25">
        <v>0.10654954612255096</v>
      </c>
      <c r="M25">
        <v>0.21272753179073334</v>
      </c>
      <c r="N25">
        <v>0.67805218696594238</v>
      </c>
      <c r="O25">
        <v>0.10922028124332428</v>
      </c>
    </row>
    <row r="26" spans="9:15" x14ac:dyDescent="0.25">
      <c r="I26" t="s">
        <v>11</v>
      </c>
      <c r="J26">
        <v>0.20582552254199982</v>
      </c>
      <c r="K26">
        <v>0.68506205081939697</v>
      </c>
      <c r="L26">
        <v>0.1091124415397644</v>
      </c>
      <c r="M26">
        <v>0.1679442822933197</v>
      </c>
      <c r="N26">
        <v>0.72612255811691284</v>
      </c>
      <c r="O26">
        <v>0.10593317449092865</v>
      </c>
    </row>
    <row r="27" spans="9:15" x14ac:dyDescent="0.25">
      <c r="I27" t="s">
        <v>12</v>
      </c>
      <c r="J27">
        <v>0.20530834794044495</v>
      </c>
      <c r="K27">
        <v>0.68964064121246338</v>
      </c>
      <c r="L27">
        <v>0.10505100339651108</v>
      </c>
      <c r="M27">
        <v>0.15838631987571716</v>
      </c>
      <c r="N27">
        <v>0.71988236904144287</v>
      </c>
      <c r="O27">
        <v>0.12173133343458176</v>
      </c>
    </row>
    <row r="28" spans="9:15" x14ac:dyDescent="0.25">
      <c r="I28" t="s">
        <v>13</v>
      </c>
      <c r="J28">
        <v>0.33254113793373108</v>
      </c>
      <c r="K28">
        <v>0.58902835845947266</v>
      </c>
      <c r="L28">
        <v>7.8430503606796265E-2</v>
      </c>
      <c r="M28">
        <v>0.34144559502601624</v>
      </c>
      <c r="N28">
        <v>0.60160928964614868</v>
      </c>
      <c r="O28">
        <v>5.6945133954286575E-2</v>
      </c>
    </row>
    <row r="29" spans="9:15" x14ac:dyDescent="0.25">
      <c r="I29" t="s">
        <v>14</v>
      </c>
      <c r="J29">
        <v>0.21190206706523895</v>
      </c>
      <c r="K29">
        <v>0.66206187009811401</v>
      </c>
      <c r="L29">
        <v>0.12603604793548584</v>
      </c>
      <c r="M29">
        <v>0.22191137075424194</v>
      </c>
      <c r="N29">
        <v>0.65578782558441162</v>
      </c>
      <c r="O29">
        <v>0.12230083346366882</v>
      </c>
    </row>
    <row r="30" spans="9:15" x14ac:dyDescent="0.25">
      <c r="I30" t="s">
        <v>15</v>
      </c>
      <c r="J30">
        <v>0.2507234513759613</v>
      </c>
      <c r="K30">
        <v>0.65686875581741333</v>
      </c>
      <c r="L30">
        <v>9.2407792806625366E-2</v>
      </c>
      <c r="M30">
        <v>0.23153607547283173</v>
      </c>
      <c r="N30">
        <v>0.65945196151733398</v>
      </c>
      <c r="O30">
        <v>0.10901197046041489</v>
      </c>
    </row>
    <row r="31" spans="9:15" x14ac:dyDescent="0.25">
      <c r="I31" t="s">
        <v>16</v>
      </c>
      <c r="J31">
        <v>0.14710892736911774</v>
      </c>
      <c r="K31">
        <v>0.76403212547302246</v>
      </c>
      <c r="L31">
        <v>8.8858947157859802E-2</v>
      </c>
      <c r="M31">
        <v>0.15319734811782837</v>
      </c>
      <c r="N31">
        <v>0.76161342859268188</v>
      </c>
      <c r="O31">
        <v>8.518923819065094E-2</v>
      </c>
    </row>
    <row r="32" spans="9:15" x14ac:dyDescent="0.25">
      <c r="I32" t="s">
        <v>17</v>
      </c>
      <c r="J32">
        <v>0.16354392468929291</v>
      </c>
      <c r="K32">
        <v>0.74174708127975464</v>
      </c>
      <c r="L32">
        <v>9.4708971679210663E-2</v>
      </c>
      <c r="M32">
        <v>0.1444377601146698</v>
      </c>
      <c r="N32">
        <v>0.74532133340835571</v>
      </c>
      <c r="O32">
        <v>0.11024092882871628</v>
      </c>
    </row>
    <row r="33" spans="1:15" x14ac:dyDescent="0.25">
      <c r="I33" t="s">
        <v>18</v>
      </c>
      <c r="J33">
        <v>0.18977354466915131</v>
      </c>
      <c r="K33">
        <v>0.65415674448013306</v>
      </c>
      <c r="L33">
        <v>0.15606972575187683</v>
      </c>
      <c r="M33">
        <v>0.20628407597541809</v>
      </c>
      <c r="N33">
        <v>0.61170411109924316</v>
      </c>
      <c r="O33">
        <v>0.18201181292533875</v>
      </c>
    </row>
    <row r="34" spans="1:15" x14ac:dyDescent="0.25">
      <c r="I34" t="s">
        <v>19</v>
      </c>
      <c r="J34">
        <v>0.18374873697757721</v>
      </c>
      <c r="K34">
        <v>0.64030522108078003</v>
      </c>
      <c r="L34">
        <v>0.17594604194164276</v>
      </c>
      <c r="M34">
        <v>0.20633628964424133</v>
      </c>
      <c r="N34">
        <v>0.58326661586761475</v>
      </c>
      <c r="O34">
        <v>0.21039709448814392</v>
      </c>
    </row>
    <row r="35" spans="1:15" x14ac:dyDescent="0.25">
      <c r="J35">
        <v>0.1515878289937973</v>
      </c>
      <c r="K35">
        <v>0.71857398748397827</v>
      </c>
      <c r="L35">
        <v>0.12983818352222443</v>
      </c>
      <c r="M35">
        <v>0.16039629280567169</v>
      </c>
      <c r="N35">
        <v>0.71938329935073853</v>
      </c>
      <c r="O35">
        <v>0.12022042274475098</v>
      </c>
    </row>
    <row r="40" spans="1:15" ht="8.85" customHeight="1" x14ac:dyDescent="0.25">
      <c r="A40" s="152" t="s">
        <v>297</v>
      </c>
      <c r="B40" s="154"/>
      <c r="C40" s="154"/>
      <c r="D40" s="154"/>
      <c r="E40" s="154"/>
      <c r="F40" s="154"/>
      <c r="G40" s="154"/>
      <c r="H40" s="154"/>
    </row>
    <row r="41" spans="1:15" ht="8.85" customHeight="1" x14ac:dyDescent="0.25">
      <c r="A41" s="154"/>
      <c r="B41" s="154"/>
      <c r="C41" s="154"/>
      <c r="D41" s="154"/>
      <c r="E41" s="154"/>
      <c r="F41" s="154"/>
      <c r="G41" s="154"/>
      <c r="H41" s="154"/>
    </row>
    <row r="42" spans="1:15" ht="8.85" customHeight="1" x14ac:dyDescent="0.25">
      <c r="A42" s="154"/>
      <c r="B42" s="154"/>
      <c r="C42" s="154"/>
      <c r="D42" s="154"/>
      <c r="E42" s="154"/>
      <c r="F42" s="154"/>
      <c r="G42" s="154"/>
      <c r="H42" s="154"/>
    </row>
    <row r="43" spans="1:15" ht="8.85" customHeight="1" x14ac:dyDescent="0.25">
      <c r="A43" s="154"/>
      <c r="B43" s="154"/>
      <c r="C43" s="154"/>
      <c r="D43" s="154"/>
      <c r="E43" s="154"/>
      <c r="F43" s="154"/>
      <c r="G43" s="154"/>
      <c r="H43" s="154"/>
    </row>
    <row r="44" spans="1:15" ht="8.85" customHeight="1" x14ac:dyDescent="0.25">
      <c r="A44" s="154"/>
      <c r="B44" s="154"/>
      <c r="C44" s="154"/>
      <c r="D44" s="154"/>
      <c r="E44" s="154"/>
      <c r="F44" s="154"/>
      <c r="G44" s="154"/>
      <c r="H44" s="154"/>
    </row>
    <row r="45" spans="1:15" ht="8.85" customHeight="1" x14ac:dyDescent="0.25">
      <c r="A45" s="154"/>
      <c r="B45" s="154"/>
      <c r="C45" s="154"/>
      <c r="D45" s="154"/>
      <c r="E45" s="154"/>
      <c r="F45" s="154"/>
      <c r="G45" s="154"/>
      <c r="H45" s="154"/>
    </row>
    <row r="46" spans="1:15" x14ac:dyDescent="0.25">
      <c r="A46" s="154"/>
      <c r="B46" s="154"/>
      <c r="C46" s="154"/>
      <c r="D46" s="154"/>
      <c r="E46" s="154"/>
      <c r="F46" s="154"/>
      <c r="G46" s="154"/>
      <c r="H46" s="154"/>
    </row>
    <row r="50" spans="9:15" x14ac:dyDescent="0.25">
      <c r="J50" t="s">
        <v>166</v>
      </c>
      <c r="M50" t="s">
        <v>165</v>
      </c>
    </row>
    <row r="51" spans="9:15" x14ac:dyDescent="0.25">
      <c r="I51" t="s">
        <v>37</v>
      </c>
      <c r="J51" t="s">
        <v>162</v>
      </c>
      <c r="K51" t="s">
        <v>164</v>
      </c>
      <c r="L51" t="s">
        <v>163</v>
      </c>
      <c r="M51" t="s">
        <v>162</v>
      </c>
      <c r="N51" t="s">
        <v>164</v>
      </c>
      <c r="O51" t="s">
        <v>163</v>
      </c>
    </row>
    <row r="52" spans="9:15" x14ac:dyDescent="0.25">
      <c r="I52" s="4">
        <v>2015</v>
      </c>
      <c r="J52">
        <v>0.24297797679901123</v>
      </c>
      <c r="K52">
        <v>0.64816302061080933</v>
      </c>
      <c r="L52">
        <v>0.10885900259017944</v>
      </c>
      <c r="M52">
        <v>0.25142890214920044</v>
      </c>
      <c r="N52">
        <v>0.6372559666633606</v>
      </c>
      <c r="O52">
        <v>0.11131515353918076</v>
      </c>
    </row>
    <row r="53" spans="9:15" x14ac:dyDescent="0.25">
      <c r="I53" s="4">
        <f>I52+1</f>
        <v>2016</v>
      </c>
      <c r="J53">
        <v>0.20181354880332947</v>
      </c>
      <c r="K53">
        <v>0.68715953826904297</v>
      </c>
      <c r="L53">
        <v>0.11102693527936935</v>
      </c>
      <c r="M53">
        <v>0.19630317389965057</v>
      </c>
      <c r="N53">
        <v>0.69467437267303467</v>
      </c>
      <c r="O53">
        <v>0.10902243107557297</v>
      </c>
    </row>
    <row r="54" spans="9:15" x14ac:dyDescent="0.25">
      <c r="I54" s="4">
        <f>I53+1</f>
        <v>2017</v>
      </c>
      <c r="J54">
        <v>0.20538435876369476</v>
      </c>
      <c r="K54">
        <v>0.71007305383682251</v>
      </c>
      <c r="L54">
        <v>8.4542565047740936E-2</v>
      </c>
      <c r="M54">
        <v>0.22001662850379944</v>
      </c>
      <c r="N54">
        <v>0.69686257839202881</v>
      </c>
      <c r="O54">
        <v>8.3120763301849365E-2</v>
      </c>
    </row>
    <row r="55" spans="9:15" x14ac:dyDescent="0.25">
      <c r="I55" s="4">
        <f>I54+1</f>
        <v>2018</v>
      </c>
      <c r="J55">
        <v>0.16731493175029755</v>
      </c>
      <c r="K55">
        <v>0.74837076663970947</v>
      </c>
      <c r="L55">
        <v>8.4314301609992981E-2</v>
      </c>
      <c r="M55">
        <v>0.16140824556350708</v>
      </c>
      <c r="N55">
        <v>0.74929130077362061</v>
      </c>
      <c r="O55">
        <v>8.9300438761711121E-2</v>
      </c>
    </row>
    <row r="56" spans="9:15" x14ac:dyDescent="0.25">
      <c r="I56" s="4">
        <v>2019</v>
      </c>
      <c r="J56">
        <v>0.19239217042922974</v>
      </c>
      <c r="K56">
        <v>0.7177422046661377</v>
      </c>
      <c r="L56">
        <v>8.9865632355213165E-2</v>
      </c>
      <c r="M56">
        <v>0.20355415344238281</v>
      </c>
      <c r="N56">
        <v>0.71172302961349487</v>
      </c>
      <c r="O56">
        <v>8.4722787141799927E-2</v>
      </c>
    </row>
    <row r="57" spans="9:15" x14ac:dyDescent="0.25">
      <c r="I57" s="4">
        <v>2020</v>
      </c>
      <c r="J57">
        <v>0.22645437717437744</v>
      </c>
      <c r="K57">
        <v>0.68108612298965454</v>
      </c>
      <c r="L57">
        <v>9.2459522187709808E-2</v>
      </c>
      <c r="M57">
        <v>0.21707649528980255</v>
      </c>
      <c r="N57">
        <v>0.69407331943511963</v>
      </c>
      <c r="O57">
        <v>8.885018527507782E-2</v>
      </c>
    </row>
    <row r="58" spans="9:15" x14ac:dyDescent="0.25">
      <c r="I58" s="4">
        <v>2021</v>
      </c>
      <c r="J58">
        <v>0.24622140824794769</v>
      </c>
      <c r="K58">
        <v>0.6516534686088562</v>
      </c>
      <c r="L58">
        <v>0.1021251380443573</v>
      </c>
      <c r="M58">
        <v>0.235875204205513</v>
      </c>
      <c r="N58">
        <v>0.66042113304138184</v>
      </c>
      <c r="O58">
        <v>0.10370366275310516</v>
      </c>
    </row>
    <row r="59" spans="9:15" x14ac:dyDescent="0.25">
      <c r="I59" s="4">
        <v>2022</v>
      </c>
      <c r="J59">
        <v>0.16966463625431061</v>
      </c>
      <c r="K59">
        <v>0.7112763524055481</v>
      </c>
      <c r="L59">
        <v>0.1190590038895607</v>
      </c>
      <c r="M59">
        <v>0.17362135648727417</v>
      </c>
      <c r="N59">
        <v>0.69159722328186035</v>
      </c>
      <c r="O59">
        <v>0.13478142023086548</v>
      </c>
    </row>
  </sheetData>
  <mergeCells count="1">
    <mergeCell ref="A40:H46"/>
  </mergeCells>
  <phoneticPr fontId="49" type="noConversion"/>
  <printOptions horizontalCentered="1"/>
  <pageMargins left="0.7" right="0.7" top="0.75" bottom="0.75" header="0.3" footer="0.3"/>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BEBC-75D2-454D-9AB8-90B6C856681F}">
  <sheetPr>
    <pageSetUpPr fitToPage="1"/>
  </sheetPr>
  <dimension ref="A1:R84"/>
  <sheetViews>
    <sheetView zoomScaleNormal="100" zoomScaleSheetLayoutView="70" workbookViewId="0">
      <selection activeCell="J83" sqref="J83"/>
    </sheetView>
  </sheetViews>
  <sheetFormatPr defaultRowHeight="13.2" x14ac:dyDescent="0.25"/>
  <cols>
    <col min="7" max="7" width="9" customWidth="1"/>
  </cols>
  <sheetData>
    <row r="1" spans="10:18" ht="12.75" customHeight="1" x14ac:dyDescent="0.25">
      <c r="K1" t="s">
        <v>341</v>
      </c>
      <c r="L1" t="s">
        <v>342</v>
      </c>
      <c r="M1" t="s">
        <v>343</v>
      </c>
      <c r="N1" t="s">
        <v>344</v>
      </c>
      <c r="O1" t="s">
        <v>339</v>
      </c>
      <c r="P1" t="s">
        <v>340</v>
      </c>
      <c r="Q1" t="s">
        <v>169</v>
      </c>
      <c r="R1" t="s">
        <v>170</v>
      </c>
    </row>
    <row r="2" spans="10:18" x14ac:dyDescent="0.25">
      <c r="J2" t="s">
        <v>3</v>
      </c>
      <c r="K2" t="s">
        <v>197</v>
      </c>
      <c r="L2" t="s">
        <v>196</v>
      </c>
      <c r="M2" t="s">
        <v>197</v>
      </c>
      <c r="N2" t="s">
        <v>196</v>
      </c>
      <c r="O2" t="s">
        <v>197</v>
      </c>
      <c r="P2" t="s">
        <v>196</v>
      </c>
      <c r="Q2" t="s">
        <v>197</v>
      </c>
      <c r="R2" t="s">
        <v>196</v>
      </c>
    </row>
    <row r="3" spans="10:18" x14ac:dyDescent="0.25">
      <c r="J3" t="s">
        <v>20</v>
      </c>
      <c r="K3">
        <v>0</v>
      </c>
      <c r="L3">
        <v>0</v>
      </c>
      <c r="M3">
        <v>5700</v>
      </c>
      <c r="N3">
        <v>4000</v>
      </c>
      <c r="O3">
        <v>0.24904334545135498</v>
      </c>
      <c r="P3">
        <v>0.24825111031532288</v>
      </c>
      <c r="Q3">
        <v>2500</v>
      </c>
      <c r="R3">
        <v>2500</v>
      </c>
    </row>
    <row r="4" spans="10:18" x14ac:dyDescent="0.25">
      <c r="J4" t="s">
        <v>21</v>
      </c>
      <c r="K4">
        <v>0</v>
      </c>
      <c r="L4">
        <v>0</v>
      </c>
      <c r="M4">
        <v>1979.86181640625</v>
      </c>
      <c r="N4">
        <v>2474.8271484375</v>
      </c>
      <c r="O4">
        <v>0.20685964822769165</v>
      </c>
      <c r="P4">
        <v>0.23029838502407074</v>
      </c>
      <c r="Q4">
        <v>1979.86181640625</v>
      </c>
      <c r="R4">
        <v>1979.86181640625</v>
      </c>
    </row>
    <row r="5" spans="10:18" x14ac:dyDescent="0.25">
      <c r="J5" t="s">
        <v>22</v>
      </c>
      <c r="K5">
        <v>346.2430419921875</v>
      </c>
      <c r="L5">
        <v>474.84759521484375</v>
      </c>
      <c r="M5">
        <v>3957.063232421875</v>
      </c>
      <c r="N5">
        <v>4946.3291015625</v>
      </c>
      <c r="O5">
        <v>0.28812617063522339</v>
      </c>
      <c r="P5">
        <v>0.32008528709411621</v>
      </c>
      <c r="Q5">
        <v>2077.458251953125</v>
      </c>
      <c r="R5">
        <v>2671.017578125</v>
      </c>
    </row>
    <row r="6" spans="10:18" x14ac:dyDescent="0.25">
      <c r="J6" t="s">
        <v>23</v>
      </c>
      <c r="K6">
        <v>0</v>
      </c>
      <c r="L6">
        <v>1.9914233684539795</v>
      </c>
      <c r="M6">
        <v>3982.8466796875</v>
      </c>
      <c r="N6">
        <v>4978.55859375</v>
      </c>
      <c r="O6">
        <v>0.23637744784355164</v>
      </c>
      <c r="P6">
        <v>0.25136387348175049</v>
      </c>
      <c r="Q6">
        <v>2290.136962890625</v>
      </c>
      <c r="R6">
        <v>3982.8466796875</v>
      </c>
    </row>
    <row r="7" spans="10:18" x14ac:dyDescent="0.25">
      <c r="J7" t="s">
        <v>24</v>
      </c>
      <c r="K7">
        <v>99.694297790527344</v>
      </c>
      <c r="L7">
        <v>0</v>
      </c>
      <c r="M7">
        <v>3987.771728515625</v>
      </c>
      <c r="N7">
        <v>4984.71484375</v>
      </c>
      <c r="O7">
        <v>0.25361847877502441</v>
      </c>
      <c r="P7">
        <v>0.24084204435348511</v>
      </c>
      <c r="Q7">
        <v>2492.357421875</v>
      </c>
      <c r="R7">
        <v>3987.771728515625</v>
      </c>
    </row>
    <row r="8" spans="10:18" x14ac:dyDescent="0.25">
      <c r="J8" t="s">
        <v>25</v>
      </c>
      <c r="K8">
        <v>197.46308898925781</v>
      </c>
      <c r="L8">
        <v>296.19464111328125</v>
      </c>
      <c r="M8">
        <v>3949.26171875</v>
      </c>
      <c r="N8">
        <v>6911.2080078125</v>
      </c>
      <c r="O8">
        <v>0.25857815146446228</v>
      </c>
      <c r="P8">
        <v>0.27104729413986206</v>
      </c>
      <c r="Q8">
        <v>2863.21484375</v>
      </c>
      <c r="R8">
        <v>2961.9462890625</v>
      </c>
    </row>
    <row r="9" spans="10:18" x14ac:dyDescent="0.25">
      <c r="J9" t="s">
        <v>26</v>
      </c>
      <c r="K9">
        <v>98.602859497070313</v>
      </c>
      <c r="L9">
        <v>202.1358642578125</v>
      </c>
      <c r="M9">
        <v>3411.6591796875</v>
      </c>
      <c r="N9">
        <v>4930.14306640625</v>
      </c>
      <c r="O9">
        <v>0.25575739145278931</v>
      </c>
      <c r="P9">
        <v>0.28354045748710632</v>
      </c>
      <c r="Q9">
        <v>2958.0859375</v>
      </c>
      <c r="R9">
        <v>2958.0859375</v>
      </c>
    </row>
    <row r="10" spans="10:18" x14ac:dyDescent="0.25">
      <c r="J10" t="s">
        <v>27</v>
      </c>
      <c r="K10">
        <v>197.15469360351563</v>
      </c>
      <c r="L10">
        <v>492.88674926757813</v>
      </c>
      <c r="M10">
        <v>4928.8671875</v>
      </c>
      <c r="N10">
        <v>5914.64111328125</v>
      </c>
      <c r="O10">
        <v>0.26272794604301453</v>
      </c>
      <c r="P10">
        <v>0.27989348769187927</v>
      </c>
      <c r="Q10">
        <v>2957.320556640625</v>
      </c>
      <c r="R10">
        <v>3943.093994140625</v>
      </c>
    </row>
    <row r="11" spans="10:18" x14ac:dyDescent="0.25">
      <c r="J11" t="s">
        <v>28</v>
      </c>
      <c r="K11">
        <v>392.03787231445313</v>
      </c>
      <c r="L11">
        <v>1078.1041259765625</v>
      </c>
      <c r="M11">
        <v>3920.37890625</v>
      </c>
      <c r="N11">
        <v>6370.61572265625</v>
      </c>
      <c r="O11">
        <v>0.2953830361366272</v>
      </c>
      <c r="P11">
        <v>0.3403647243976593</v>
      </c>
      <c r="Q11">
        <v>1960.189453125</v>
      </c>
      <c r="R11">
        <v>1960.189453125</v>
      </c>
    </row>
    <row r="12" spans="10:18" x14ac:dyDescent="0.25">
      <c r="J12" t="s">
        <v>29</v>
      </c>
      <c r="K12">
        <v>0</v>
      </c>
      <c r="L12">
        <v>0</v>
      </c>
      <c r="M12">
        <v>2734.7001953125</v>
      </c>
      <c r="N12">
        <v>2930.035888671875</v>
      </c>
      <c r="O12">
        <v>0.2485550194978714</v>
      </c>
      <c r="P12">
        <v>0.24492350220680237</v>
      </c>
      <c r="Q12">
        <v>1953.3572998046875</v>
      </c>
      <c r="R12">
        <v>2051.025146484375</v>
      </c>
    </row>
    <row r="13" spans="10:18" x14ac:dyDescent="0.25">
      <c r="J13" t="s">
        <v>30</v>
      </c>
      <c r="K13">
        <v>292.39614868164063</v>
      </c>
      <c r="L13">
        <v>487.32693481445313</v>
      </c>
      <c r="M13">
        <v>4873.26953125</v>
      </c>
      <c r="N13">
        <v>5847.92333984375</v>
      </c>
      <c r="O13">
        <v>0.28321677446365356</v>
      </c>
      <c r="P13">
        <v>0.31142053008079529</v>
      </c>
      <c r="Q13">
        <v>1949.3077392578125</v>
      </c>
      <c r="R13">
        <v>2923.961669921875</v>
      </c>
    </row>
    <row r="14" spans="10:18" x14ac:dyDescent="0.25">
      <c r="J14" t="s">
        <v>31</v>
      </c>
      <c r="K14">
        <v>0</v>
      </c>
      <c r="L14">
        <v>0</v>
      </c>
      <c r="M14">
        <v>1654.265625</v>
      </c>
      <c r="N14">
        <v>1459.6461181640625</v>
      </c>
      <c r="O14">
        <v>0.22821669280529022</v>
      </c>
      <c r="P14">
        <v>0.24330402910709381</v>
      </c>
      <c r="Q14">
        <v>1459.6461181640625</v>
      </c>
      <c r="R14">
        <v>1459.6461181640625</v>
      </c>
    </row>
    <row r="15" spans="10:18" x14ac:dyDescent="0.25">
      <c r="J15" t="s">
        <v>32</v>
      </c>
      <c r="K15">
        <v>193.29957580566406</v>
      </c>
      <c r="L15">
        <v>773.19830322265625</v>
      </c>
      <c r="M15">
        <v>4349.240234375</v>
      </c>
      <c r="N15">
        <v>4542.5400390625</v>
      </c>
      <c r="O15">
        <v>0.2734852135181427</v>
      </c>
      <c r="P15">
        <v>0.31408661603927612</v>
      </c>
      <c r="Q15">
        <v>2416.24462890625</v>
      </c>
      <c r="R15">
        <v>2899.49365234375</v>
      </c>
    </row>
    <row r="16" spans="10:18" x14ac:dyDescent="0.25">
      <c r="J16" t="s">
        <v>33</v>
      </c>
      <c r="K16">
        <v>191.69091796875</v>
      </c>
      <c r="L16">
        <v>349.83590698242188</v>
      </c>
      <c r="M16">
        <v>2875.36376953125</v>
      </c>
      <c r="N16">
        <v>4792.27294921875</v>
      </c>
      <c r="O16">
        <v>0.27665403485298157</v>
      </c>
      <c r="P16">
        <v>0.30834004282951355</v>
      </c>
      <c r="Q16">
        <v>1437.681884765625</v>
      </c>
      <c r="R16">
        <v>1916.9090576171875</v>
      </c>
    </row>
    <row r="17" spans="10:18" x14ac:dyDescent="0.25">
      <c r="J17" t="s">
        <v>34</v>
      </c>
      <c r="K17">
        <v>574.25250244140625</v>
      </c>
      <c r="L17">
        <v>957.0875244140625</v>
      </c>
      <c r="M17">
        <v>4306.89404296875</v>
      </c>
      <c r="N17">
        <v>4785.4375</v>
      </c>
      <c r="O17">
        <v>0.29770049452781677</v>
      </c>
      <c r="P17">
        <v>0.31746703386306763</v>
      </c>
      <c r="Q17">
        <v>2871.2626953125</v>
      </c>
      <c r="R17">
        <v>2871.2626953125</v>
      </c>
    </row>
    <row r="18" spans="10:18" x14ac:dyDescent="0.25">
      <c r="J18" t="s">
        <v>35</v>
      </c>
      <c r="K18">
        <v>287.83132934570313</v>
      </c>
      <c r="L18">
        <v>575.66265869140625</v>
      </c>
      <c r="M18">
        <v>2878.313232421875</v>
      </c>
      <c r="N18">
        <v>3358.0322265625</v>
      </c>
      <c r="O18">
        <v>0.28196066617965698</v>
      </c>
      <c r="P18">
        <v>0.3062002956867218</v>
      </c>
      <c r="Q18">
        <v>1918.87548828125</v>
      </c>
      <c r="R18">
        <v>1918.87548828125</v>
      </c>
    </row>
    <row r="19" spans="10:18" x14ac:dyDescent="0.25">
      <c r="J19" t="s">
        <v>4</v>
      </c>
      <c r="K19">
        <v>191.68466186523438</v>
      </c>
      <c r="L19">
        <v>383.36932373046875</v>
      </c>
      <c r="M19">
        <v>3066.95458984375</v>
      </c>
      <c r="N19">
        <v>3833.693359375</v>
      </c>
      <c r="O19">
        <v>0.26440176367759705</v>
      </c>
      <c r="P19">
        <v>0.27511647343635559</v>
      </c>
      <c r="Q19">
        <v>1916.8466796875</v>
      </c>
      <c r="R19">
        <v>1916.8466796875</v>
      </c>
    </row>
    <row r="20" spans="10:18" x14ac:dyDescent="0.25">
      <c r="J20" t="s">
        <v>5</v>
      </c>
      <c r="K20">
        <v>284.67544555664063</v>
      </c>
      <c r="L20">
        <v>474.45907592773438</v>
      </c>
      <c r="M20">
        <v>2372.29541015625</v>
      </c>
      <c r="N20">
        <v>4744.5908203125</v>
      </c>
      <c r="O20">
        <v>0.26746651530265808</v>
      </c>
      <c r="P20">
        <v>0.29717704653739929</v>
      </c>
      <c r="Q20">
        <v>1423.377197265625</v>
      </c>
      <c r="R20">
        <v>1897.8363037109375</v>
      </c>
    </row>
    <row r="21" spans="10:18" ht="13.5" customHeight="1" x14ac:dyDescent="0.25">
      <c r="J21" t="s">
        <v>6</v>
      </c>
      <c r="K21">
        <v>663.62939453125</v>
      </c>
      <c r="L21">
        <v>1422.06298828125</v>
      </c>
      <c r="M21">
        <v>6020.06640625</v>
      </c>
      <c r="N21">
        <v>18960.83984375</v>
      </c>
      <c r="O21">
        <v>0.33804336190223694</v>
      </c>
      <c r="P21">
        <v>0.39830657839775085</v>
      </c>
      <c r="Q21">
        <v>2749.32177734375</v>
      </c>
      <c r="R21">
        <v>3792.167724609375</v>
      </c>
    </row>
    <row r="22" spans="10:18" x14ac:dyDescent="0.25">
      <c r="J22" t="s">
        <v>7</v>
      </c>
      <c r="K22">
        <v>947.76025390625</v>
      </c>
      <c r="L22">
        <v>1611.1923828125</v>
      </c>
      <c r="M22">
        <v>3317.160888671875</v>
      </c>
      <c r="N22">
        <v>4738.80126953125</v>
      </c>
      <c r="O22">
        <v>0.33841130137443542</v>
      </c>
      <c r="P22">
        <v>0.3681812584400177</v>
      </c>
      <c r="Q22">
        <v>1800.7445068359375</v>
      </c>
      <c r="R22">
        <v>2369.400634765625</v>
      </c>
    </row>
    <row r="23" spans="10:18" x14ac:dyDescent="0.25">
      <c r="J23" t="s">
        <v>8</v>
      </c>
      <c r="K23">
        <v>0</v>
      </c>
      <c r="L23">
        <v>189.17994689941406</v>
      </c>
      <c r="M23">
        <v>2837.69921875</v>
      </c>
      <c r="N23">
        <v>2837.69921875</v>
      </c>
      <c r="O23">
        <v>0.24633923172950745</v>
      </c>
      <c r="P23">
        <v>0.25912430882453918</v>
      </c>
      <c r="Q23">
        <v>1891.799560546875</v>
      </c>
      <c r="R23">
        <v>2364.74951171875</v>
      </c>
    </row>
    <row r="24" spans="10:18" x14ac:dyDescent="0.25">
      <c r="J24" t="s">
        <v>9</v>
      </c>
      <c r="K24">
        <v>190.41343688964844</v>
      </c>
      <c r="L24">
        <v>482.69808959960938</v>
      </c>
      <c r="M24">
        <v>3427.44189453125</v>
      </c>
      <c r="N24">
        <v>4760.3359375</v>
      </c>
      <c r="O24">
        <v>0.27201145887374878</v>
      </c>
      <c r="P24">
        <v>0.2832973301410675</v>
      </c>
      <c r="Q24">
        <v>2570.58154296875</v>
      </c>
      <c r="R24">
        <v>2570.58154296875</v>
      </c>
    </row>
    <row r="25" spans="10:18" x14ac:dyDescent="0.25">
      <c r="J25" t="s">
        <v>10</v>
      </c>
      <c r="K25">
        <v>400.76431274414063</v>
      </c>
      <c r="L25">
        <v>471.4874267578125</v>
      </c>
      <c r="M25">
        <v>4714.8740234375</v>
      </c>
      <c r="N25">
        <v>5657.84912109375</v>
      </c>
      <c r="O25">
        <v>0.31024619936943054</v>
      </c>
      <c r="P25">
        <v>0.3226436972618103</v>
      </c>
      <c r="Q25">
        <v>1885.94970703125</v>
      </c>
      <c r="R25">
        <v>1885.94970703125</v>
      </c>
    </row>
    <row r="26" spans="10:18" x14ac:dyDescent="0.25">
      <c r="J26" t="s">
        <v>11</v>
      </c>
      <c r="K26">
        <v>0</v>
      </c>
      <c r="L26">
        <v>0</v>
      </c>
      <c r="M26">
        <v>1885.939697265625</v>
      </c>
      <c r="N26">
        <v>1885.939697265625</v>
      </c>
      <c r="O26">
        <v>0.18786704540252686</v>
      </c>
      <c r="P26">
        <v>0.18689124286174774</v>
      </c>
      <c r="Q26">
        <v>2046.24462890625</v>
      </c>
      <c r="R26">
        <v>2357.424560546875</v>
      </c>
    </row>
    <row r="27" spans="10:18" x14ac:dyDescent="0.25">
      <c r="J27" t="s">
        <v>12</v>
      </c>
      <c r="K27">
        <v>467.25616455078125</v>
      </c>
      <c r="L27">
        <v>467.25616455078125</v>
      </c>
      <c r="M27">
        <v>5134.2109375</v>
      </c>
      <c r="N27">
        <v>7476.0986328125</v>
      </c>
      <c r="O27">
        <v>0.33063483238220215</v>
      </c>
      <c r="P27">
        <v>0.35499414801597595</v>
      </c>
      <c r="Q27">
        <v>2336.28076171875</v>
      </c>
      <c r="R27">
        <v>1401.7685546875</v>
      </c>
    </row>
    <row r="28" spans="10:18" x14ac:dyDescent="0.25">
      <c r="J28" t="s">
        <v>13</v>
      </c>
      <c r="K28">
        <v>0</v>
      </c>
      <c r="L28">
        <v>274.20046997070313</v>
      </c>
      <c r="M28">
        <v>2056.503662109375</v>
      </c>
      <c r="N28">
        <v>2742.0048828125</v>
      </c>
      <c r="O28">
        <v>0.24896441400051117</v>
      </c>
      <c r="P28">
        <v>0.28867003321647644</v>
      </c>
      <c r="Q28">
        <v>1828.003173828125</v>
      </c>
      <c r="R28">
        <v>1828.003173828125</v>
      </c>
    </row>
    <row r="29" spans="10:18" x14ac:dyDescent="0.25">
      <c r="J29" t="s">
        <v>14</v>
      </c>
      <c r="K29">
        <v>40.553680419921875</v>
      </c>
      <c r="L29">
        <v>90.119285583496094</v>
      </c>
      <c r="M29">
        <v>1532.0279541015625</v>
      </c>
      <c r="N29">
        <v>1802.3857421875</v>
      </c>
      <c r="O29">
        <v>0.25476559996604919</v>
      </c>
      <c r="P29">
        <v>0.2689240574836731</v>
      </c>
      <c r="Q29">
        <v>1081.4315185546875</v>
      </c>
      <c r="R29">
        <v>1532.0279541015625</v>
      </c>
    </row>
    <row r="30" spans="10:18" x14ac:dyDescent="0.25">
      <c r="J30" t="s">
        <v>15</v>
      </c>
      <c r="K30">
        <v>533.75286865234375</v>
      </c>
      <c r="L30">
        <v>661.85357666015625</v>
      </c>
      <c r="M30">
        <v>3113.55859375</v>
      </c>
      <c r="N30">
        <v>4447.94091796875</v>
      </c>
      <c r="O30">
        <v>0.34699657559394836</v>
      </c>
      <c r="P30">
        <v>0.38617995381355286</v>
      </c>
      <c r="Q30">
        <v>1334.3822021484375</v>
      </c>
      <c r="R30">
        <v>1334.3822021484375</v>
      </c>
    </row>
    <row r="31" spans="10:18" x14ac:dyDescent="0.25">
      <c r="J31" t="s">
        <v>16</v>
      </c>
      <c r="K31">
        <v>0</v>
      </c>
      <c r="L31">
        <v>217.77787780761719</v>
      </c>
      <c r="M31">
        <v>1306.667236328125</v>
      </c>
      <c r="N31">
        <v>1742.2230224609375</v>
      </c>
      <c r="O31">
        <v>0.21480327844619751</v>
      </c>
      <c r="P31">
        <v>0.26345682144165039</v>
      </c>
      <c r="Q31">
        <v>871.11151123046875</v>
      </c>
      <c r="R31">
        <v>1306.667236328125</v>
      </c>
    </row>
    <row r="32" spans="10:18" x14ac:dyDescent="0.25">
      <c r="J32" t="s">
        <v>17</v>
      </c>
      <c r="K32">
        <v>0</v>
      </c>
      <c r="L32">
        <v>0</v>
      </c>
      <c r="M32">
        <v>2160.650634765625</v>
      </c>
      <c r="N32">
        <v>2372.47900390625</v>
      </c>
      <c r="O32">
        <v>0.22092165052890778</v>
      </c>
      <c r="P32">
        <v>0.23852789402008057</v>
      </c>
      <c r="Q32">
        <v>2118.284912109375</v>
      </c>
      <c r="R32">
        <v>2118.284912109375</v>
      </c>
    </row>
    <row r="33" spans="1:18" x14ac:dyDescent="0.25">
      <c r="J33" t="s">
        <v>18</v>
      </c>
      <c r="K33">
        <v>377.95904541015625</v>
      </c>
      <c r="L33">
        <v>838.046630859375</v>
      </c>
      <c r="M33">
        <v>6704.373046875</v>
      </c>
      <c r="N33">
        <v>12570.69921875</v>
      </c>
      <c r="O33">
        <v>0.29167899489402771</v>
      </c>
      <c r="P33">
        <v>0.32966771721839905</v>
      </c>
      <c r="Q33">
        <v>3352.1865234375</v>
      </c>
      <c r="R33">
        <v>5866.32666015625</v>
      </c>
    </row>
    <row r="34" spans="1:18" x14ac:dyDescent="0.25">
      <c r="J34" t="s">
        <v>19</v>
      </c>
      <c r="K34">
        <v>752.93389892578125</v>
      </c>
      <c r="L34">
        <v>1673.1864013671875</v>
      </c>
      <c r="M34">
        <v>5856.15234375</v>
      </c>
      <c r="N34">
        <v>8365.9326171875</v>
      </c>
      <c r="O34">
        <v>0.31535997986793518</v>
      </c>
      <c r="P34">
        <v>0.36308968067169189</v>
      </c>
      <c r="Q34">
        <v>2928.076171875</v>
      </c>
      <c r="R34">
        <v>3011.735595703125</v>
      </c>
    </row>
    <row r="40" spans="1:18" ht="13.2" customHeight="1" x14ac:dyDescent="0.25"/>
    <row r="46" spans="1:18" ht="13.2" customHeight="1" x14ac:dyDescent="0.25">
      <c r="A46" s="129"/>
      <c r="B46" s="129"/>
      <c r="C46" s="129"/>
      <c r="D46" s="129"/>
      <c r="E46" s="129"/>
      <c r="F46" s="129"/>
      <c r="G46" s="129"/>
      <c r="H46" s="129"/>
    </row>
    <row r="47" spans="1:18" x14ac:dyDescent="0.25">
      <c r="A47" s="129"/>
      <c r="B47" s="129"/>
      <c r="C47" s="129"/>
      <c r="D47" s="129"/>
      <c r="E47" s="129"/>
      <c r="F47" s="129"/>
      <c r="G47" s="129"/>
      <c r="H47" s="129"/>
    </row>
    <row r="78" spans="1:8" ht="12.75" customHeight="1" x14ac:dyDescent="0.25">
      <c r="A78" s="156" t="s">
        <v>356</v>
      </c>
      <c r="B78" s="156"/>
      <c r="C78" s="156"/>
      <c r="D78" s="156"/>
      <c r="E78" s="156"/>
      <c r="F78" s="156"/>
      <c r="G78" s="156"/>
      <c r="H78" s="156"/>
    </row>
    <row r="79" spans="1:8" x14ac:dyDescent="0.25">
      <c r="A79" s="156"/>
      <c r="B79" s="156"/>
      <c r="C79" s="156"/>
      <c r="D79" s="156"/>
      <c r="E79" s="156"/>
      <c r="F79" s="156"/>
      <c r="G79" s="156"/>
      <c r="H79" s="156"/>
    </row>
    <row r="80" spans="1:8" x14ac:dyDescent="0.25">
      <c r="A80" s="156"/>
      <c r="B80" s="156"/>
      <c r="C80" s="156"/>
      <c r="D80" s="156"/>
      <c r="E80" s="156"/>
      <c r="F80" s="156"/>
      <c r="G80" s="156"/>
      <c r="H80" s="156"/>
    </row>
    <row r="81" spans="1:8" x14ac:dyDescent="0.25">
      <c r="A81" s="156"/>
      <c r="B81" s="156"/>
      <c r="C81" s="156"/>
      <c r="D81" s="156"/>
      <c r="E81" s="156"/>
      <c r="F81" s="156"/>
      <c r="G81" s="156"/>
      <c r="H81" s="156"/>
    </row>
    <row r="82" spans="1:8" x14ac:dyDescent="0.25">
      <c r="A82" s="156"/>
      <c r="B82" s="156"/>
      <c r="C82" s="156"/>
      <c r="D82" s="156"/>
      <c r="E82" s="156"/>
      <c r="F82" s="156"/>
      <c r="G82" s="156"/>
      <c r="H82" s="156"/>
    </row>
    <row r="83" spans="1:8" x14ac:dyDescent="0.25">
      <c r="A83" s="156"/>
      <c r="B83" s="156"/>
      <c r="C83" s="156"/>
      <c r="D83" s="156"/>
      <c r="E83" s="156"/>
      <c r="F83" s="156"/>
      <c r="G83" s="156"/>
      <c r="H83" s="156"/>
    </row>
    <row r="84" spans="1:8" x14ac:dyDescent="0.25">
      <c r="A84" s="156"/>
      <c r="B84" s="156"/>
      <c r="C84" s="156"/>
      <c r="D84" s="156"/>
      <c r="E84" s="156"/>
      <c r="F84" s="156"/>
      <c r="G84" s="156"/>
      <c r="H84" s="156"/>
    </row>
  </sheetData>
  <mergeCells count="1">
    <mergeCell ref="A78:H84"/>
  </mergeCells>
  <printOptions horizontalCentered="1"/>
  <pageMargins left="0.7" right="0.7" top="0.75" bottom="0.75" header="0.3" footer="0.3"/>
  <pageSetup scale="6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9A479-4C81-4199-B46C-98048A1990B4}">
  <sheetPr>
    <pageSetUpPr fitToPage="1"/>
  </sheetPr>
  <dimension ref="A1:AB482"/>
  <sheetViews>
    <sheetView zoomScale="70" zoomScaleNormal="70" workbookViewId="0"/>
  </sheetViews>
  <sheetFormatPr defaultColWidth="9" defaultRowHeight="13.2" x14ac:dyDescent="0.25"/>
  <cols>
    <col min="3" max="3" width="15.5546875" customWidth="1"/>
    <col min="16" max="16" width="21" bestFit="1" customWidth="1"/>
    <col min="23" max="23" width="10.5546875" customWidth="1"/>
  </cols>
  <sheetData>
    <row r="1" spans="16:28" ht="38.25" customHeight="1" x14ac:dyDescent="0.25">
      <c r="P1" t="s">
        <v>233</v>
      </c>
      <c r="Q1" t="s">
        <v>0</v>
      </c>
      <c r="R1" t="s">
        <v>53</v>
      </c>
      <c r="S1" s="9" t="s">
        <v>58</v>
      </c>
      <c r="T1" s="9" t="s">
        <v>232</v>
      </c>
      <c r="U1" t="s">
        <v>43</v>
      </c>
      <c r="V1" s="9" t="s">
        <v>59</v>
      </c>
      <c r="W1" s="9"/>
      <c r="X1" s="9"/>
      <c r="Y1" s="9"/>
      <c r="Z1" s="9"/>
      <c r="AA1" s="9"/>
      <c r="AB1" s="9"/>
    </row>
    <row r="2" spans="16:28" ht="13.5" customHeight="1" x14ac:dyDescent="0.25">
      <c r="Q2" s="20">
        <v>2015</v>
      </c>
      <c r="R2">
        <v>0.38065317273139954</v>
      </c>
      <c r="S2">
        <v>0.62497782707214355</v>
      </c>
      <c r="T2">
        <v>0.42009192705154419</v>
      </c>
      <c r="V2">
        <v>527</v>
      </c>
    </row>
    <row r="3" spans="16:28" ht="13.5" customHeight="1" x14ac:dyDescent="0.25">
      <c r="Q3" s="20">
        <v>2016</v>
      </c>
      <c r="R3">
        <v>0.39422354102134705</v>
      </c>
      <c r="S3">
        <v>0.62714642286300659</v>
      </c>
      <c r="T3">
        <v>0.41278457641601563</v>
      </c>
      <c r="U3">
        <v>0.30633670091629028</v>
      </c>
      <c r="V3">
        <v>535</v>
      </c>
    </row>
    <row r="4" spans="16:28" ht="13.5" customHeight="1" x14ac:dyDescent="0.25">
      <c r="Q4" s="4">
        <v>2017</v>
      </c>
      <c r="R4">
        <v>0.34067997336387634</v>
      </c>
      <c r="S4">
        <v>0.60699033737182617</v>
      </c>
      <c r="T4">
        <v>0.4016585648059845</v>
      </c>
      <c r="U4">
        <v>0.28618869185447693</v>
      </c>
      <c r="V4">
        <v>785</v>
      </c>
    </row>
    <row r="5" spans="16:28" ht="13.5" customHeight="1" x14ac:dyDescent="0.25">
      <c r="Q5" s="4">
        <v>2018</v>
      </c>
      <c r="R5">
        <v>0.36312782764434814</v>
      </c>
      <c r="S5">
        <v>0.63181090354919434</v>
      </c>
      <c r="T5">
        <v>0.43897163867950439</v>
      </c>
      <c r="U5">
        <v>0.24947045743465424</v>
      </c>
      <c r="V5">
        <v>785</v>
      </c>
    </row>
    <row r="6" spans="16:28" ht="13.5" customHeight="1" x14ac:dyDescent="0.25">
      <c r="Q6" s="4">
        <v>2019</v>
      </c>
      <c r="R6">
        <v>0.35538339614868164</v>
      </c>
      <c r="S6">
        <v>0.61254501342773438</v>
      </c>
      <c r="T6">
        <v>0.43781226873397827</v>
      </c>
      <c r="U6">
        <v>0.2352089136838913</v>
      </c>
      <c r="V6">
        <v>709</v>
      </c>
    </row>
    <row r="7" spans="16:28" ht="13.5" customHeight="1" x14ac:dyDescent="0.25">
      <c r="Q7" s="4">
        <v>2020</v>
      </c>
      <c r="R7">
        <v>0.37223708629608154</v>
      </c>
      <c r="S7">
        <v>0.60342156887054443</v>
      </c>
      <c r="T7">
        <v>0.45419976115226746</v>
      </c>
      <c r="U7">
        <v>0.2459176778793335</v>
      </c>
      <c r="V7">
        <v>876</v>
      </c>
    </row>
    <row r="8" spans="16:28" ht="13.5" customHeight="1" x14ac:dyDescent="0.25">
      <c r="Q8" s="4">
        <v>2021</v>
      </c>
      <c r="R8">
        <v>0.33414658904075623</v>
      </c>
      <c r="S8">
        <v>0.55845463275909424</v>
      </c>
      <c r="T8">
        <v>0.41215786337852478</v>
      </c>
      <c r="U8">
        <v>0.21163967251777649</v>
      </c>
      <c r="V8">
        <v>812</v>
      </c>
    </row>
    <row r="9" spans="16:28" ht="13.5" customHeight="1" x14ac:dyDescent="0.25">
      <c r="Q9" s="4">
        <v>2022</v>
      </c>
      <c r="R9">
        <v>0.39460599422454834</v>
      </c>
      <c r="S9">
        <v>0.62421774864196777</v>
      </c>
      <c r="T9">
        <v>0.45371308922767639</v>
      </c>
      <c r="U9">
        <v>0.26811721920967102</v>
      </c>
      <c r="V9">
        <v>864</v>
      </c>
    </row>
    <row r="10" spans="16:28" ht="13.5" customHeight="1" x14ac:dyDescent="0.25">
      <c r="Q10" s="4">
        <v>2023</v>
      </c>
      <c r="R10">
        <v>0.40681630373001099</v>
      </c>
      <c r="S10">
        <v>0.63529187440872192</v>
      </c>
      <c r="T10">
        <v>0.47301152348518372</v>
      </c>
    </row>
    <row r="11" spans="16:28" ht="13.5" customHeight="1" x14ac:dyDescent="0.25">
      <c r="Q11" s="4" t="s">
        <v>154</v>
      </c>
      <c r="R11">
        <f>+R7-R6</f>
        <v>1.6853690147399902E-2</v>
      </c>
      <c r="S11">
        <f>+S7-S6</f>
        <v>-9.1234445571899414E-3</v>
      </c>
      <c r="T11">
        <f>+T7-T6</f>
        <v>1.6387492418289185E-2</v>
      </c>
      <c r="U11">
        <f>+U7-U6</f>
        <v>1.07087641954422E-2</v>
      </c>
    </row>
    <row r="12" spans="16:28" ht="13.5" customHeight="1" x14ac:dyDescent="0.25">
      <c r="P12" t="s">
        <v>120</v>
      </c>
      <c r="Q12" s="4" t="s">
        <v>119</v>
      </c>
      <c r="R12" s="58">
        <f>+R9-R8</f>
        <v>6.0459405183792114E-2</v>
      </c>
      <c r="S12" s="58">
        <f>+S9-S8</f>
        <v>6.5763115882873535E-2</v>
      </c>
      <c r="T12" s="58">
        <f>+T9-T8</f>
        <v>4.1555225849151611E-2</v>
      </c>
      <c r="U12" s="58">
        <f>+U9-U8</f>
        <v>5.6477546691894531E-2</v>
      </c>
    </row>
    <row r="13" spans="16:28" ht="13.5" customHeight="1" x14ac:dyDescent="0.25">
      <c r="P13" t="s">
        <v>121</v>
      </c>
      <c r="Q13" s="4" t="s">
        <v>119</v>
      </c>
      <c r="R13" s="58">
        <f>+R9/R8-1</f>
        <v>0.18093677196392943</v>
      </c>
      <c r="S13" s="58">
        <f>+S9/S8-1</f>
        <v>0.11775910168022974</v>
      </c>
      <c r="T13" s="58">
        <f>+T9/T8-1</f>
        <v>0.10082356674822779</v>
      </c>
      <c r="U13" s="58">
        <f>+U9/U8-1</f>
        <v>0.26685708789854012</v>
      </c>
    </row>
    <row r="14" spans="16:28" ht="13.5" customHeight="1" x14ac:dyDescent="0.25"/>
    <row r="15" spans="16:28" ht="13.5" customHeight="1" x14ac:dyDescent="0.25"/>
    <row r="16" spans="16:28" ht="13.5" customHeight="1" x14ac:dyDescent="0.25">
      <c r="P16" t="s">
        <v>121</v>
      </c>
      <c r="Q16" s="4" t="s">
        <v>154</v>
      </c>
      <c r="R16" s="7">
        <f>+R11/R6</f>
        <v>4.7423966144858463E-2</v>
      </c>
    </row>
    <row r="17" spans="17:20" ht="13.5" customHeight="1" x14ac:dyDescent="0.25">
      <c r="Q17" s="4"/>
      <c r="R17" s="7"/>
    </row>
    <row r="18" spans="17:20" ht="13.5" customHeight="1" x14ac:dyDescent="0.25">
      <c r="S18" s="9"/>
      <c r="T18" s="9"/>
    </row>
    <row r="19" spans="17:20" ht="13.5" customHeight="1" x14ac:dyDescent="0.25"/>
    <row r="20" spans="17:20" ht="13.5" customHeight="1" x14ac:dyDescent="0.25"/>
    <row r="21" spans="17:20" ht="13.5" customHeight="1" x14ac:dyDescent="0.25"/>
    <row r="22" spans="17:20" ht="13.5" customHeight="1" x14ac:dyDescent="0.25"/>
    <row r="23" spans="17:20" ht="13.5" customHeight="1" x14ac:dyDescent="0.25"/>
    <row r="24" spans="17:20" ht="13.5" customHeight="1" x14ac:dyDescent="0.25"/>
    <row r="25" spans="17:20" ht="13.5" customHeight="1" x14ac:dyDescent="0.25"/>
    <row r="26" spans="17:20" ht="13.5" customHeight="1" x14ac:dyDescent="0.25"/>
    <row r="27" spans="17:20" ht="13.5" customHeight="1" x14ac:dyDescent="0.25"/>
    <row r="28" spans="17:20" ht="13.5" customHeight="1" x14ac:dyDescent="0.25"/>
    <row r="29" spans="17:20" ht="13.5" customHeight="1" x14ac:dyDescent="0.25"/>
    <row r="30" spans="17:20" ht="13.5" customHeight="1" x14ac:dyDescent="0.25"/>
    <row r="31" spans="17:20" ht="13.5" customHeight="1" x14ac:dyDescent="0.25"/>
    <row r="32" spans="17:20" ht="13.5" customHeight="1" x14ac:dyDescent="0.25"/>
    <row r="33" spans="16:23" ht="13.5" customHeight="1" x14ac:dyDescent="0.25"/>
    <row r="34" spans="16:23" ht="13.5" customHeight="1" x14ac:dyDescent="0.25"/>
    <row r="35" spans="16:23" ht="13.5" customHeight="1" x14ac:dyDescent="0.25">
      <c r="P35" t="s">
        <v>201</v>
      </c>
      <c r="Q35" t="s">
        <v>0</v>
      </c>
      <c r="R35" t="s">
        <v>53</v>
      </c>
      <c r="S35" s="9" t="s">
        <v>58</v>
      </c>
      <c r="T35" s="9" t="s">
        <v>60</v>
      </c>
      <c r="U35" t="s">
        <v>43</v>
      </c>
      <c r="V35" s="9" t="s">
        <v>59</v>
      </c>
      <c r="W35" s="9"/>
    </row>
    <row r="36" spans="16:23" ht="13.5" customHeight="1" x14ac:dyDescent="0.25">
      <c r="Q36" s="20">
        <v>2015</v>
      </c>
      <c r="R36">
        <v>0.42928659915924072</v>
      </c>
      <c r="S36">
        <v>0.72191923856735229</v>
      </c>
      <c r="T36">
        <v>0.52781850099563599</v>
      </c>
      <c r="V36">
        <v>527</v>
      </c>
    </row>
    <row r="37" spans="16:23" ht="13.5" customHeight="1" x14ac:dyDescent="0.25">
      <c r="Q37" s="20">
        <v>2016</v>
      </c>
      <c r="R37">
        <v>0.42220368981361389</v>
      </c>
      <c r="S37">
        <v>0.74694573879241943</v>
      </c>
      <c r="T37">
        <v>0.52413725852966309</v>
      </c>
      <c r="U37">
        <v>0.39363321661949158</v>
      </c>
      <c r="V37">
        <v>535</v>
      </c>
    </row>
    <row r="38" spans="16:23" ht="13.5" customHeight="1" x14ac:dyDescent="0.25">
      <c r="Q38" s="4">
        <v>2017</v>
      </c>
      <c r="R38">
        <v>0.41501381993293762</v>
      </c>
      <c r="S38">
        <v>0.75209742784500122</v>
      </c>
      <c r="T38">
        <v>0.54670780897140503</v>
      </c>
      <c r="U38">
        <v>0.37616550922393799</v>
      </c>
      <c r="V38">
        <v>785</v>
      </c>
    </row>
    <row r="39" spans="16:23" ht="13.5" customHeight="1" x14ac:dyDescent="0.25">
      <c r="Q39" s="4">
        <v>2018</v>
      </c>
      <c r="R39">
        <v>0.4034726619720459</v>
      </c>
      <c r="S39">
        <v>0.75413590669631958</v>
      </c>
      <c r="T39">
        <v>0.52482539415359497</v>
      </c>
      <c r="U39">
        <v>0.32200360298156738</v>
      </c>
      <c r="V39">
        <v>785</v>
      </c>
    </row>
    <row r="40" spans="16:23" ht="13.5" customHeight="1" x14ac:dyDescent="0.25">
      <c r="Q40" s="4">
        <v>2019</v>
      </c>
      <c r="R40">
        <v>0.41077384352684021</v>
      </c>
      <c r="S40">
        <v>0.74642759561538696</v>
      </c>
      <c r="T40">
        <v>0.55385321378707886</v>
      </c>
      <c r="U40">
        <v>0.31464698910713196</v>
      </c>
      <c r="V40">
        <v>709</v>
      </c>
    </row>
    <row r="41" spans="16:23" ht="13.5" customHeight="1" x14ac:dyDescent="0.25">
      <c r="Q41" s="4">
        <v>2020</v>
      </c>
      <c r="R41">
        <v>0.45474803447723389</v>
      </c>
      <c r="S41">
        <v>0.74167758226394653</v>
      </c>
      <c r="T41">
        <v>0.58192586898803711</v>
      </c>
      <c r="U41">
        <v>0.34356823563575745</v>
      </c>
      <c r="V41">
        <v>876</v>
      </c>
    </row>
    <row r="42" spans="16:23" ht="13.5" customHeight="1" x14ac:dyDescent="0.25">
      <c r="Q42" s="4">
        <v>2021</v>
      </c>
      <c r="R42">
        <v>0.40139195322990417</v>
      </c>
      <c r="S42">
        <v>0.66853606700897217</v>
      </c>
      <c r="T42">
        <v>0.52222639322280884</v>
      </c>
      <c r="U42">
        <v>0.29337355494499207</v>
      </c>
      <c r="V42">
        <v>812</v>
      </c>
    </row>
    <row r="43" spans="16:23" ht="13.5" customHeight="1" x14ac:dyDescent="0.25">
      <c r="Q43" s="4">
        <v>2022</v>
      </c>
      <c r="R43">
        <v>0.44016435742378235</v>
      </c>
      <c r="S43">
        <v>0.71357846260070801</v>
      </c>
      <c r="T43">
        <v>0.53023445606231689</v>
      </c>
      <c r="U43">
        <v>0.34263315796852112</v>
      </c>
      <c r="V43">
        <v>864</v>
      </c>
    </row>
    <row r="44" spans="16:23" ht="13.5" customHeight="1" x14ac:dyDescent="0.25">
      <c r="Q44" s="4">
        <v>2023</v>
      </c>
      <c r="R44">
        <v>0.48928698897361755</v>
      </c>
      <c r="S44">
        <v>0.74823826551437378</v>
      </c>
      <c r="T44">
        <v>0.58912789821624756</v>
      </c>
    </row>
    <row r="45" spans="16:23" ht="13.5" customHeight="1" x14ac:dyDescent="0.25">
      <c r="Q45" s="4" t="s">
        <v>154</v>
      </c>
      <c r="R45">
        <f>+R41-R40</f>
        <v>4.3974190950393677E-2</v>
      </c>
      <c r="S45">
        <f>+S41-S40</f>
        <v>-4.7500133514404297E-3</v>
      </c>
      <c r="T45">
        <f>+T41-T40</f>
        <v>2.8072655200958252E-2</v>
      </c>
      <c r="U45">
        <f>+U41-U40</f>
        <v>2.8921246528625488E-2</v>
      </c>
    </row>
    <row r="46" spans="16:23" ht="13.5" customHeight="1" x14ac:dyDescent="0.25">
      <c r="P46" t="s">
        <v>120</v>
      </c>
      <c r="Q46" s="4" t="s">
        <v>119</v>
      </c>
      <c r="R46" s="58">
        <f>+R43-R42</f>
        <v>3.8772404193878174E-2</v>
      </c>
      <c r="S46" s="58">
        <f>+S43-S42</f>
        <v>4.504239559173584E-2</v>
      </c>
      <c r="T46" s="58">
        <f>+T43-T42</f>
        <v>8.0080628395080566E-3</v>
      </c>
      <c r="U46" s="58">
        <f>+U43-U42</f>
        <v>4.9259603023529053E-2</v>
      </c>
    </row>
    <row r="47" spans="16:23" ht="13.5" customHeight="1" x14ac:dyDescent="0.25">
      <c r="P47" t="s">
        <v>121</v>
      </c>
      <c r="Q47" s="4" t="s">
        <v>119</v>
      </c>
      <c r="R47" s="58">
        <f>+R43/R42-1</f>
        <v>9.6594871625816037E-2</v>
      </c>
      <c r="S47" s="58">
        <f>+S43/S42-1</f>
        <v>6.7374668046340958E-2</v>
      </c>
      <c r="T47" s="58">
        <f>+T43/T42-1</f>
        <v>1.533446593935639E-2</v>
      </c>
      <c r="U47" s="58">
        <f>+U43/U42-1</f>
        <v>0.16790744153052684</v>
      </c>
    </row>
    <row r="48" spans="16:23" ht="13.5" customHeight="1" x14ac:dyDescent="0.25"/>
    <row r="49" spans="16:20" ht="13.5" customHeight="1" x14ac:dyDescent="0.25"/>
    <row r="50" spans="16:20" ht="13.5" customHeight="1" x14ac:dyDescent="0.25">
      <c r="P50" t="s">
        <v>121</v>
      </c>
      <c r="Q50" s="4" t="s">
        <v>154</v>
      </c>
      <c r="R50" s="7">
        <f>+R45/R40</f>
        <v>0.10705207170164031</v>
      </c>
    </row>
    <row r="51" spans="16:20" ht="13.5" customHeight="1" x14ac:dyDescent="0.25">
      <c r="Q51" s="4"/>
      <c r="R51" s="7"/>
    </row>
    <row r="52" spans="16:20" ht="13.5" customHeight="1" x14ac:dyDescent="0.25">
      <c r="S52" s="9"/>
      <c r="T52" s="9"/>
    </row>
    <row r="53" spans="16:20" ht="13.5" customHeight="1" x14ac:dyDescent="0.25"/>
    <row r="54" spans="16:20" ht="13.5" customHeight="1" x14ac:dyDescent="0.25"/>
    <row r="55" spans="16:20" ht="13.5" customHeight="1" x14ac:dyDescent="0.25"/>
    <row r="56" spans="16:20" ht="13.5" customHeight="1" x14ac:dyDescent="0.25"/>
    <row r="57" spans="16:20" ht="13.5" customHeight="1" x14ac:dyDescent="0.25"/>
    <row r="58" spans="16:20" ht="13.5" customHeight="1" x14ac:dyDescent="0.25"/>
    <row r="59" spans="16:20" ht="13.5" customHeight="1" x14ac:dyDescent="0.25"/>
    <row r="60" spans="16:20" ht="13.5" customHeight="1" x14ac:dyDescent="0.25"/>
    <row r="61" spans="16:20" ht="13.5" customHeight="1" x14ac:dyDescent="0.25"/>
    <row r="62" spans="16:20" ht="13.5" customHeight="1" x14ac:dyDescent="0.25"/>
    <row r="63" spans="16:20" ht="13.5" customHeight="1" x14ac:dyDescent="0.25"/>
    <row r="64" spans="16:20" ht="13.5" customHeight="1" x14ac:dyDescent="0.25"/>
    <row r="65" spans="1:15" ht="13.5" customHeight="1" x14ac:dyDescent="0.25"/>
    <row r="66" spans="1:15" ht="13.5" customHeight="1" x14ac:dyDescent="0.25"/>
    <row r="67" spans="1:15" ht="13.5" customHeight="1" x14ac:dyDescent="0.25">
      <c r="A67" s="154" t="s">
        <v>267</v>
      </c>
      <c r="B67" s="154"/>
      <c r="C67" s="154"/>
      <c r="D67" s="154"/>
      <c r="E67" s="154"/>
      <c r="F67" s="154"/>
      <c r="G67" s="154"/>
      <c r="H67" s="154"/>
      <c r="I67" s="154"/>
      <c r="J67" s="154"/>
      <c r="K67" s="154"/>
      <c r="L67" s="154"/>
      <c r="M67" s="154"/>
      <c r="N67" s="154"/>
      <c r="O67" s="154"/>
    </row>
    <row r="68" spans="1:15" ht="13.5" customHeight="1" x14ac:dyDescent="0.25">
      <c r="A68" s="154"/>
      <c r="B68" s="154"/>
      <c r="C68" s="154"/>
      <c r="D68" s="154"/>
      <c r="E68" s="154"/>
      <c r="F68" s="154"/>
      <c r="G68" s="154"/>
      <c r="H68" s="154"/>
      <c r="I68" s="154"/>
      <c r="J68" s="154"/>
      <c r="K68" s="154"/>
      <c r="L68" s="154"/>
      <c r="M68" s="154"/>
      <c r="N68" s="154"/>
      <c r="O68" s="154"/>
    </row>
    <row r="69" spans="1:15" ht="13.5" customHeight="1" x14ac:dyDescent="0.25">
      <c r="A69" s="154"/>
      <c r="B69" s="154"/>
      <c r="C69" s="154"/>
      <c r="D69" s="154"/>
      <c r="E69" s="154"/>
      <c r="F69" s="154"/>
      <c r="G69" s="154"/>
      <c r="H69" s="154"/>
      <c r="I69" s="154"/>
      <c r="J69" s="154"/>
      <c r="K69" s="154"/>
      <c r="L69" s="154"/>
      <c r="M69" s="154"/>
      <c r="N69" s="154"/>
      <c r="O69" s="154"/>
    </row>
    <row r="70" spans="1:15" ht="13.5" customHeight="1" x14ac:dyDescent="0.25">
      <c r="A70" s="154"/>
      <c r="B70" s="154"/>
      <c r="C70" s="154"/>
      <c r="D70" s="154"/>
      <c r="E70" s="154"/>
      <c r="F70" s="154"/>
      <c r="G70" s="154"/>
      <c r="H70" s="154"/>
      <c r="I70" s="154"/>
      <c r="J70" s="154"/>
      <c r="K70" s="154"/>
      <c r="L70" s="154"/>
      <c r="M70" s="154"/>
      <c r="N70" s="154"/>
      <c r="O70" s="154"/>
    </row>
    <row r="71" spans="1:15" ht="13.5" customHeight="1" x14ac:dyDescent="0.25">
      <c r="A71" s="154"/>
      <c r="B71" s="154"/>
      <c r="C71" s="154"/>
      <c r="D71" s="154"/>
      <c r="E71" s="154"/>
      <c r="F71" s="154"/>
      <c r="G71" s="154"/>
      <c r="H71" s="154"/>
      <c r="I71" s="154"/>
      <c r="J71" s="154"/>
      <c r="K71" s="154"/>
      <c r="L71" s="154"/>
      <c r="M71" s="154"/>
      <c r="N71" s="154"/>
      <c r="O71" s="154"/>
    </row>
    <row r="72" spans="1:15" ht="13.5" customHeight="1" x14ac:dyDescent="0.25">
      <c r="A72" s="154"/>
      <c r="B72" s="154"/>
      <c r="C72" s="154"/>
      <c r="D72" s="154"/>
      <c r="E72" s="154"/>
      <c r="F72" s="154"/>
      <c r="G72" s="154"/>
      <c r="H72" s="154"/>
      <c r="I72" s="154"/>
      <c r="J72" s="154"/>
      <c r="K72" s="154"/>
      <c r="L72" s="154"/>
      <c r="M72" s="154"/>
      <c r="N72" s="154"/>
      <c r="O72" s="154"/>
    </row>
    <row r="73" spans="1:15" ht="13.5" customHeight="1" x14ac:dyDescent="0.25">
      <c r="A73" s="154"/>
      <c r="B73" s="154"/>
      <c r="C73" s="154"/>
      <c r="D73" s="154"/>
      <c r="E73" s="154"/>
      <c r="F73" s="154"/>
      <c r="G73" s="154"/>
      <c r="H73" s="154"/>
      <c r="I73" s="154"/>
      <c r="J73" s="154"/>
      <c r="K73" s="154"/>
      <c r="L73" s="154"/>
      <c r="M73" s="154"/>
      <c r="N73" s="154"/>
      <c r="O73" s="154"/>
    </row>
    <row r="74" spans="1:15" ht="13.5" customHeight="1" x14ac:dyDescent="0.25">
      <c r="A74" s="154"/>
      <c r="B74" s="154"/>
      <c r="C74" s="154"/>
      <c r="D74" s="154"/>
      <c r="E74" s="154"/>
      <c r="F74" s="154"/>
      <c r="G74" s="154"/>
      <c r="H74" s="154"/>
      <c r="I74" s="154"/>
      <c r="J74" s="154"/>
      <c r="K74" s="154"/>
      <c r="L74" s="154"/>
      <c r="M74" s="154"/>
      <c r="N74" s="154"/>
      <c r="O74" s="154"/>
    </row>
    <row r="75" spans="1:15" ht="13.5" customHeight="1" x14ac:dyDescent="0.25"/>
    <row r="76" spans="1:15" ht="13.5" customHeight="1" x14ac:dyDescent="0.25"/>
    <row r="77" spans="1:15" ht="13.5" customHeight="1" x14ac:dyDescent="0.25"/>
    <row r="78" spans="1:15" ht="13.5" customHeight="1" x14ac:dyDescent="0.25"/>
    <row r="79" spans="1:15" ht="13.5" customHeight="1" x14ac:dyDescent="0.25"/>
    <row r="80" spans="1:15" ht="13.5" customHeight="1" x14ac:dyDescent="0.25"/>
    <row r="81" spans="16:23" ht="13.5" customHeight="1" x14ac:dyDescent="0.25"/>
    <row r="82" spans="16:23" ht="13.5" customHeight="1" x14ac:dyDescent="0.25"/>
    <row r="83" spans="16:23" ht="13.5" customHeight="1" x14ac:dyDescent="0.25"/>
    <row r="84" spans="16:23" ht="13.5" customHeight="1" x14ac:dyDescent="0.25"/>
    <row r="85" spans="16:23" ht="16.5" customHeight="1" x14ac:dyDescent="0.25">
      <c r="P85" t="s">
        <v>203</v>
      </c>
      <c r="Q85" t="s">
        <v>0</v>
      </c>
      <c r="R85" t="s">
        <v>53</v>
      </c>
      <c r="S85" s="9" t="s">
        <v>58</v>
      </c>
      <c r="T85" s="9" t="s">
        <v>60</v>
      </c>
      <c r="U85" t="s">
        <v>43</v>
      </c>
      <c r="V85" s="9" t="s">
        <v>59</v>
      </c>
    </row>
    <row r="86" spans="16:23" ht="16.5" customHeight="1" x14ac:dyDescent="0.25">
      <c r="Q86" s="20">
        <v>2015</v>
      </c>
      <c r="R86">
        <v>0.29953655600547791</v>
      </c>
      <c r="S86">
        <v>0.48339954018592834</v>
      </c>
      <c r="T86">
        <v>0.28356879949569702</v>
      </c>
      <c r="V86">
        <v>4249</v>
      </c>
    </row>
    <row r="87" spans="16:23" ht="16.5" customHeight="1" x14ac:dyDescent="0.25">
      <c r="Q87" s="20">
        <v>2016</v>
      </c>
      <c r="R87">
        <v>0.28683459758758545</v>
      </c>
      <c r="S87">
        <v>0.47081011533737183</v>
      </c>
      <c r="T87">
        <v>0.25834351778030396</v>
      </c>
      <c r="U87">
        <v>0.20732250809669495</v>
      </c>
      <c r="V87">
        <v>5059</v>
      </c>
    </row>
    <row r="88" spans="16:23" ht="16.5" customHeight="1" x14ac:dyDescent="0.25">
      <c r="Q88" s="4">
        <v>2017</v>
      </c>
      <c r="R88">
        <v>0.2474457174539566</v>
      </c>
      <c r="S88">
        <v>0.45133733749389648</v>
      </c>
      <c r="T88">
        <v>0.2527749240398407</v>
      </c>
      <c r="U88">
        <v>0.1945948600769043</v>
      </c>
      <c r="V88">
        <v>9567</v>
      </c>
    </row>
    <row r="89" spans="16:23" ht="16.5" customHeight="1" x14ac:dyDescent="0.25">
      <c r="Q89" s="4">
        <v>2018</v>
      </c>
      <c r="R89">
        <v>0.23365786671638489</v>
      </c>
      <c r="S89">
        <v>0.43841308355331421</v>
      </c>
      <c r="T89">
        <v>0.26140990853309631</v>
      </c>
      <c r="U89">
        <v>0.1518130898475647</v>
      </c>
      <c r="V89">
        <v>8567</v>
      </c>
    </row>
    <row r="90" spans="16:23" ht="16.5" customHeight="1" x14ac:dyDescent="0.25">
      <c r="Q90" s="4">
        <v>2019</v>
      </c>
      <c r="R90">
        <v>0.23477686941623688</v>
      </c>
      <c r="S90">
        <v>0.43255490064620972</v>
      </c>
      <c r="T90">
        <v>0.26456072926521301</v>
      </c>
      <c r="U90">
        <v>0.14603325724601746</v>
      </c>
      <c r="V90">
        <v>9485</v>
      </c>
      <c r="W90" s="9"/>
    </row>
    <row r="91" spans="16:23" ht="16.5" customHeight="1" x14ac:dyDescent="0.25">
      <c r="Q91" s="4">
        <v>2020</v>
      </c>
      <c r="R91">
        <v>0.2226957231760025</v>
      </c>
      <c r="S91">
        <v>0.40485396981239319</v>
      </c>
      <c r="T91">
        <v>0.25866585969924927</v>
      </c>
      <c r="U91">
        <v>0.13532023131847382</v>
      </c>
      <c r="V91">
        <v>8755</v>
      </c>
    </row>
    <row r="92" spans="16:23" ht="16.5" customHeight="1" x14ac:dyDescent="0.25">
      <c r="Q92" s="4">
        <v>2021</v>
      </c>
      <c r="R92">
        <v>0.20684342086315155</v>
      </c>
      <c r="S92">
        <v>0.3774665892124176</v>
      </c>
      <c r="T92">
        <v>0.23825445771217346</v>
      </c>
      <c r="U92">
        <v>0.12225520610809326</v>
      </c>
      <c r="V92">
        <v>8902</v>
      </c>
    </row>
    <row r="93" spans="16:23" ht="16.5" customHeight="1" x14ac:dyDescent="0.25">
      <c r="Q93" s="4">
        <v>2022</v>
      </c>
      <c r="R93">
        <v>0.24997609853744507</v>
      </c>
      <c r="S93">
        <v>0.42421972751617432</v>
      </c>
      <c r="T93">
        <v>0.26992315053939819</v>
      </c>
      <c r="U93">
        <v>0.15948858857154846</v>
      </c>
      <c r="V93">
        <v>8623</v>
      </c>
    </row>
    <row r="94" spans="16:23" ht="16.5" customHeight="1" x14ac:dyDescent="0.25">
      <c r="Q94" s="4">
        <v>2023</v>
      </c>
      <c r="R94">
        <v>0.2440163791179657</v>
      </c>
      <c r="S94">
        <v>0.42041844129562378</v>
      </c>
      <c r="T94">
        <v>0.26867625117301941</v>
      </c>
    </row>
    <row r="95" spans="16:23" ht="16.5" customHeight="1" x14ac:dyDescent="0.25"/>
    <row r="96" spans="16:23" ht="16.5" customHeight="1" x14ac:dyDescent="0.25">
      <c r="P96" t="s">
        <v>120</v>
      </c>
      <c r="Q96" s="4" t="s">
        <v>119</v>
      </c>
      <c r="R96" s="58">
        <f>+R93-R92</f>
        <v>4.3132677674293518E-2</v>
      </c>
      <c r="S96" s="58">
        <f>+S93-S92</f>
        <v>4.6753138303756714E-2</v>
      </c>
      <c r="T96" s="58">
        <f>+T93-T92</f>
        <v>3.1668692827224731E-2</v>
      </c>
      <c r="U96" s="58">
        <f>+U93-U92</f>
        <v>3.72333824634552E-2</v>
      </c>
    </row>
    <row r="97" spans="16:23" ht="16.5" customHeight="1" x14ac:dyDescent="0.25">
      <c r="P97" t="s">
        <v>121</v>
      </c>
      <c r="Q97" s="4" t="s">
        <v>119</v>
      </c>
      <c r="R97" s="58">
        <f>+R93/R92-1</f>
        <v>0.20852815861535312</v>
      </c>
      <c r="S97" s="58">
        <f>+S93/S92-1</f>
        <v>0.12386033529830276</v>
      </c>
      <c r="T97" s="58">
        <f>+T93/T92-1</f>
        <v>0.13291962354585829</v>
      </c>
      <c r="U97" s="58">
        <f>+U93/U92-1</f>
        <v>0.30455457602791092</v>
      </c>
    </row>
    <row r="98" spans="16:23" ht="16.5" customHeight="1" x14ac:dyDescent="0.25">
      <c r="P98" t="s">
        <v>122</v>
      </c>
    </row>
    <row r="99" spans="16:23" ht="16.5" customHeight="1" x14ac:dyDescent="0.25">
      <c r="P99" t="s">
        <v>120</v>
      </c>
      <c r="Q99" s="4" t="s">
        <v>119</v>
      </c>
      <c r="R99" s="58" t="e">
        <f>+#REF!-R96</f>
        <v>#REF!</v>
      </c>
      <c r="S99" s="58" t="e">
        <f>+#REF!-S96</f>
        <v>#REF!</v>
      </c>
      <c r="T99" s="58" t="e">
        <f>+#REF!-T96</f>
        <v>#REF!</v>
      </c>
      <c r="U99" s="58" t="e">
        <f>+#REF!-U96</f>
        <v>#REF!</v>
      </c>
    </row>
    <row r="100" spans="16:23" ht="16.5" customHeight="1" x14ac:dyDescent="0.25">
      <c r="P100" t="s">
        <v>123</v>
      </c>
      <c r="Q100" s="4" t="s">
        <v>119</v>
      </c>
      <c r="R100" s="58" t="e">
        <f>+#REF!/R97-1</f>
        <v>#REF!</v>
      </c>
      <c r="S100" s="58" t="e">
        <f>+#REF!/S97-1</f>
        <v>#REF!</v>
      </c>
      <c r="T100" s="58" t="e">
        <f>+#REF!/T97-1</f>
        <v>#REF!</v>
      </c>
      <c r="U100" s="58" t="e">
        <f>+#REF!/U97-1</f>
        <v>#REF!</v>
      </c>
    </row>
    <row r="101" spans="16:23" ht="16.5" customHeight="1" x14ac:dyDescent="0.25">
      <c r="P101" t="s">
        <v>124</v>
      </c>
      <c r="Q101" s="4" t="s">
        <v>119</v>
      </c>
      <c r="R101" s="58" t="e">
        <f>+#REF!-R97</f>
        <v>#REF!</v>
      </c>
      <c r="S101" s="58" t="e">
        <f>+#REF!-S97</f>
        <v>#REF!</v>
      </c>
      <c r="T101" s="58" t="e">
        <f>+#REF!-T97</f>
        <v>#REF!</v>
      </c>
      <c r="U101" s="58" t="e">
        <f>+#REF!-U97</f>
        <v>#REF!</v>
      </c>
    </row>
    <row r="102" spans="16:23" ht="16.5" customHeight="1" x14ac:dyDescent="0.25">
      <c r="W102" s="9"/>
    </row>
    <row r="103" spans="16:23" ht="16.5" customHeight="1" x14ac:dyDescent="0.25">
      <c r="P103" t="s">
        <v>204</v>
      </c>
      <c r="Q103" t="s">
        <v>0</v>
      </c>
      <c r="R103" t="s">
        <v>53</v>
      </c>
      <c r="S103" s="9" t="s">
        <v>58</v>
      </c>
      <c r="T103" s="9" t="s">
        <v>60</v>
      </c>
      <c r="U103" t="s">
        <v>43</v>
      </c>
    </row>
    <row r="104" spans="16:23" ht="16.5" customHeight="1" x14ac:dyDescent="0.25">
      <c r="Q104" s="20">
        <v>2015</v>
      </c>
      <c r="R104">
        <v>0.35963749885559082</v>
      </c>
      <c r="S104">
        <v>0.58308708667755127</v>
      </c>
      <c r="T104">
        <v>0.37354069948196411</v>
      </c>
      <c r="V104">
        <v>1641</v>
      </c>
    </row>
    <row r="105" spans="16:23" ht="16.5" customHeight="1" x14ac:dyDescent="0.25">
      <c r="Q105" s="20">
        <v>2016</v>
      </c>
      <c r="R105">
        <v>0.38180473446846008</v>
      </c>
      <c r="S105">
        <v>0.57397425174713135</v>
      </c>
      <c r="T105">
        <v>0.36336135864257813</v>
      </c>
      <c r="U105">
        <v>0.26759070158004761</v>
      </c>
      <c r="V105">
        <v>1676</v>
      </c>
    </row>
    <row r="106" spans="16:23" ht="16.5" customHeight="1" x14ac:dyDescent="0.25">
      <c r="Q106" s="4">
        <v>2017</v>
      </c>
      <c r="R106">
        <v>0.30947476625442505</v>
      </c>
      <c r="S106">
        <v>0.54607468843460083</v>
      </c>
      <c r="T106">
        <v>0.34076717495918274</v>
      </c>
      <c r="U106">
        <v>0.24841658771038055</v>
      </c>
      <c r="V106">
        <v>2390</v>
      </c>
    </row>
    <row r="107" spans="16:23" ht="16.5" customHeight="1" x14ac:dyDescent="0.25">
      <c r="Q107" s="4">
        <v>2018</v>
      </c>
      <c r="R107">
        <v>0.34434044361114502</v>
      </c>
      <c r="S107">
        <v>0.57484769821166992</v>
      </c>
      <c r="T107">
        <v>0.39899203181266785</v>
      </c>
      <c r="U107">
        <v>0.2156938910484314</v>
      </c>
      <c r="V107">
        <v>2525</v>
      </c>
    </row>
    <row r="108" spans="16:23" ht="16.5" customHeight="1" x14ac:dyDescent="0.25">
      <c r="Q108" s="4">
        <v>2019</v>
      </c>
      <c r="R108">
        <v>0.33696466684341431</v>
      </c>
      <c r="S108">
        <v>0.56802564859390259</v>
      </c>
      <c r="T108">
        <v>0.39922571182250977</v>
      </c>
      <c r="U108">
        <v>0.20879372954368591</v>
      </c>
      <c r="V108">
        <v>2710</v>
      </c>
    </row>
    <row r="109" spans="16:23" ht="16.5" customHeight="1" x14ac:dyDescent="0.25">
      <c r="Q109" s="4">
        <v>2020</v>
      </c>
      <c r="R109">
        <v>0.33865863084793091</v>
      </c>
      <c r="S109">
        <v>0.54715722799301147</v>
      </c>
      <c r="T109">
        <v>0.40222063660621643</v>
      </c>
      <c r="U109">
        <v>0.20617805421352386</v>
      </c>
      <c r="V109">
        <v>2549</v>
      </c>
    </row>
    <row r="110" spans="16:23" ht="16.5" customHeight="1" x14ac:dyDescent="0.25">
      <c r="Q110" s="4">
        <v>2021</v>
      </c>
      <c r="R110">
        <v>0.30755549669265747</v>
      </c>
      <c r="S110">
        <v>0.51492476463317871</v>
      </c>
      <c r="T110">
        <v>0.36863306164741516</v>
      </c>
      <c r="U110">
        <v>0.17931933701038361</v>
      </c>
      <c r="V110">
        <v>2566</v>
      </c>
    </row>
    <row r="111" spans="16:23" ht="16.5" customHeight="1" x14ac:dyDescent="0.25">
      <c r="Q111" s="4">
        <v>2022</v>
      </c>
      <c r="R111">
        <v>0.37486234307289124</v>
      </c>
      <c r="S111">
        <v>0.58549147844314575</v>
      </c>
      <c r="T111">
        <v>0.42055106163024902</v>
      </c>
      <c r="U111">
        <v>0.23582427203655243</v>
      </c>
      <c r="V111">
        <v>2596</v>
      </c>
    </row>
    <row r="112" spans="16:23" ht="16.5" customHeight="1" x14ac:dyDescent="0.25">
      <c r="Q112" s="4">
        <v>2023</v>
      </c>
      <c r="R112">
        <v>0.36884993314743042</v>
      </c>
      <c r="S112">
        <v>0.58329558372497559</v>
      </c>
      <c r="T112">
        <v>0.4195559024810791</v>
      </c>
    </row>
    <row r="113" spans="17:23" ht="16.5" customHeight="1" x14ac:dyDescent="0.25"/>
    <row r="114" spans="17:23" ht="16.5" customHeight="1" x14ac:dyDescent="0.25">
      <c r="Q114" s="4"/>
    </row>
    <row r="115" spans="17:23" ht="16.5" customHeight="1" x14ac:dyDescent="0.25">
      <c r="Q115" s="4"/>
    </row>
    <row r="116" spans="17:23" ht="16.5" customHeight="1" x14ac:dyDescent="0.25">
      <c r="Q116" s="4"/>
    </row>
    <row r="117" spans="17:23" ht="16.5" customHeight="1" x14ac:dyDescent="0.25"/>
    <row r="118" spans="17:23" ht="16.5" customHeight="1" x14ac:dyDescent="0.25"/>
    <row r="119" spans="17:23" ht="16.5" customHeight="1" x14ac:dyDescent="0.25"/>
    <row r="120" spans="17:23" ht="16.5" customHeight="1" x14ac:dyDescent="0.25">
      <c r="R120" s="9"/>
      <c r="S120" s="9"/>
      <c r="T120" s="9"/>
      <c r="U120" s="9"/>
      <c r="V120" s="9"/>
      <c r="W120" s="9"/>
    </row>
    <row r="121" spans="17:23" ht="16.5" customHeight="1" x14ac:dyDescent="0.25">
      <c r="Q121" s="20"/>
    </row>
    <row r="122" spans="17:23" ht="16.5" customHeight="1" x14ac:dyDescent="0.25">
      <c r="Q122" s="20"/>
    </row>
    <row r="123" spans="17:23" ht="16.5" customHeight="1" x14ac:dyDescent="0.25">
      <c r="Q123" s="4"/>
    </row>
    <row r="124" spans="17:23" ht="16.5" customHeight="1" x14ac:dyDescent="0.25">
      <c r="Q124" s="4"/>
    </row>
    <row r="125" spans="17:23" ht="16.5" customHeight="1" x14ac:dyDescent="0.25">
      <c r="Q125" s="4"/>
    </row>
    <row r="126" spans="17:23" ht="16.5" customHeight="1" x14ac:dyDescent="0.25">
      <c r="Q126" s="4"/>
    </row>
    <row r="127" spans="17:23" ht="16.5" customHeight="1" x14ac:dyDescent="0.25">
      <c r="Q127" s="4"/>
    </row>
    <row r="128" spans="17:23" ht="16.5" customHeight="1" x14ac:dyDescent="0.25">
      <c r="Q128" s="4"/>
    </row>
    <row r="129" spans="19:19" ht="16.5" customHeight="1" x14ac:dyDescent="0.25"/>
    <row r="130" spans="19:19" ht="16.5" customHeight="1" x14ac:dyDescent="0.25"/>
    <row r="131" spans="19:19" ht="16.5" customHeight="1" x14ac:dyDescent="0.25"/>
    <row r="132" spans="19:19" ht="16.5" customHeight="1" x14ac:dyDescent="0.25"/>
    <row r="133" spans="19:19" ht="16.5" customHeight="1" x14ac:dyDescent="0.25"/>
    <row r="134" spans="19:19" ht="16.5" customHeight="1" x14ac:dyDescent="0.25"/>
    <row r="135" spans="19:19" ht="16.5" customHeight="1" x14ac:dyDescent="0.25"/>
    <row r="136" spans="19:19" x14ac:dyDescent="0.25">
      <c r="S136" s="2"/>
    </row>
    <row r="137" spans="19:19" x14ac:dyDescent="0.25">
      <c r="S137" s="2"/>
    </row>
    <row r="138" spans="19:19" x14ac:dyDescent="0.25">
      <c r="S138" s="2"/>
    </row>
    <row r="139" spans="19:19" x14ac:dyDescent="0.25">
      <c r="S139" s="2"/>
    </row>
    <row r="140" spans="19:19" x14ac:dyDescent="0.25">
      <c r="S140" s="2"/>
    </row>
    <row r="141" spans="19:19" x14ac:dyDescent="0.25">
      <c r="S141" s="2"/>
    </row>
    <row r="142" spans="19:19" x14ac:dyDescent="0.25">
      <c r="S142" s="2"/>
    </row>
    <row r="143" spans="19:19" x14ac:dyDescent="0.25">
      <c r="S143" s="2"/>
    </row>
    <row r="144" spans="19:19" x14ac:dyDescent="0.25">
      <c r="S144" s="2"/>
    </row>
    <row r="145" spans="19:19" x14ac:dyDescent="0.25">
      <c r="S145" s="2"/>
    </row>
    <row r="146" spans="19:19" x14ac:dyDescent="0.25">
      <c r="S146" s="2"/>
    </row>
    <row r="147" spans="19:19" x14ac:dyDescent="0.25">
      <c r="S147" s="2"/>
    </row>
    <row r="148" spans="19:19" x14ac:dyDescent="0.25">
      <c r="S148" s="2"/>
    </row>
    <row r="149" spans="19:19" x14ac:dyDescent="0.25">
      <c r="S149" s="2"/>
    </row>
    <row r="150" spans="19:19" x14ac:dyDescent="0.25">
      <c r="S150" s="2"/>
    </row>
    <row r="151" spans="19:19" x14ac:dyDescent="0.25">
      <c r="S151" s="2"/>
    </row>
    <row r="152" spans="19:19" x14ac:dyDescent="0.25">
      <c r="S152" s="2"/>
    </row>
    <row r="153" spans="19:19" x14ac:dyDescent="0.25">
      <c r="S153" s="2"/>
    </row>
    <row r="154" spans="19:19" x14ac:dyDescent="0.25">
      <c r="S154" s="2"/>
    </row>
    <row r="155" spans="19:19" x14ac:dyDescent="0.25">
      <c r="S155" s="2"/>
    </row>
    <row r="156" spans="19:19" x14ac:dyDescent="0.25">
      <c r="S156" s="2"/>
    </row>
    <row r="157" spans="19:19" x14ac:dyDescent="0.25">
      <c r="S157" s="2"/>
    </row>
    <row r="158" spans="19:19" x14ac:dyDescent="0.25">
      <c r="S158" s="2"/>
    </row>
    <row r="159" spans="19:19" x14ac:dyDescent="0.25">
      <c r="S159" s="2"/>
    </row>
    <row r="160" spans="19:19" x14ac:dyDescent="0.25">
      <c r="S160" s="2"/>
    </row>
    <row r="161" spans="19:19" x14ac:dyDescent="0.25">
      <c r="S161" s="2"/>
    </row>
    <row r="162" spans="19:19" x14ac:dyDescent="0.25">
      <c r="S162" s="2"/>
    </row>
    <row r="163" spans="19:19" x14ac:dyDescent="0.25">
      <c r="S163" s="2"/>
    </row>
    <row r="164" spans="19:19" x14ac:dyDescent="0.25">
      <c r="S164" s="2"/>
    </row>
    <row r="165" spans="19:19" x14ac:dyDescent="0.25">
      <c r="S165" s="2"/>
    </row>
    <row r="166" spans="19:19" x14ac:dyDescent="0.25">
      <c r="S166" s="2"/>
    </row>
    <row r="167" spans="19:19" x14ac:dyDescent="0.25">
      <c r="S167" s="2"/>
    </row>
    <row r="168" spans="19:19" x14ac:dyDescent="0.25">
      <c r="S168" s="2"/>
    </row>
    <row r="169" spans="19:19" x14ac:dyDescent="0.25">
      <c r="S169" s="2"/>
    </row>
    <row r="170" spans="19:19" x14ac:dyDescent="0.25">
      <c r="S170" s="2"/>
    </row>
    <row r="171" spans="19:19" x14ac:dyDescent="0.25">
      <c r="S171" s="2"/>
    </row>
    <row r="172" spans="19:19" x14ac:dyDescent="0.25">
      <c r="S172" s="2"/>
    </row>
    <row r="173" spans="19:19" x14ac:dyDescent="0.25">
      <c r="S173" s="2"/>
    </row>
    <row r="174" spans="19:19" x14ac:dyDescent="0.25">
      <c r="S174" s="2"/>
    </row>
    <row r="175" spans="19:19" x14ac:dyDescent="0.25">
      <c r="S175" s="2"/>
    </row>
    <row r="176" spans="19:19" x14ac:dyDescent="0.25">
      <c r="S176" s="2"/>
    </row>
    <row r="177" spans="19:19" x14ac:dyDescent="0.25">
      <c r="S177" s="2"/>
    </row>
    <row r="178" spans="19:19" x14ac:dyDescent="0.25">
      <c r="S178" s="2"/>
    </row>
    <row r="179" spans="19:19" x14ac:dyDescent="0.25">
      <c r="S179" s="2"/>
    </row>
    <row r="180" spans="19:19" x14ac:dyDescent="0.25">
      <c r="S180" s="2"/>
    </row>
    <row r="181" spans="19:19" x14ac:dyDescent="0.25">
      <c r="S181" s="2"/>
    </row>
    <row r="182" spans="19:19" x14ac:dyDescent="0.25">
      <c r="S182" s="2"/>
    </row>
    <row r="183" spans="19:19" x14ac:dyDescent="0.25">
      <c r="S183" s="2"/>
    </row>
    <row r="184" spans="19:19" x14ac:dyDescent="0.25">
      <c r="S184" s="2"/>
    </row>
    <row r="185" spans="19:19" x14ac:dyDescent="0.25">
      <c r="S185" s="2"/>
    </row>
    <row r="186" spans="19:19" x14ac:dyDescent="0.25">
      <c r="S186" s="2"/>
    </row>
    <row r="187" spans="19:19" x14ac:dyDescent="0.25">
      <c r="S187" s="2"/>
    </row>
    <row r="188" spans="19:19" x14ac:dyDescent="0.25">
      <c r="S188" s="2"/>
    </row>
    <row r="189" spans="19:19" x14ac:dyDescent="0.25">
      <c r="S189" s="2"/>
    </row>
    <row r="190" spans="19:19" x14ac:dyDescent="0.25">
      <c r="S190" s="2"/>
    </row>
    <row r="191" spans="19:19" x14ac:dyDescent="0.25">
      <c r="S191" s="2"/>
    </row>
    <row r="192" spans="19:19" x14ac:dyDescent="0.25">
      <c r="S192" s="2"/>
    </row>
    <row r="193" spans="19:19" x14ac:dyDescent="0.25">
      <c r="S193" s="2"/>
    </row>
    <row r="194" spans="19:19" x14ac:dyDescent="0.25">
      <c r="S194" s="2"/>
    </row>
    <row r="195" spans="19:19" x14ac:dyDescent="0.25">
      <c r="S195" s="2"/>
    </row>
    <row r="196" spans="19:19" x14ac:dyDescent="0.25">
      <c r="S196" s="2"/>
    </row>
    <row r="197" spans="19:19" x14ac:dyDescent="0.25">
      <c r="S197" s="2"/>
    </row>
    <row r="198" spans="19:19" x14ac:dyDescent="0.25">
      <c r="S198" s="2"/>
    </row>
    <row r="199" spans="19:19" x14ac:dyDescent="0.25">
      <c r="S199" s="2"/>
    </row>
    <row r="200" spans="19:19" x14ac:dyDescent="0.25">
      <c r="S200" s="2"/>
    </row>
    <row r="201" spans="19:19" x14ac:dyDescent="0.25">
      <c r="S201" s="2"/>
    </row>
    <row r="202" spans="19:19" x14ac:dyDescent="0.25">
      <c r="S202" s="2"/>
    </row>
    <row r="203" spans="19:19" x14ac:dyDescent="0.25">
      <c r="S203" s="2"/>
    </row>
    <row r="204" spans="19:19" x14ac:dyDescent="0.25">
      <c r="S204" s="2"/>
    </row>
    <row r="205" spans="19:19" x14ac:dyDescent="0.25">
      <c r="S205" s="2"/>
    </row>
    <row r="206" spans="19:19" x14ac:dyDescent="0.25">
      <c r="S206" s="2"/>
    </row>
    <row r="207" spans="19:19" x14ac:dyDescent="0.25">
      <c r="S207" s="2"/>
    </row>
    <row r="208" spans="19:19" x14ac:dyDescent="0.25">
      <c r="S208" s="2"/>
    </row>
    <row r="209" spans="19:19" x14ac:dyDescent="0.25">
      <c r="S209" s="2"/>
    </row>
    <row r="210" spans="19:19" x14ac:dyDescent="0.25">
      <c r="S210" s="2"/>
    </row>
    <row r="211" spans="19:19" x14ac:dyDescent="0.25">
      <c r="S211" s="2"/>
    </row>
    <row r="212" spans="19:19" x14ac:dyDescent="0.25">
      <c r="S212" s="2"/>
    </row>
    <row r="213" spans="19:19" x14ac:dyDescent="0.25">
      <c r="S213" s="2"/>
    </row>
    <row r="214" spans="19:19" x14ac:dyDescent="0.25">
      <c r="S214" s="2"/>
    </row>
    <row r="215" spans="19:19" x14ac:dyDescent="0.25">
      <c r="S215" s="2"/>
    </row>
    <row r="216" spans="19:19" x14ac:dyDescent="0.25">
      <c r="S216" s="2"/>
    </row>
    <row r="217" spans="19:19" x14ac:dyDescent="0.25">
      <c r="S217" s="2"/>
    </row>
    <row r="218" spans="19:19" x14ac:dyDescent="0.25">
      <c r="S218" s="2"/>
    </row>
    <row r="219" spans="19:19" x14ac:dyDescent="0.25">
      <c r="S219" s="2"/>
    </row>
    <row r="220" spans="19:19" x14ac:dyDescent="0.25">
      <c r="S220" s="2"/>
    </row>
    <row r="221" spans="19:19" x14ac:dyDescent="0.25">
      <c r="S221" s="2"/>
    </row>
    <row r="222" spans="19:19" x14ac:dyDescent="0.25">
      <c r="S222" s="2"/>
    </row>
    <row r="223" spans="19:19" x14ac:dyDescent="0.25">
      <c r="S223" s="2"/>
    </row>
    <row r="224" spans="19:19" x14ac:dyDescent="0.25">
      <c r="S224" s="2"/>
    </row>
    <row r="225" spans="19:19" x14ac:dyDescent="0.25">
      <c r="S225" s="2"/>
    </row>
    <row r="226" spans="19:19" x14ac:dyDescent="0.25">
      <c r="S226" s="2"/>
    </row>
    <row r="227" spans="19:19" x14ac:dyDescent="0.25">
      <c r="S227" s="2"/>
    </row>
    <row r="228" spans="19:19" x14ac:dyDescent="0.25">
      <c r="S228" s="2"/>
    </row>
    <row r="229" spans="19:19" x14ac:dyDescent="0.25">
      <c r="S229" s="2"/>
    </row>
    <row r="230" spans="19:19" x14ac:dyDescent="0.25">
      <c r="S230" s="2"/>
    </row>
    <row r="231" spans="19:19" x14ac:dyDescent="0.25">
      <c r="S231" s="2"/>
    </row>
    <row r="232" spans="19:19" x14ac:dyDescent="0.25">
      <c r="S232" s="2"/>
    </row>
    <row r="233" spans="19:19" x14ac:dyDescent="0.25">
      <c r="S233" s="2"/>
    </row>
    <row r="234" spans="19:19" x14ac:dyDescent="0.25">
      <c r="S234" s="2"/>
    </row>
    <row r="235" spans="19:19" x14ac:dyDescent="0.25">
      <c r="S235" s="2"/>
    </row>
    <row r="236" spans="19:19" x14ac:dyDescent="0.25">
      <c r="S236" s="2"/>
    </row>
    <row r="237" spans="19:19" x14ac:dyDescent="0.25">
      <c r="S237" s="2"/>
    </row>
    <row r="238" spans="19:19" x14ac:dyDescent="0.25">
      <c r="S238" s="2"/>
    </row>
    <row r="239" spans="19:19" x14ac:dyDescent="0.25">
      <c r="S239" s="2"/>
    </row>
    <row r="240" spans="19:19" x14ac:dyDescent="0.25">
      <c r="S240" s="2"/>
    </row>
    <row r="241" spans="19:19" x14ac:dyDescent="0.25">
      <c r="S241" s="2"/>
    </row>
    <row r="242" spans="19:19" x14ac:dyDescent="0.25">
      <c r="S242" s="2"/>
    </row>
    <row r="243" spans="19:19" x14ac:dyDescent="0.25">
      <c r="S243" s="2"/>
    </row>
    <row r="244" spans="19:19" x14ac:dyDescent="0.25">
      <c r="S244" s="2"/>
    </row>
    <row r="245" spans="19:19" x14ac:dyDescent="0.25">
      <c r="S245" s="2"/>
    </row>
    <row r="246" spans="19:19" x14ac:dyDescent="0.25">
      <c r="S246" s="2"/>
    </row>
    <row r="247" spans="19:19" x14ac:dyDescent="0.25">
      <c r="S247" s="2"/>
    </row>
    <row r="248" spans="19:19" x14ac:dyDescent="0.25">
      <c r="S248" s="2"/>
    </row>
    <row r="249" spans="19:19" x14ac:dyDescent="0.25">
      <c r="S249" s="2"/>
    </row>
    <row r="250" spans="19:19" x14ac:dyDescent="0.25">
      <c r="S250" s="2"/>
    </row>
    <row r="251" spans="19:19" x14ac:dyDescent="0.25">
      <c r="S251" s="2"/>
    </row>
    <row r="252" spans="19:19" x14ac:dyDescent="0.25">
      <c r="S252" s="2"/>
    </row>
    <row r="253" spans="19:19" x14ac:dyDescent="0.25">
      <c r="S253" s="2"/>
    </row>
    <row r="254" spans="19:19" x14ac:dyDescent="0.25">
      <c r="S254" s="2"/>
    </row>
    <row r="255" spans="19:19" x14ac:dyDescent="0.25">
      <c r="S255" s="2"/>
    </row>
    <row r="256" spans="19:19" x14ac:dyDescent="0.25">
      <c r="S256" s="2"/>
    </row>
    <row r="257" spans="19:19" x14ac:dyDescent="0.25">
      <c r="S257" s="2"/>
    </row>
    <row r="258" spans="19:19" x14ac:dyDescent="0.25">
      <c r="S258" s="2"/>
    </row>
    <row r="259" spans="19:19" x14ac:dyDescent="0.25">
      <c r="S259" s="2"/>
    </row>
    <row r="260" spans="19:19" x14ac:dyDescent="0.25">
      <c r="S260" s="2"/>
    </row>
    <row r="261" spans="19:19" x14ac:dyDescent="0.25">
      <c r="S261" s="2"/>
    </row>
    <row r="262" spans="19:19" x14ac:dyDescent="0.25">
      <c r="S262" s="2"/>
    </row>
    <row r="263" spans="19:19" x14ac:dyDescent="0.25">
      <c r="S263" s="2"/>
    </row>
    <row r="264" spans="19:19" x14ac:dyDescent="0.25">
      <c r="S264" s="2"/>
    </row>
    <row r="265" spans="19:19" x14ac:dyDescent="0.25">
      <c r="S265" s="2"/>
    </row>
    <row r="266" spans="19:19" x14ac:dyDescent="0.25">
      <c r="S266" s="2"/>
    </row>
    <row r="267" spans="19:19" x14ac:dyDescent="0.25">
      <c r="S267" s="2"/>
    </row>
    <row r="268" spans="19:19" x14ac:dyDescent="0.25">
      <c r="S268" s="2"/>
    </row>
    <row r="269" spans="19:19" x14ac:dyDescent="0.25">
      <c r="S269" s="2"/>
    </row>
    <row r="270" spans="19:19" x14ac:dyDescent="0.25">
      <c r="S270" s="2"/>
    </row>
    <row r="271" spans="19:19" x14ac:dyDescent="0.25">
      <c r="S271" s="2"/>
    </row>
    <row r="272" spans="19:19" x14ac:dyDescent="0.25">
      <c r="S272" s="2"/>
    </row>
    <row r="273" spans="19:19" x14ac:dyDescent="0.25">
      <c r="S273" s="2"/>
    </row>
    <row r="274" spans="19:19" x14ac:dyDescent="0.25">
      <c r="S274" s="2"/>
    </row>
    <row r="275" spans="19:19" x14ac:dyDescent="0.25">
      <c r="S275" s="2"/>
    </row>
    <row r="276" spans="19:19" x14ac:dyDescent="0.25">
      <c r="S276" s="2"/>
    </row>
    <row r="277" spans="19:19" x14ac:dyDescent="0.25">
      <c r="S277" s="2"/>
    </row>
    <row r="278" spans="19:19" x14ac:dyDescent="0.25">
      <c r="S278" s="2"/>
    </row>
    <row r="279" spans="19:19" x14ac:dyDescent="0.25">
      <c r="S279" s="2"/>
    </row>
    <row r="280" spans="19:19" x14ac:dyDescent="0.25">
      <c r="S280" s="2"/>
    </row>
    <row r="281" spans="19:19" x14ac:dyDescent="0.25">
      <c r="S281" s="2"/>
    </row>
    <row r="282" spans="19:19" x14ac:dyDescent="0.25">
      <c r="S282" s="2"/>
    </row>
    <row r="283" spans="19:19" x14ac:dyDescent="0.25">
      <c r="S283" s="2"/>
    </row>
    <row r="284" spans="19:19" x14ac:dyDescent="0.25">
      <c r="S284" s="2"/>
    </row>
    <row r="285" spans="19:19" x14ac:dyDescent="0.25">
      <c r="S285" s="2"/>
    </row>
    <row r="286" spans="19:19" x14ac:dyDescent="0.25">
      <c r="S286" s="2"/>
    </row>
    <row r="287" spans="19:19" x14ac:dyDescent="0.25">
      <c r="S287" s="2"/>
    </row>
    <row r="288" spans="19:19" x14ac:dyDescent="0.25">
      <c r="S288" s="2"/>
    </row>
    <row r="289" spans="19:19" x14ac:dyDescent="0.25">
      <c r="S289" s="2"/>
    </row>
    <row r="290" spans="19:19" x14ac:dyDescent="0.25">
      <c r="S290" s="2"/>
    </row>
    <row r="291" spans="19:19" x14ac:dyDescent="0.25">
      <c r="S291" s="2"/>
    </row>
    <row r="292" spans="19:19" x14ac:dyDescent="0.25">
      <c r="S292" s="2"/>
    </row>
    <row r="293" spans="19:19" x14ac:dyDescent="0.25">
      <c r="S293" s="2"/>
    </row>
    <row r="294" spans="19:19" x14ac:dyDescent="0.25">
      <c r="S294" s="2"/>
    </row>
    <row r="295" spans="19:19" x14ac:dyDescent="0.25">
      <c r="S295" s="2"/>
    </row>
    <row r="296" spans="19:19" x14ac:dyDescent="0.25">
      <c r="S296" s="2"/>
    </row>
    <row r="297" spans="19:19" x14ac:dyDescent="0.25">
      <c r="S297" s="2"/>
    </row>
    <row r="298" spans="19:19" x14ac:dyDescent="0.25">
      <c r="S298" s="2"/>
    </row>
    <row r="299" spans="19:19" x14ac:dyDescent="0.25">
      <c r="S299" s="2"/>
    </row>
    <row r="300" spans="19:19" x14ac:dyDescent="0.25">
      <c r="S300" s="2"/>
    </row>
    <row r="301" spans="19:19" x14ac:dyDescent="0.25">
      <c r="S301" s="2"/>
    </row>
    <row r="302" spans="19:19" x14ac:dyDescent="0.25">
      <c r="S302" s="2"/>
    </row>
    <row r="303" spans="19:19" x14ac:dyDescent="0.25">
      <c r="S303" s="2"/>
    </row>
    <row r="304" spans="19:19" x14ac:dyDescent="0.25">
      <c r="S304" s="2"/>
    </row>
    <row r="305" spans="19:19" x14ac:dyDescent="0.25">
      <c r="S305" s="2"/>
    </row>
    <row r="306" spans="19:19" x14ac:dyDescent="0.25">
      <c r="S306" s="2"/>
    </row>
    <row r="307" spans="19:19" x14ac:dyDescent="0.25">
      <c r="S307" s="2"/>
    </row>
    <row r="308" spans="19:19" x14ac:dyDescent="0.25">
      <c r="S308" s="2"/>
    </row>
    <row r="309" spans="19:19" x14ac:dyDescent="0.25">
      <c r="S309" s="2"/>
    </row>
    <row r="310" spans="19:19" x14ac:dyDescent="0.25">
      <c r="S310" s="2"/>
    </row>
    <row r="311" spans="19:19" x14ac:dyDescent="0.25">
      <c r="S311" s="2"/>
    </row>
    <row r="312" spans="19:19" x14ac:dyDescent="0.25">
      <c r="S312" s="2"/>
    </row>
    <row r="313" spans="19:19" x14ac:dyDescent="0.25">
      <c r="S313" s="2"/>
    </row>
    <row r="314" spans="19:19" x14ac:dyDescent="0.25">
      <c r="S314" s="2"/>
    </row>
    <row r="315" spans="19:19" x14ac:dyDescent="0.25">
      <c r="S315" s="2"/>
    </row>
    <row r="316" spans="19:19" x14ac:dyDescent="0.25">
      <c r="S316" s="2"/>
    </row>
    <row r="317" spans="19:19" x14ac:dyDescent="0.25">
      <c r="S317" s="2"/>
    </row>
    <row r="318" spans="19:19" x14ac:dyDescent="0.25">
      <c r="S318" s="2"/>
    </row>
    <row r="319" spans="19:19" x14ac:dyDescent="0.25">
      <c r="S319" s="2"/>
    </row>
    <row r="320" spans="19:19" x14ac:dyDescent="0.25">
      <c r="S320" s="2"/>
    </row>
    <row r="321" spans="19:19" x14ac:dyDescent="0.25">
      <c r="S321" s="2"/>
    </row>
    <row r="322" spans="19:19" x14ac:dyDescent="0.25">
      <c r="S322" s="2"/>
    </row>
    <row r="323" spans="19:19" x14ac:dyDescent="0.25">
      <c r="S323" s="2"/>
    </row>
    <row r="324" spans="19:19" x14ac:dyDescent="0.25">
      <c r="S324" s="2"/>
    </row>
    <row r="325" spans="19:19" x14ac:dyDescent="0.25">
      <c r="S325" s="2"/>
    </row>
    <row r="326" spans="19:19" x14ac:dyDescent="0.25">
      <c r="S326" s="2"/>
    </row>
    <row r="327" spans="19:19" x14ac:dyDescent="0.25">
      <c r="S327" s="2"/>
    </row>
    <row r="328" spans="19:19" x14ac:dyDescent="0.25">
      <c r="S328" s="2"/>
    </row>
    <row r="329" spans="19:19" x14ac:dyDescent="0.25">
      <c r="S329" s="2"/>
    </row>
    <row r="330" spans="19:19" x14ac:dyDescent="0.25">
      <c r="S330" s="2"/>
    </row>
    <row r="331" spans="19:19" x14ac:dyDescent="0.25">
      <c r="S331" s="2"/>
    </row>
    <row r="332" spans="19:19" x14ac:dyDescent="0.25">
      <c r="S332" s="2"/>
    </row>
    <row r="333" spans="19:19" x14ac:dyDescent="0.25">
      <c r="S333" s="2"/>
    </row>
    <row r="334" spans="19:19" x14ac:dyDescent="0.25">
      <c r="S334" s="2"/>
    </row>
    <row r="335" spans="19:19" x14ac:dyDescent="0.25">
      <c r="S335" s="2"/>
    </row>
    <row r="336" spans="19:19" x14ac:dyDescent="0.25">
      <c r="S336" s="2"/>
    </row>
    <row r="337" spans="19:19" x14ac:dyDescent="0.25">
      <c r="S337" s="2"/>
    </row>
    <row r="338" spans="19:19" x14ac:dyDescent="0.25">
      <c r="S338" s="2"/>
    </row>
    <row r="339" spans="19:19" x14ac:dyDescent="0.25">
      <c r="S339" s="2"/>
    </row>
    <row r="340" spans="19:19" x14ac:dyDescent="0.25">
      <c r="S340" s="2"/>
    </row>
    <row r="341" spans="19:19" x14ac:dyDescent="0.25">
      <c r="S341" s="2"/>
    </row>
    <row r="342" spans="19:19" x14ac:dyDescent="0.25">
      <c r="S342" s="2"/>
    </row>
    <row r="343" spans="19:19" x14ac:dyDescent="0.25">
      <c r="S343" s="2"/>
    </row>
    <row r="344" spans="19:19" x14ac:dyDescent="0.25">
      <c r="S344" s="2"/>
    </row>
    <row r="345" spans="19:19" x14ac:dyDescent="0.25">
      <c r="S345" s="2"/>
    </row>
    <row r="346" spans="19:19" x14ac:dyDescent="0.25">
      <c r="S346" s="2"/>
    </row>
    <row r="347" spans="19:19" x14ac:dyDescent="0.25">
      <c r="S347" s="2"/>
    </row>
    <row r="348" spans="19:19" x14ac:dyDescent="0.25">
      <c r="S348" s="2"/>
    </row>
    <row r="349" spans="19:19" x14ac:dyDescent="0.25">
      <c r="S349" s="2"/>
    </row>
    <row r="350" spans="19:19" x14ac:dyDescent="0.25">
      <c r="S350" s="2"/>
    </row>
    <row r="351" spans="19:19" x14ac:dyDescent="0.25">
      <c r="S351" s="2"/>
    </row>
    <row r="352" spans="19:19" x14ac:dyDescent="0.25">
      <c r="S352" s="2"/>
    </row>
    <row r="353" spans="19:19" x14ac:dyDescent="0.25">
      <c r="S353" s="2"/>
    </row>
    <row r="354" spans="19:19" x14ac:dyDescent="0.25">
      <c r="S354" s="2"/>
    </row>
    <row r="355" spans="19:19" x14ac:dyDescent="0.25">
      <c r="S355" s="2"/>
    </row>
    <row r="356" spans="19:19" x14ac:dyDescent="0.25">
      <c r="S356" s="2"/>
    </row>
    <row r="357" spans="19:19" x14ac:dyDescent="0.25">
      <c r="S357" s="2"/>
    </row>
    <row r="358" spans="19:19" x14ac:dyDescent="0.25">
      <c r="S358" s="2"/>
    </row>
    <row r="359" spans="19:19" x14ac:dyDescent="0.25">
      <c r="S359" s="2"/>
    </row>
    <row r="360" spans="19:19" x14ac:dyDescent="0.25">
      <c r="S360" s="2"/>
    </row>
    <row r="361" spans="19:19" x14ac:dyDescent="0.25">
      <c r="S361" s="2"/>
    </row>
    <row r="362" spans="19:19" x14ac:dyDescent="0.25">
      <c r="S362" s="2"/>
    </row>
    <row r="363" spans="19:19" x14ac:dyDescent="0.25">
      <c r="S363" s="2"/>
    </row>
    <row r="364" spans="19:19" x14ac:dyDescent="0.25">
      <c r="S364" s="2"/>
    </row>
    <row r="365" spans="19:19" x14ac:dyDescent="0.25">
      <c r="S365" s="2"/>
    </row>
    <row r="366" spans="19:19" x14ac:dyDescent="0.25">
      <c r="S366" s="2"/>
    </row>
    <row r="367" spans="19:19" x14ac:dyDescent="0.25">
      <c r="S367" s="2"/>
    </row>
    <row r="368" spans="19:19" x14ac:dyDescent="0.25">
      <c r="S368" s="2"/>
    </row>
    <row r="369" spans="19:19" x14ac:dyDescent="0.25">
      <c r="S369" s="2"/>
    </row>
    <row r="370" spans="19:19" x14ac:dyDescent="0.25">
      <c r="S370" s="2"/>
    </row>
    <row r="371" spans="19:19" x14ac:dyDescent="0.25">
      <c r="S371" s="2"/>
    </row>
    <row r="372" spans="19:19" x14ac:dyDescent="0.25">
      <c r="S372" s="2"/>
    </row>
    <row r="373" spans="19:19" x14ac:dyDescent="0.25">
      <c r="S373" s="2"/>
    </row>
    <row r="374" spans="19:19" x14ac:dyDescent="0.25">
      <c r="S374" s="2"/>
    </row>
    <row r="375" spans="19:19" x14ac:dyDescent="0.25">
      <c r="S375" s="2"/>
    </row>
    <row r="376" spans="19:19" x14ac:dyDescent="0.25">
      <c r="S376" s="2"/>
    </row>
    <row r="377" spans="19:19" x14ac:dyDescent="0.25">
      <c r="S377" s="2"/>
    </row>
    <row r="378" spans="19:19" x14ac:dyDescent="0.25">
      <c r="S378" s="2"/>
    </row>
    <row r="379" spans="19:19" x14ac:dyDescent="0.25">
      <c r="S379" s="2"/>
    </row>
    <row r="380" spans="19:19" x14ac:dyDescent="0.25">
      <c r="S380" s="2"/>
    </row>
    <row r="381" spans="19:19" x14ac:dyDescent="0.25">
      <c r="S381" s="2"/>
    </row>
    <row r="382" spans="19:19" x14ac:dyDescent="0.25">
      <c r="S382" s="2"/>
    </row>
    <row r="383" spans="19:19" x14ac:dyDescent="0.25">
      <c r="S383" s="2"/>
    </row>
    <row r="384" spans="19:19" x14ac:dyDescent="0.25">
      <c r="S384" s="2"/>
    </row>
    <row r="385" spans="19:19" x14ac:dyDescent="0.25">
      <c r="S385" s="2"/>
    </row>
    <row r="386" spans="19:19" x14ac:dyDescent="0.25">
      <c r="S386" s="2"/>
    </row>
    <row r="387" spans="19:19" x14ac:dyDescent="0.25">
      <c r="S387" s="2"/>
    </row>
    <row r="388" spans="19:19" x14ac:dyDescent="0.25">
      <c r="S388" s="2"/>
    </row>
    <row r="389" spans="19:19" x14ac:dyDescent="0.25">
      <c r="S389" s="2"/>
    </row>
    <row r="390" spans="19:19" x14ac:dyDescent="0.25">
      <c r="S390" s="2"/>
    </row>
    <row r="391" spans="19:19" x14ac:dyDescent="0.25">
      <c r="S391" s="2"/>
    </row>
    <row r="392" spans="19:19" x14ac:dyDescent="0.25">
      <c r="S392" s="2"/>
    </row>
    <row r="393" spans="19:19" x14ac:dyDescent="0.25">
      <c r="S393" s="2"/>
    </row>
    <row r="394" spans="19:19" x14ac:dyDescent="0.25">
      <c r="S394" s="2"/>
    </row>
    <row r="395" spans="19:19" x14ac:dyDescent="0.25">
      <c r="S395" s="2"/>
    </row>
    <row r="396" spans="19:19" x14ac:dyDescent="0.25">
      <c r="S396" s="2"/>
    </row>
    <row r="397" spans="19:19" x14ac:dyDescent="0.25">
      <c r="S397" s="2"/>
    </row>
    <row r="398" spans="19:19" x14ac:dyDescent="0.25">
      <c r="S398" s="2"/>
    </row>
    <row r="399" spans="19:19" x14ac:dyDescent="0.25">
      <c r="S399" s="2"/>
    </row>
    <row r="400" spans="19:19" x14ac:dyDescent="0.25">
      <c r="S400" s="2"/>
    </row>
    <row r="401" spans="19:19" x14ac:dyDescent="0.25">
      <c r="S401" s="2"/>
    </row>
    <row r="402" spans="19:19" x14ac:dyDescent="0.25">
      <c r="S402" s="2"/>
    </row>
    <row r="403" spans="19:19" x14ac:dyDescent="0.25">
      <c r="S403" s="2"/>
    </row>
    <row r="404" spans="19:19" x14ac:dyDescent="0.25">
      <c r="S404" s="2"/>
    </row>
    <row r="405" spans="19:19" x14ac:dyDescent="0.25">
      <c r="S405" s="2"/>
    </row>
    <row r="406" spans="19:19" x14ac:dyDescent="0.25">
      <c r="S406" s="2"/>
    </row>
    <row r="407" spans="19:19" x14ac:dyDescent="0.25">
      <c r="S407" s="2"/>
    </row>
    <row r="408" spans="19:19" x14ac:dyDescent="0.25">
      <c r="S408" s="2"/>
    </row>
    <row r="409" spans="19:19" x14ac:dyDescent="0.25">
      <c r="S409" s="2"/>
    </row>
    <row r="410" spans="19:19" x14ac:dyDescent="0.25">
      <c r="S410" s="2"/>
    </row>
    <row r="411" spans="19:19" x14ac:dyDescent="0.25">
      <c r="S411" s="2"/>
    </row>
    <row r="412" spans="19:19" x14ac:dyDescent="0.25">
      <c r="S412" s="2"/>
    </row>
    <row r="413" spans="19:19" x14ac:dyDescent="0.25">
      <c r="S413" s="2"/>
    </row>
    <row r="414" spans="19:19" x14ac:dyDescent="0.25">
      <c r="S414" s="2"/>
    </row>
    <row r="415" spans="19:19" x14ac:dyDescent="0.25">
      <c r="S415" s="2"/>
    </row>
    <row r="416" spans="19:19" x14ac:dyDescent="0.25">
      <c r="S416" s="2"/>
    </row>
    <row r="417" spans="19:19" x14ac:dyDescent="0.25">
      <c r="S417" s="2"/>
    </row>
    <row r="418" spans="19:19" x14ac:dyDescent="0.25">
      <c r="S418" s="2"/>
    </row>
    <row r="419" spans="19:19" x14ac:dyDescent="0.25">
      <c r="S419" s="2"/>
    </row>
    <row r="420" spans="19:19" x14ac:dyDescent="0.25">
      <c r="S420" s="2"/>
    </row>
    <row r="421" spans="19:19" x14ac:dyDescent="0.25">
      <c r="S421" s="2"/>
    </row>
    <row r="422" spans="19:19" x14ac:dyDescent="0.25">
      <c r="S422" s="2"/>
    </row>
    <row r="423" spans="19:19" x14ac:dyDescent="0.25">
      <c r="S423" s="2"/>
    </row>
    <row r="424" spans="19:19" x14ac:dyDescent="0.25">
      <c r="S424" s="2"/>
    </row>
    <row r="425" spans="19:19" x14ac:dyDescent="0.25">
      <c r="S425" s="2"/>
    </row>
    <row r="426" spans="19:19" x14ac:dyDescent="0.25">
      <c r="S426" s="2"/>
    </row>
    <row r="427" spans="19:19" x14ac:dyDescent="0.25">
      <c r="S427" s="2"/>
    </row>
    <row r="428" spans="19:19" x14ac:dyDescent="0.25">
      <c r="S428" s="2"/>
    </row>
    <row r="429" spans="19:19" x14ac:dyDescent="0.25">
      <c r="S429" s="2"/>
    </row>
    <row r="430" spans="19:19" x14ac:dyDescent="0.25">
      <c r="S430" s="2"/>
    </row>
    <row r="431" spans="19:19" x14ac:dyDescent="0.25">
      <c r="S431" s="2"/>
    </row>
    <row r="432" spans="19:19" x14ac:dyDescent="0.25">
      <c r="S432" s="2"/>
    </row>
    <row r="433" spans="19:19" x14ac:dyDescent="0.25">
      <c r="S433" s="2"/>
    </row>
    <row r="434" spans="19:19" x14ac:dyDescent="0.25">
      <c r="S434" s="2"/>
    </row>
    <row r="435" spans="19:19" x14ac:dyDescent="0.25">
      <c r="S435" s="2"/>
    </row>
    <row r="436" spans="19:19" x14ac:dyDescent="0.25">
      <c r="S436" s="2"/>
    </row>
    <row r="437" spans="19:19" x14ac:dyDescent="0.25">
      <c r="S437" s="2"/>
    </row>
    <row r="438" spans="19:19" x14ac:dyDescent="0.25">
      <c r="S438" s="2"/>
    </row>
    <row r="439" spans="19:19" x14ac:dyDescent="0.25">
      <c r="S439" s="2"/>
    </row>
    <row r="440" spans="19:19" x14ac:dyDescent="0.25">
      <c r="S440" s="2"/>
    </row>
    <row r="441" spans="19:19" x14ac:dyDescent="0.25">
      <c r="S441" s="2"/>
    </row>
    <row r="442" spans="19:19" x14ac:dyDescent="0.25">
      <c r="S442" s="2"/>
    </row>
    <row r="443" spans="19:19" x14ac:dyDescent="0.25">
      <c r="S443" s="2"/>
    </row>
    <row r="444" spans="19:19" x14ac:dyDescent="0.25">
      <c r="S444" s="2"/>
    </row>
    <row r="445" spans="19:19" x14ac:dyDescent="0.25">
      <c r="S445" s="2"/>
    </row>
    <row r="446" spans="19:19" x14ac:dyDescent="0.25">
      <c r="S446" s="2"/>
    </row>
    <row r="447" spans="19:19" x14ac:dyDescent="0.25">
      <c r="S447" s="2"/>
    </row>
    <row r="448" spans="19:19" x14ac:dyDescent="0.25">
      <c r="S448" s="2"/>
    </row>
    <row r="449" spans="19:19" x14ac:dyDescent="0.25">
      <c r="S449" s="2"/>
    </row>
    <row r="450" spans="19:19" x14ac:dyDescent="0.25">
      <c r="S450" s="2"/>
    </row>
    <row r="451" spans="19:19" x14ac:dyDescent="0.25">
      <c r="S451" s="2"/>
    </row>
    <row r="452" spans="19:19" x14ac:dyDescent="0.25">
      <c r="S452" s="2"/>
    </row>
    <row r="453" spans="19:19" x14ac:dyDescent="0.25">
      <c r="S453" s="2"/>
    </row>
    <row r="454" spans="19:19" x14ac:dyDescent="0.25">
      <c r="S454" s="2"/>
    </row>
    <row r="455" spans="19:19" x14ac:dyDescent="0.25">
      <c r="S455" s="2"/>
    </row>
    <row r="456" spans="19:19" x14ac:dyDescent="0.25">
      <c r="S456" s="2"/>
    </row>
    <row r="457" spans="19:19" x14ac:dyDescent="0.25">
      <c r="S457" s="2"/>
    </row>
    <row r="458" spans="19:19" x14ac:dyDescent="0.25">
      <c r="S458" s="2"/>
    </row>
    <row r="459" spans="19:19" x14ac:dyDescent="0.25">
      <c r="S459" s="2"/>
    </row>
    <row r="460" spans="19:19" x14ac:dyDescent="0.25">
      <c r="S460" s="2"/>
    </row>
    <row r="461" spans="19:19" x14ac:dyDescent="0.25">
      <c r="S461" s="2"/>
    </row>
    <row r="462" spans="19:19" x14ac:dyDescent="0.25">
      <c r="S462" s="2"/>
    </row>
    <row r="463" spans="19:19" x14ac:dyDescent="0.25">
      <c r="S463" s="2"/>
    </row>
    <row r="464" spans="19:19" x14ac:dyDescent="0.25">
      <c r="S464" s="2"/>
    </row>
    <row r="465" spans="19:19" x14ac:dyDescent="0.25">
      <c r="S465" s="2"/>
    </row>
    <row r="466" spans="19:19" x14ac:dyDescent="0.25">
      <c r="S466" s="2"/>
    </row>
    <row r="467" spans="19:19" x14ac:dyDescent="0.25">
      <c r="S467" s="2"/>
    </row>
    <row r="468" spans="19:19" x14ac:dyDescent="0.25">
      <c r="S468" s="2"/>
    </row>
    <row r="469" spans="19:19" x14ac:dyDescent="0.25">
      <c r="S469" s="2"/>
    </row>
    <row r="470" spans="19:19" x14ac:dyDescent="0.25">
      <c r="S470" s="2"/>
    </row>
    <row r="471" spans="19:19" x14ac:dyDescent="0.25">
      <c r="S471" s="2"/>
    </row>
    <row r="472" spans="19:19" x14ac:dyDescent="0.25">
      <c r="S472" s="2"/>
    </row>
    <row r="473" spans="19:19" x14ac:dyDescent="0.25">
      <c r="S473" s="2"/>
    </row>
    <row r="474" spans="19:19" x14ac:dyDescent="0.25">
      <c r="S474" s="2"/>
    </row>
    <row r="475" spans="19:19" x14ac:dyDescent="0.25">
      <c r="S475" s="2"/>
    </row>
    <row r="476" spans="19:19" x14ac:dyDescent="0.25">
      <c r="S476" s="2"/>
    </row>
    <row r="477" spans="19:19" x14ac:dyDescent="0.25">
      <c r="S477" s="2"/>
    </row>
    <row r="478" spans="19:19" x14ac:dyDescent="0.25">
      <c r="S478" s="2"/>
    </row>
    <row r="479" spans="19:19" x14ac:dyDescent="0.25">
      <c r="S479" s="2"/>
    </row>
    <row r="480" spans="19:19" x14ac:dyDescent="0.25">
      <c r="S480" s="2"/>
    </row>
    <row r="481" spans="19:19" x14ac:dyDescent="0.25">
      <c r="S481" s="2"/>
    </row>
    <row r="482" spans="19:19" x14ac:dyDescent="0.25">
      <c r="S482" s="2"/>
    </row>
  </sheetData>
  <mergeCells count="1">
    <mergeCell ref="A67:O74"/>
  </mergeCells>
  <printOptions horizontalCentered="1" verticalCentered="1"/>
  <pageMargins left="0.75" right="0.75" top="1" bottom="1" header="0.5" footer="0.5"/>
  <pageSetup scale="64"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CA8C-FFC4-4FE2-86F6-89554B9615F6}">
  <sheetPr>
    <pageSetUpPr fitToPage="1"/>
  </sheetPr>
  <dimension ref="A1:AJ429"/>
  <sheetViews>
    <sheetView zoomScale="80" zoomScaleNormal="80" workbookViewId="0"/>
  </sheetViews>
  <sheetFormatPr defaultRowHeight="13.2" x14ac:dyDescent="0.25"/>
  <cols>
    <col min="3" max="3" width="15.5546875" customWidth="1"/>
    <col min="17" max="17" width="9.21875" bestFit="1" customWidth="1"/>
    <col min="18" max="18" width="14.44140625" bestFit="1" customWidth="1"/>
    <col min="19" max="24" width="9.21875" bestFit="1" customWidth="1"/>
    <col min="33" max="33" width="21" bestFit="1" customWidth="1"/>
    <col min="40" max="40" width="10.5546875" customWidth="1"/>
  </cols>
  <sheetData>
    <row r="1" spans="17:24" ht="16.5" customHeight="1" x14ac:dyDescent="0.25"/>
    <row r="2" spans="17:24" ht="16.5" customHeight="1" x14ac:dyDescent="0.25">
      <c r="R2" s="157" t="s">
        <v>192</v>
      </c>
      <c r="S2" s="157"/>
      <c r="T2" s="157"/>
    </row>
    <row r="3" spans="17:24" ht="16.5" customHeight="1" x14ac:dyDescent="0.25">
      <c r="Q3" t="s">
        <v>0</v>
      </c>
      <c r="R3" t="s">
        <v>193</v>
      </c>
      <c r="S3" s="9" t="s">
        <v>195</v>
      </c>
      <c r="T3" s="9" t="s">
        <v>194</v>
      </c>
      <c r="U3" s="9"/>
    </row>
    <row r="4" spans="17:24" ht="16.5" customHeight="1" x14ac:dyDescent="0.25">
      <c r="Q4" s="20">
        <v>2015</v>
      </c>
      <c r="R4">
        <v>0.12663017213344574</v>
      </c>
      <c r="S4">
        <v>0.1657065749168396</v>
      </c>
      <c r="T4">
        <v>0.10895797610282898</v>
      </c>
    </row>
    <row r="5" spans="17:24" ht="16.5" customHeight="1" x14ac:dyDescent="0.25">
      <c r="Q5" s="20">
        <v>2016</v>
      </c>
      <c r="R5">
        <v>0.12302740663290024</v>
      </c>
      <c r="S5">
        <v>0.16514700651168823</v>
      </c>
      <c r="T5">
        <v>0.10464818030595779</v>
      </c>
    </row>
    <row r="6" spans="17:24" ht="16.5" customHeight="1" x14ac:dyDescent="0.25">
      <c r="Q6" s="4">
        <v>2017</v>
      </c>
      <c r="R6">
        <v>0.11800077557563782</v>
      </c>
      <c r="S6">
        <v>0.15726262331008911</v>
      </c>
      <c r="T6">
        <v>0.10132454335689545</v>
      </c>
    </row>
    <row r="7" spans="17:24" ht="16.5" customHeight="1" x14ac:dyDescent="0.25">
      <c r="Q7" s="4">
        <v>2018</v>
      </c>
      <c r="R7">
        <v>0.11072466522455215</v>
      </c>
      <c r="S7">
        <v>0.13938502967357635</v>
      </c>
      <c r="T7">
        <v>9.8960474133491516E-2</v>
      </c>
    </row>
    <row r="8" spans="17:24" ht="16.5" customHeight="1" x14ac:dyDescent="0.25">
      <c r="Q8" s="4">
        <v>2019</v>
      </c>
      <c r="R8">
        <v>0.1053977832198143</v>
      </c>
      <c r="S8">
        <v>0.13649876415729523</v>
      </c>
      <c r="T8">
        <v>9.2683017253875732E-2</v>
      </c>
    </row>
    <row r="9" spans="17:24" ht="16.5" customHeight="1" x14ac:dyDescent="0.25">
      <c r="Q9" s="4">
        <v>2020</v>
      </c>
      <c r="R9">
        <v>0.10542494803667068</v>
      </c>
      <c r="S9">
        <v>0.14834621548652649</v>
      </c>
      <c r="T9">
        <v>8.7848149240016937E-2</v>
      </c>
    </row>
    <row r="10" spans="17:24" ht="16.5" customHeight="1" x14ac:dyDescent="0.25">
      <c r="Q10" s="4">
        <v>2021</v>
      </c>
      <c r="R10">
        <v>0.10230888426303864</v>
      </c>
      <c r="S10">
        <v>0.12498287856578827</v>
      </c>
      <c r="T10">
        <v>9.3559682369232178E-2</v>
      </c>
    </row>
    <row r="11" spans="17:24" ht="16.5" customHeight="1" x14ac:dyDescent="0.25">
      <c r="Q11" s="4">
        <v>2022</v>
      </c>
      <c r="R11">
        <v>0.12793222069740295</v>
      </c>
      <c r="S11">
        <v>0.17288175225257874</v>
      </c>
      <c r="T11">
        <v>0.11040537804365158</v>
      </c>
    </row>
    <row r="12" spans="17:24" ht="16.5" customHeight="1" x14ac:dyDescent="0.25"/>
    <row r="13" spans="17:24" ht="16.5" customHeight="1" x14ac:dyDescent="0.25">
      <c r="Q13" s="4" t="s">
        <v>154</v>
      </c>
      <c r="R13">
        <f>+R9-R8</f>
        <v>2.7164816856384277E-5</v>
      </c>
      <c r="S13">
        <f>+S9-S8</f>
        <v>1.1847451329231262E-2</v>
      </c>
      <c r="T13">
        <f>+T9-T8</f>
        <v>-4.8348680138587952E-3</v>
      </c>
    </row>
    <row r="14" spans="17:24" ht="16.5" customHeight="1" x14ac:dyDescent="0.25">
      <c r="R14" t="s">
        <v>127</v>
      </c>
      <c r="S14" t="s">
        <v>127</v>
      </c>
      <c r="T14" t="s">
        <v>128</v>
      </c>
      <c r="U14" t="s">
        <v>128</v>
      </c>
      <c r="V14" t="s">
        <v>122</v>
      </c>
    </row>
    <row r="15" spans="17:24" ht="16.5" customHeight="1" x14ac:dyDescent="0.25">
      <c r="R15" t="s">
        <v>125</v>
      </c>
      <c r="S15" t="s">
        <v>126</v>
      </c>
      <c r="T15" t="s">
        <v>125</v>
      </c>
      <c r="U15" t="s">
        <v>126</v>
      </c>
      <c r="V15" t="s">
        <v>120</v>
      </c>
      <c r="W15" t="s">
        <v>123</v>
      </c>
      <c r="X15" t="s">
        <v>124</v>
      </c>
    </row>
    <row r="16" spans="17:24" ht="16.5" customHeight="1" x14ac:dyDescent="0.25">
      <c r="Q16" t="s">
        <v>119</v>
      </c>
      <c r="R16" s="58">
        <f>+S11-S10</f>
        <v>4.7898873686790466E-2</v>
      </c>
      <c r="S16" s="58">
        <f>+S11/S10-1</f>
        <v>0.3832434829189626</v>
      </c>
      <c r="T16" s="58">
        <f>+T11-T10</f>
        <v>1.6845695674419403E-2</v>
      </c>
      <c r="U16" s="58">
        <f>+T11/T10-1</f>
        <v>0.18005293784493692</v>
      </c>
      <c r="V16" s="58">
        <f>+R16-T16</f>
        <v>3.1053178012371063E-2</v>
      </c>
      <c r="W16" s="58">
        <f>+S16/U16-1</f>
        <v>1.1285044693300983</v>
      </c>
      <c r="X16" s="58">
        <f>+S16-U16</f>
        <v>0.20319054507402567</v>
      </c>
    </row>
    <row r="17" spans="1:36" ht="16.5" customHeight="1" x14ac:dyDescent="0.25"/>
    <row r="18" spans="1:36" ht="16.5" customHeight="1" x14ac:dyDescent="0.25"/>
    <row r="19" spans="1:36" ht="16.5" customHeight="1" x14ac:dyDescent="0.25">
      <c r="Q19" s="4" t="s">
        <v>154</v>
      </c>
      <c r="S19">
        <f>+S13/S8</f>
        <v>8.6795301059127361E-2</v>
      </c>
    </row>
    <row r="20" spans="1:36" ht="16.5" customHeight="1" x14ac:dyDescent="0.25"/>
    <row r="21" spans="1:36" ht="16.5" customHeight="1" x14ac:dyDescent="0.25"/>
    <row r="22" spans="1:36" ht="16.5" customHeight="1" x14ac:dyDescent="0.25"/>
    <row r="23" spans="1:36" ht="16.5" customHeight="1" x14ac:dyDescent="0.25"/>
    <row r="24" spans="1:36" ht="16.5" customHeight="1" x14ac:dyDescent="0.25"/>
    <row r="25" spans="1:36" ht="16.5" customHeight="1" x14ac:dyDescent="0.25"/>
    <row r="26" spans="1:36" ht="16.5" customHeight="1" x14ac:dyDescent="0.25"/>
    <row r="27" spans="1:36" ht="16.5" customHeight="1" x14ac:dyDescent="0.25"/>
    <row r="28" spans="1:36" x14ac:dyDescent="0.25">
      <c r="AJ28" s="2"/>
    </row>
    <row r="29" spans="1:36" x14ac:dyDescent="0.25">
      <c r="AJ29" s="2"/>
    </row>
    <row r="30" spans="1:36" x14ac:dyDescent="0.25">
      <c r="AJ30" s="2"/>
    </row>
    <row r="31" spans="1:36" x14ac:dyDescent="0.25">
      <c r="A31" s="154" t="s">
        <v>269</v>
      </c>
      <c r="B31" s="154"/>
      <c r="C31" s="154"/>
      <c r="D31" s="154"/>
      <c r="E31" s="154"/>
      <c r="F31" s="154"/>
      <c r="G31" s="154"/>
      <c r="H31" s="154"/>
      <c r="I31" s="154"/>
      <c r="J31" s="154"/>
      <c r="K31" s="154"/>
      <c r="L31" s="154"/>
      <c r="M31" s="154"/>
      <c r="N31" s="154"/>
      <c r="O31" s="154"/>
      <c r="AJ31" s="2"/>
    </row>
    <row r="32" spans="1:36" x14ac:dyDescent="0.25">
      <c r="A32" s="154"/>
      <c r="B32" s="154"/>
      <c r="C32" s="154"/>
      <c r="D32" s="154"/>
      <c r="E32" s="154"/>
      <c r="F32" s="154"/>
      <c r="G32" s="154"/>
      <c r="H32" s="154"/>
      <c r="I32" s="154"/>
      <c r="J32" s="154"/>
      <c r="K32" s="154"/>
      <c r="L32" s="154"/>
      <c r="M32" s="154"/>
      <c r="N32" s="154"/>
      <c r="O32" s="154"/>
      <c r="AJ32" s="2"/>
    </row>
    <row r="33" spans="1:36" x14ac:dyDescent="0.25">
      <c r="A33" s="154"/>
      <c r="B33" s="154"/>
      <c r="C33" s="154"/>
      <c r="D33" s="154"/>
      <c r="E33" s="154"/>
      <c r="F33" s="154"/>
      <c r="G33" s="154"/>
      <c r="H33" s="154"/>
      <c r="I33" s="154"/>
      <c r="J33" s="154"/>
      <c r="K33" s="154"/>
      <c r="L33" s="154"/>
      <c r="M33" s="154"/>
      <c r="N33" s="154"/>
      <c r="O33" s="154"/>
      <c r="AJ33" s="2"/>
    </row>
    <row r="34" spans="1:36" x14ac:dyDescent="0.25">
      <c r="A34" s="9"/>
      <c r="AJ34" s="2"/>
    </row>
    <row r="35" spans="1:36" x14ac:dyDescent="0.25">
      <c r="AJ35" s="2"/>
    </row>
    <row r="36" spans="1:36" x14ac:dyDescent="0.25">
      <c r="B36" s="9"/>
      <c r="AJ36" s="2"/>
    </row>
    <row r="37" spans="1:36" x14ac:dyDescent="0.25">
      <c r="AJ37" s="2"/>
    </row>
    <row r="38" spans="1:36" x14ac:dyDescent="0.25">
      <c r="AJ38" s="2"/>
    </row>
    <row r="39" spans="1:36" x14ac:dyDescent="0.25">
      <c r="AJ39" s="2"/>
    </row>
    <row r="40" spans="1:36" x14ac:dyDescent="0.25">
      <c r="AJ40" s="2"/>
    </row>
    <row r="41" spans="1:36" x14ac:dyDescent="0.25">
      <c r="AJ41" s="2"/>
    </row>
    <row r="42" spans="1:36" x14ac:dyDescent="0.25">
      <c r="AJ42" s="2"/>
    </row>
    <row r="43" spans="1:36" x14ac:dyDescent="0.25">
      <c r="AJ43" s="2"/>
    </row>
    <row r="44" spans="1:36" x14ac:dyDescent="0.25">
      <c r="AJ44" s="2"/>
    </row>
    <row r="45" spans="1:36" x14ac:dyDescent="0.25">
      <c r="AJ45" s="2"/>
    </row>
    <row r="46" spans="1:36" x14ac:dyDescent="0.25">
      <c r="AJ46" s="2"/>
    </row>
    <row r="47" spans="1:36" x14ac:dyDescent="0.25">
      <c r="AJ47" s="2"/>
    </row>
    <row r="48" spans="1:36" x14ac:dyDescent="0.25">
      <c r="AJ48" s="2"/>
    </row>
    <row r="49" spans="36:36" x14ac:dyDescent="0.25">
      <c r="AJ49" s="2"/>
    </row>
    <row r="50" spans="36:36" x14ac:dyDescent="0.25">
      <c r="AJ50" s="2"/>
    </row>
    <row r="51" spans="36:36" x14ac:dyDescent="0.25">
      <c r="AJ51" s="2"/>
    </row>
    <row r="52" spans="36:36" x14ac:dyDescent="0.25">
      <c r="AJ52" s="2"/>
    </row>
    <row r="53" spans="36:36" x14ac:dyDescent="0.25">
      <c r="AJ53" s="2"/>
    </row>
    <row r="54" spans="36:36" x14ac:dyDescent="0.25">
      <c r="AJ54" s="2"/>
    </row>
    <row r="55" spans="36:36" x14ac:dyDescent="0.25">
      <c r="AJ55" s="2"/>
    </row>
    <row r="56" spans="36:36" x14ac:dyDescent="0.25">
      <c r="AJ56" s="2"/>
    </row>
    <row r="57" spans="36:36" x14ac:dyDescent="0.25">
      <c r="AJ57" s="2"/>
    </row>
    <row r="58" spans="36:36" x14ac:dyDescent="0.25">
      <c r="AJ58" s="2"/>
    </row>
    <row r="59" spans="36:36" x14ac:dyDescent="0.25">
      <c r="AJ59" s="2"/>
    </row>
    <row r="60" spans="36:36" x14ac:dyDescent="0.25">
      <c r="AJ60" s="2"/>
    </row>
    <row r="61" spans="36:36" x14ac:dyDescent="0.25">
      <c r="AJ61" s="2"/>
    </row>
    <row r="62" spans="36:36" x14ac:dyDescent="0.25">
      <c r="AJ62" s="2"/>
    </row>
    <row r="63" spans="36:36" x14ac:dyDescent="0.25">
      <c r="AJ63" s="2"/>
    </row>
    <row r="64" spans="36:36" x14ac:dyDescent="0.25">
      <c r="AJ64" s="2"/>
    </row>
    <row r="65" spans="36:36" x14ac:dyDescent="0.25">
      <c r="AJ65" s="2"/>
    </row>
    <row r="66" spans="36:36" x14ac:dyDescent="0.25">
      <c r="AJ66" s="2"/>
    </row>
    <row r="67" spans="36:36" x14ac:dyDescent="0.25">
      <c r="AJ67" s="2"/>
    </row>
    <row r="68" spans="36:36" x14ac:dyDescent="0.25">
      <c r="AJ68" s="2"/>
    </row>
    <row r="69" spans="36:36" x14ac:dyDescent="0.25">
      <c r="AJ69" s="2"/>
    </row>
    <row r="70" spans="36:36" x14ac:dyDescent="0.25">
      <c r="AJ70" s="2"/>
    </row>
    <row r="71" spans="36:36" x14ac:dyDescent="0.25">
      <c r="AJ71" s="2"/>
    </row>
    <row r="72" spans="36:36" x14ac:dyDescent="0.25">
      <c r="AJ72" s="2"/>
    </row>
    <row r="73" spans="36:36" x14ac:dyDescent="0.25">
      <c r="AJ73" s="2"/>
    </row>
    <row r="74" spans="36:36" x14ac:dyDescent="0.25">
      <c r="AJ74" s="2"/>
    </row>
    <row r="75" spans="36:36" x14ac:dyDescent="0.25">
      <c r="AJ75" s="2"/>
    </row>
    <row r="76" spans="36:36" x14ac:dyDescent="0.25">
      <c r="AJ76" s="2"/>
    </row>
    <row r="77" spans="36:36" x14ac:dyDescent="0.25">
      <c r="AJ77" s="2"/>
    </row>
    <row r="78" spans="36:36" x14ac:dyDescent="0.25">
      <c r="AJ78" s="2"/>
    </row>
    <row r="79" spans="36:36" x14ac:dyDescent="0.25">
      <c r="AJ79" s="2"/>
    </row>
    <row r="80" spans="36:36" x14ac:dyDescent="0.25">
      <c r="AJ80" s="2"/>
    </row>
    <row r="81" spans="36:36" x14ac:dyDescent="0.25">
      <c r="AJ81" s="2"/>
    </row>
    <row r="82" spans="36:36" x14ac:dyDescent="0.25">
      <c r="AJ82" s="2"/>
    </row>
    <row r="83" spans="36:36" x14ac:dyDescent="0.25">
      <c r="AJ83" s="2"/>
    </row>
    <row r="84" spans="36:36" x14ac:dyDescent="0.25">
      <c r="AJ84" s="2"/>
    </row>
    <row r="85" spans="36:36" x14ac:dyDescent="0.25">
      <c r="AJ85" s="2"/>
    </row>
    <row r="86" spans="36:36" x14ac:dyDescent="0.25">
      <c r="AJ86" s="2"/>
    </row>
    <row r="87" spans="36:36" x14ac:dyDescent="0.25">
      <c r="AJ87" s="2"/>
    </row>
    <row r="88" spans="36:36" x14ac:dyDescent="0.25">
      <c r="AJ88" s="2"/>
    </row>
    <row r="89" spans="36:36" x14ac:dyDescent="0.25">
      <c r="AJ89" s="2"/>
    </row>
    <row r="90" spans="36:36" x14ac:dyDescent="0.25">
      <c r="AJ90" s="2"/>
    </row>
    <row r="91" spans="36:36" x14ac:dyDescent="0.25">
      <c r="AJ91" s="2"/>
    </row>
    <row r="92" spans="36:36" x14ac:dyDescent="0.25">
      <c r="AJ92" s="2"/>
    </row>
    <row r="93" spans="36:36" x14ac:dyDescent="0.25">
      <c r="AJ93" s="2"/>
    </row>
    <row r="94" spans="36:36" x14ac:dyDescent="0.25">
      <c r="AJ94" s="2"/>
    </row>
    <row r="95" spans="36:36" x14ac:dyDescent="0.25">
      <c r="AJ95" s="2"/>
    </row>
    <row r="96" spans="36:36" x14ac:dyDescent="0.25">
      <c r="AJ96" s="2"/>
    </row>
    <row r="97" spans="36:36" x14ac:dyDescent="0.25">
      <c r="AJ97" s="2"/>
    </row>
    <row r="98" spans="36:36" x14ac:dyDescent="0.25">
      <c r="AJ98" s="2"/>
    </row>
    <row r="99" spans="36:36" x14ac:dyDescent="0.25">
      <c r="AJ99" s="2"/>
    </row>
    <row r="100" spans="36:36" x14ac:dyDescent="0.25">
      <c r="AJ100" s="2"/>
    </row>
    <row r="101" spans="36:36" x14ac:dyDescent="0.25">
      <c r="AJ101" s="2"/>
    </row>
    <row r="102" spans="36:36" x14ac:dyDescent="0.25">
      <c r="AJ102" s="2"/>
    </row>
    <row r="103" spans="36:36" x14ac:dyDescent="0.25">
      <c r="AJ103" s="2"/>
    </row>
    <row r="104" spans="36:36" x14ac:dyDescent="0.25">
      <c r="AJ104" s="2"/>
    </row>
    <row r="105" spans="36:36" x14ac:dyDescent="0.25">
      <c r="AJ105" s="2"/>
    </row>
    <row r="106" spans="36:36" x14ac:dyDescent="0.25">
      <c r="AJ106" s="2"/>
    </row>
    <row r="107" spans="36:36" x14ac:dyDescent="0.25">
      <c r="AJ107" s="2"/>
    </row>
    <row r="108" spans="36:36" x14ac:dyDescent="0.25">
      <c r="AJ108" s="2"/>
    </row>
    <row r="109" spans="36:36" x14ac:dyDescent="0.25">
      <c r="AJ109" s="2"/>
    </row>
    <row r="110" spans="36:36" x14ac:dyDescent="0.25">
      <c r="AJ110" s="2"/>
    </row>
    <row r="111" spans="36:36" x14ac:dyDescent="0.25">
      <c r="AJ111" s="2"/>
    </row>
    <row r="112" spans="36:36" x14ac:dyDescent="0.25">
      <c r="AJ112" s="2"/>
    </row>
    <row r="113" spans="36:36" x14ac:dyDescent="0.25">
      <c r="AJ113" s="2"/>
    </row>
    <row r="114" spans="36:36" x14ac:dyDescent="0.25">
      <c r="AJ114" s="2"/>
    </row>
    <row r="115" spans="36:36" x14ac:dyDescent="0.25">
      <c r="AJ115" s="2"/>
    </row>
    <row r="116" spans="36:36" x14ac:dyDescent="0.25">
      <c r="AJ116" s="2"/>
    </row>
    <row r="117" spans="36:36" x14ac:dyDescent="0.25">
      <c r="AJ117" s="2"/>
    </row>
    <row r="118" spans="36:36" x14ac:dyDescent="0.25">
      <c r="AJ118" s="2"/>
    </row>
    <row r="119" spans="36:36" x14ac:dyDescent="0.25">
      <c r="AJ119" s="2"/>
    </row>
    <row r="120" spans="36:36" x14ac:dyDescent="0.25">
      <c r="AJ120" s="2"/>
    </row>
    <row r="121" spans="36:36" x14ac:dyDescent="0.25">
      <c r="AJ121" s="2"/>
    </row>
    <row r="122" spans="36:36" x14ac:dyDescent="0.25">
      <c r="AJ122" s="2"/>
    </row>
    <row r="123" spans="36:36" x14ac:dyDescent="0.25">
      <c r="AJ123" s="2"/>
    </row>
    <row r="124" spans="36:36" x14ac:dyDescent="0.25">
      <c r="AJ124" s="2"/>
    </row>
    <row r="125" spans="36:36" x14ac:dyDescent="0.25">
      <c r="AJ125" s="2"/>
    </row>
    <row r="126" spans="36:36" x14ac:dyDescent="0.25">
      <c r="AJ126" s="2"/>
    </row>
    <row r="127" spans="36:36" x14ac:dyDescent="0.25">
      <c r="AJ127" s="2"/>
    </row>
    <row r="128" spans="36:36" x14ac:dyDescent="0.25">
      <c r="AJ128" s="2"/>
    </row>
    <row r="129" spans="36:36" x14ac:dyDescent="0.25">
      <c r="AJ129" s="2"/>
    </row>
    <row r="130" spans="36:36" x14ac:dyDescent="0.25">
      <c r="AJ130" s="2"/>
    </row>
    <row r="131" spans="36:36" x14ac:dyDescent="0.25">
      <c r="AJ131" s="2"/>
    </row>
    <row r="132" spans="36:36" x14ac:dyDescent="0.25">
      <c r="AJ132" s="2"/>
    </row>
    <row r="133" spans="36:36" x14ac:dyDescent="0.25">
      <c r="AJ133" s="2"/>
    </row>
    <row r="134" spans="36:36" x14ac:dyDescent="0.25">
      <c r="AJ134" s="2"/>
    </row>
    <row r="135" spans="36:36" x14ac:dyDescent="0.25">
      <c r="AJ135" s="2"/>
    </row>
    <row r="136" spans="36:36" x14ac:dyDescent="0.25">
      <c r="AJ136" s="2"/>
    </row>
    <row r="137" spans="36:36" x14ac:dyDescent="0.25">
      <c r="AJ137" s="2"/>
    </row>
    <row r="138" spans="36:36" x14ac:dyDescent="0.25">
      <c r="AJ138" s="2"/>
    </row>
    <row r="139" spans="36:36" x14ac:dyDescent="0.25">
      <c r="AJ139" s="2"/>
    </row>
    <row r="140" spans="36:36" x14ac:dyDescent="0.25">
      <c r="AJ140" s="2"/>
    </row>
    <row r="141" spans="36:36" x14ac:dyDescent="0.25">
      <c r="AJ141" s="2"/>
    </row>
    <row r="142" spans="36:36" x14ac:dyDescent="0.25">
      <c r="AJ142" s="2"/>
    </row>
    <row r="143" spans="36:36" x14ac:dyDescent="0.25">
      <c r="AJ143" s="2"/>
    </row>
    <row r="144" spans="36:36" x14ac:dyDescent="0.25">
      <c r="AJ144" s="2"/>
    </row>
    <row r="145" spans="36:36" x14ac:dyDescent="0.25">
      <c r="AJ145" s="2"/>
    </row>
    <row r="146" spans="36:36" x14ac:dyDescent="0.25">
      <c r="AJ146" s="2"/>
    </row>
    <row r="147" spans="36:36" x14ac:dyDescent="0.25">
      <c r="AJ147" s="2"/>
    </row>
    <row r="148" spans="36:36" x14ac:dyDescent="0.25">
      <c r="AJ148" s="2"/>
    </row>
    <row r="149" spans="36:36" x14ac:dyDescent="0.25">
      <c r="AJ149" s="2"/>
    </row>
    <row r="150" spans="36:36" x14ac:dyDescent="0.25">
      <c r="AJ150" s="2"/>
    </row>
    <row r="151" spans="36:36" x14ac:dyDescent="0.25">
      <c r="AJ151" s="2"/>
    </row>
    <row r="152" spans="36:36" x14ac:dyDescent="0.25">
      <c r="AJ152" s="2"/>
    </row>
    <row r="153" spans="36:36" x14ac:dyDescent="0.25">
      <c r="AJ153" s="2"/>
    </row>
    <row r="154" spans="36:36" x14ac:dyDescent="0.25">
      <c r="AJ154" s="2"/>
    </row>
    <row r="155" spans="36:36" x14ac:dyDescent="0.25">
      <c r="AJ155" s="2"/>
    </row>
    <row r="156" spans="36:36" x14ac:dyDescent="0.25">
      <c r="AJ156" s="2"/>
    </row>
    <row r="157" spans="36:36" x14ac:dyDescent="0.25">
      <c r="AJ157" s="2"/>
    </row>
    <row r="158" spans="36:36" x14ac:dyDescent="0.25">
      <c r="AJ158" s="2"/>
    </row>
    <row r="159" spans="36:36" x14ac:dyDescent="0.25">
      <c r="AJ159" s="2"/>
    </row>
    <row r="160" spans="36:36" x14ac:dyDescent="0.25">
      <c r="AJ160" s="2"/>
    </row>
    <row r="161" spans="36:36" x14ac:dyDescent="0.25">
      <c r="AJ161" s="2"/>
    </row>
    <row r="162" spans="36:36" x14ac:dyDescent="0.25">
      <c r="AJ162" s="2"/>
    </row>
    <row r="163" spans="36:36" x14ac:dyDescent="0.25">
      <c r="AJ163" s="2"/>
    </row>
    <row r="164" spans="36:36" x14ac:dyDescent="0.25">
      <c r="AJ164" s="2"/>
    </row>
    <row r="165" spans="36:36" x14ac:dyDescent="0.25">
      <c r="AJ165" s="2"/>
    </row>
    <row r="166" spans="36:36" x14ac:dyDescent="0.25">
      <c r="AJ166" s="2"/>
    </row>
    <row r="167" spans="36:36" x14ac:dyDescent="0.25">
      <c r="AJ167" s="2"/>
    </row>
    <row r="168" spans="36:36" x14ac:dyDescent="0.25">
      <c r="AJ168" s="2"/>
    </row>
    <row r="169" spans="36:36" x14ac:dyDescent="0.25">
      <c r="AJ169" s="2"/>
    </row>
    <row r="170" spans="36:36" x14ac:dyDescent="0.25">
      <c r="AJ170" s="2"/>
    </row>
    <row r="171" spans="36:36" x14ac:dyDescent="0.25">
      <c r="AJ171" s="2"/>
    </row>
    <row r="172" spans="36:36" x14ac:dyDescent="0.25">
      <c r="AJ172" s="2"/>
    </row>
    <row r="173" spans="36:36" x14ac:dyDescent="0.25">
      <c r="AJ173" s="2"/>
    </row>
    <row r="174" spans="36:36" x14ac:dyDescent="0.25">
      <c r="AJ174" s="2"/>
    </row>
    <row r="175" spans="36:36" x14ac:dyDescent="0.25">
      <c r="AJ175" s="2"/>
    </row>
    <row r="176" spans="36:36" x14ac:dyDescent="0.25">
      <c r="AJ176" s="2"/>
    </row>
    <row r="177" spans="36:36" x14ac:dyDescent="0.25">
      <c r="AJ177" s="2"/>
    </row>
    <row r="178" spans="36:36" x14ac:dyDescent="0.25">
      <c r="AJ178" s="2"/>
    </row>
    <row r="179" spans="36:36" x14ac:dyDescent="0.25">
      <c r="AJ179" s="2"/>
    </row>
    <row r="180" spans="36:36" x14ac:dyDescent="0.25">
      <c r="AJ180" s="2"/>
    </row>
    <row r="181" spans="36:36" x14ac:dyDescent="0.25">
      <c r="AJ181" s="2"/>
    </row>
    <row r="182" spans="36:36" x14ac:dyDescent="0.25">
      <c r="AJ182" s="2"/>
    </row>
    <row r="183" spans="36:36" x14ac:dyDescent="0.25">
      <c r="AJ183" s="2"/>
    </row>
    <row r="184" spans="36:36" x14ac:dyDescent="0.25">
      <c r="AJ184" s="2"/>
    </row>
    <row r="185" spans="36:36" x14ac:dyDescent="0.25">
      <c r="AJ185" s="2"/>
    </row>
    <row r="186" spans="36:36" x14ac:dyDescent="0.25">
      <c r="AJ186" s="2"/>
    </row>
    <row r="187" spans="36:36" x14ac:dyDescent="0.25">
      <c r="AJ187" s="2"/>
    </row>
    <row r="188" spans="36:36" x14ac:dyDescent="0.25">
      <c r="AJ188" s="2"/>
    </row>
    <row r="189" spans="36:36" x14ac:dyDescent="0.25">
      <c r="AJ189" s="2"/>
    </row>
    <row r="190" spans="36:36" x14ac:dyDescent="0.25">
      <c r="AJ190" s="2"/>
    </row>
    <row r="191" spans="36:36" x14ac:dyDescent="0.25">
      <c r="AJ191" s="2"/>
    </row>
    <row r="192" spans="36:36" x14ac:dyDescent="0.25">
      <c r="AJ192" s="2"/>
    </row>
    <row r="193" spans="36:36" x14ac:dyDescent="0.25">
      <c r="AJ193" s="2"/>
    </row>
    <row r="194" spans="36:36" x14ac:dyDescent="0.25">
      <c r="AJ194" s="2"/>
    </row>
    <row r="195" spans="36:36" x14ac:dyDescent="0.25">
      <c r="AJ195" s="2"/>
    </row>
    <row r="196" spans="36:36" x14ac:dyDescent="0.25">
      <c r="AJ196" s="2"/>
    </row>
    <row r="197" spans="36:36" x14ac:dyDescent="0.25">
      <c r="AJ197" s="2"/>
    </row>
    <row r="198" spans="36:36" x14ac:dyDescent="0.25">
      <c r="AJ198" s="2"/>
    </row>
    <row r="199" spans="36:36" x14ac:dyDescent="0.25">
      <c r="AJ199" s="2"/>
    </row>
    <row r="200" spans="36:36" x14ac:dyDescent="0.25">
      <c r="AJ200" s="2"/>
    </row>
    <row r="201" spans="36:36" x14ac:dyDescent="0.25">
      <c r="AJ201" s="2"/>
    </row>
    <row r="202" spans="36:36" x14ac:dyDescent="0.25">
      <c r="AJ202" s="2"/>
    </row>
    <row r="203" spans="36:36" x14ac:dyDescent="0.25">
      <c r="AJ203" s="2"/>
    </row>
    <row r="204" spans="36:36" x14ac:dyDescent="0.25">
      <c r="AJ204" s="2"/>
    </row>
    <row r="205" spans="36:36" x14ac:dyDescent="0.25">
      <c r="AJ205" s="2"/>
    </row>
    <row r="206" spans="36:36" x14ac:dyDescent="0.25">
      <c r="AJ206" s="2"/>
    </row>
    <row r="207" spans="36:36" x14ac:dyDescent="0.25">
      <c r="AJ207" s="2"/>
    </row>
    <row r="208" spans="36:36" x14ac:dyDescent="0.25">
      <c r="AJ208" s="2"/>
    </row>
    <row r="209" spans="36:36" x14ac:dyDescent="0.25">
      <c r="AJ209" s="2"/>
    </row>
    <row r="210" spans="36:36" x14ac:dyDescent="0.25">
      <c r="AJ210" s="2"/>
    </row>
    <row r="211" spans="36:36" x14ac:dyDescent="0.25">
      <c r="AJ211" s="2"/>
    </row>
    <row r="212" spans="36:36" x14ac:dyDescent="0.25">
      <c r="AJ212" s="2"/>
    </row>
    <row r="213" spans="36:36" x14ac:dyDescent="0.25">
      <c r="AJ213" s="2"/>
    </row>
    <row r="214" spans="36:36" x14ac:dyDescent="0.25">
      <c r="AJ214" s="2"/>
    </row>
    <row r="215" spans="36:36" x14ac:dyDescent="0.25">
      <c r="AJ215" s="2"/>
    </row>
    <row r="216" spans="36:36" x14ac:dyDescent="0.25">
      <c r="AJ216" s="2"/>
    </row>
    <row r="217" spans="36:36" x14ac:dyDescent="0.25">
      <c r="AJ217" s="2"/>
    </row>
    <row r="218" spans="36:36" x14ac:dyDescent="0.25">
      <c r="AJ218" s="2"/>
    </row>
    <row r="219" spans="36:36" x14ac:dyDescent="0.25">
      <c r="AJ219" s="2"/>
    </row>
    <row r="220" spans="36:36" x14ac:dyDescent="0.25">
      <c r="AJ220" s="2"/>
    </row>
    <row r="221" spans="36:36" x14ac:dyDescent="0.25">
      <c r="AJ221" s="2"/>
    </row>
    <row r="222" spans="36:36" x14ac:dyDescent="0.25">
      <c r="AJ222" s="2"/>
    </row>
    <row r="223" spans="36:36" x14ac:dyDescent="0.25">
      <c r="AJ223" s="2"/>
    </row>
    <row r="224" spans="36:36" x14ac:dyDescent="0.25">
      <c r="AJ224" s="2"/>
    </row>
    <row r="225" spans="36:36" x14ac:dyDescent="0.25">
      <c r="AJ225" s="2"/>
    </row>
    <row r="226" spans="36:36" x14ac:dyDescent="0.25">
      <c r="AJ226" s="2"/>
    </row>
    <row r="227" spans="36:36" x14ac:dyDescent="0.25">
      <c r="AJ227" s="2"/>
    </row>
    <row r="228" spans="36:36" x14ac:dyDescent="0.25">
      <c r="AJ228" s="2"/>
    </row>
    <row r="229" spans="36:36" x14ac:dyDescent="0.25">
      <c r="AJ229" s="2"/>
    </row>
    <row r="230" spans="36:36" x14ac:dyDescent="0.25">
      <c r="AJ230" s="2"/>
    </row>
    <row r="231" spans="36:36" x14ac:dyDescent="0.25">
      <c r="AJ231" s="2"/>
    </row>
    <row r="232" spans="36:36" x14ac:dyDescent="0.25">
      <c r="AJ232" s="2"/>
    </row>
    <row r="233" spans="36:36" x14ac:dyDescent="0.25">
      <c r="AJ233" s="2"/>
    </row>
    <row r="234" spans="36:36" x14ac:dyDescent="0.25">
      <c r="AJ234" s="2"/>
    </row>
    <row r="235" spans="36:36" x14ac:dyDescent="0.25">
      <c r="AJ235" s="2"/>
    </row>
    <row r="236" spans="36:36" x14ac:dyDescent="0.25">
      <c r="AJ236" s="2"/>
    </row>
    <row r="237" spans="36:36" x14ac:dyDescent="0.25">
      <c r="AJ237" s="2"/>
    </row>
    <row r="238" spans="36:36" x14ac:dyDescent="0.25">
      <c r="AJ238" s="2"/>
    </row>
    <row r="239" spans="36:36" x14ac:dyDescent="0.25">
      <c r="AJ239" s="2"/>
    </row>
    <row r="240" spans="36:36" x14ac:dyDescent="0.25">
      <c r="AJ240" s="2"/>
    </row>
    <row r="241" spans="36:36" x14ac:dyDescent="0.25">
      <c r="AJ241" s="2"/>
    </row>
    <row r="242" spans="36:36" x14ac:dyDescent="0.25">
      <c r="AJ242" s="2"/>
    </row>
    <row r="243" spans="36:36" x14ac:dyDescent="0.25">
      <c r="AJ243" s="2"/>
    </row>
    <row r="244" spans="36:36" x14ac:dyDescent="0.25">
      <c r="AJ244" s="2"/>
    </row>
    <row r="245" spans="36:36" x14ac:dyDescent="0.25">
      <c r="AJ245" s="2"/>
    </row>
    <row r="246" spans="36:36" x14ac:dyDescent="0.25">
      <c r="AJ246" s="2"/>
    </row>
    <row r="247" spans="36:36" x14ac:dyDescent="0.25">
      <c r="AJ247" s="2"/>
    </row>
    <row r="248" spans="36:36" x14ac:dyDescent="0.25">
      <c r="AJ248" s="2"/>
    </row>
    <row r="249" spans="36:36" x14ac:dyDescent="0.25">
      <c r="AJ249" s="2"/>
    </row>
    <row r="250" spans="36:36" x14ac:dyDescent="0.25">
      <c r="AJ250" s="2"/>
    </row>
    <row r="251" spans="36:36" x14ac:dyDescent="0.25">
      <c r="AJ251" s="2"/>
    </row>
    <row r="252" spans="36:36" x14ac:dyDescent="0.25">
      <c r="AJ252" s="2"/>
    </row>
    <row r="253" spans="36:36" x14ac:dyDescent="0.25">
      <c r="AJ253" s="2"/>
    </row>
    <row r="254" spans="36:36" x14ac:dyDescent="0.25">
      <c r="AJ254" s="2"/>
    </row>
    <row r="255" spans="36:36" x14ac:dyDescent="0.25">
      <c r="AJ255" s="2"/>
    </row>
    <row r="256" spans="36:36" x14ac:dyDescent="0.25">
      <c r="AJ256" s="2"/>
    </row>
    <row r="257" spans="36:36" x14ac:dyDescent="0.25">
      <c r="AJ257" s="2"/>
    </row>
    <row r="258" spans="36:36" x14ac:dyDescent="0.25">
      <c r="AJ258" s="2"/>
    </row>
    <row r="259" spans="36:36" x14ac:dyDescent="0.25">
      <c r="AJ259" s="2"/>
    </row>
    <row r="260" spans="36:36" x14ac:dyDescent="0.25">
      <c r="AJ260" s="2"/>
    </row>
    <row r="261" spans="36:36" x14ac:dyDescent="0.25">
      <c r="AJ261" s="2"/>
    </row>
    <row r="262" spans="36:36" x14ac:dyDescent="0.25">
      <c r="AJ262" s="2"/>
    </row>
    <row r="263" spans="36:36" x14ac:dyDescent="0.25">
      <c r="AJ263" s="2"/>
    </row>
    <row r="264" spans="36:36" x14ac:dyDescent="0.25">
      <c r="AJ264" s="2"/>
    </row>
    <row r="265" spans="36:36" x14ac:dyDescent="0.25">
      <c r="AJ265" s="2"/>
    </row>
    <row r="266" spans="36:36" x14ac:dyDescent="0.25">
      <c r="AJ266" s="2"/>
    </row>
    <row r="267" spans="36:36" x14ac:dyDescent="0.25">
      <c r="AJ267" s="2"/>
    </row>
    <row r="268" spans="36:36" x14ac:dyDescent="0.25">
      <c r="AJ268" s="2"/>
    </row>
    <row r="269" spans="36:36" x14ac:dyDescent="0.25">
      <c r="AJ269" s="2"/>
    </row>
    <row r="270" spans="36:36" x14ac:dyDescent="0.25">
      <c r="AJ270" s="2"/>
    </row>
    <row r="271" spans="36:36" x14ac:dyDescent="0.25">
      <c r="AJ271" s="2"/>
    </row>
    <row r="272" spans="36:36" x14ac:dyDescent="0.25">
      <c r="AJ272" s="2"/>
    </row>
    <row r="273" spans="36:36" x14ac:dyDescent="0.25">
      <c r="AJ273" s="2"/>
    </row>
    <row r="274" spans="36:36" x14ac:dyDescent="0.25">
      <c r="AJ274" s="2"/>
    </row>
    <row r="275" spans="36:36" x14ac:dyDescent="0.25">
      <c r="AJ275" s="2"/>
    </row>
    <row r="276" spans="36:36" x14ac:dyDescent="0.25">
      <c r="AJ276" s="2"/>
    </row>
    <row r="277" spans="36:36" x14ac:dyDescent="0.25">
      <c r="AJ277" s="2"/>
    </row>
    <row r="278" spans="36:36" x14ac:dyDescent="0.25">
      <c r="AJ278" s="2"/>
    </row>
    <row r="279" spans="36:36" x14ac:dyDescent="0.25">
      <c r="AJ279" s="2"/>
    </row>
    <row r="280" spans="36:36" x14ac:dyDescent="0.25">
      <c r="AJ280" s="2"/>
    </row>
    <row r="281" spans="36:36" x14ac:dyDescent="0.25">
      <c r="AJ281" s="2"/>
    </row>
    <row r="282" spans="36:36" x14ac:dyDescent="0.25">
      <c r="AJ282" s="2"/>
    </row>
    <row r="283" spans="36:36" x14ac:dyDescent="0.25">
      <c r="AJ283" s="2"/>
    </row>
    <row r="284" spans="36:36" x14ac:dyDescent="0.25">
      <c r="AJ284" s="2"/>
    </row>
    <row r="285" spans="36:36" x14ac:dyDescent="0.25">
      <c r="AJ285" s="2"/>
    </row>
    <row r="286" spans="36:36" x14ac:dyDescent="0.25">
      <c r="AJ286" s="2"/>
    </row>
    <row r="287" spans="36:36" x14ac:dyDescent="0.25">
      <c r="AJ287" s="2"/>
    </row>
    <row r="288" spans="36:36" x14ac:dyDescent="0.25">
      <c r="AJ288" s="2"/>
    </row>
    <row r="289" spans="36:36" x14ac:dyDescent="0.25">
      <c r="AJ289" s="2"/>
    </row>
    <row r="290" spans="36:36" x14ac:dyDescent="0.25">
      <c r="AJ290" s="2"/>
    </row>
    <row r="291" spans="36:36" x14ac:dyDescent="0.25">
      <c r="AJ291" s="2"/>
    </row>
    <row r="292" spans="36:36" x14ac:dyDescent="0.25">
      <c r="AJ292" s="2"/>
    </row>
    <row r="293" spans="36:36" x14ac:dyDescent="0.25">
      <c r="AJ293" s="2"/>
    </row>
    <row r="294" spans="36:36" x14ac:dyDescent="0.25">
      <c r="AJ294" s="2"/>
    </row>
    <row r="295" spans="36:36" x14ac:dyDescent="0.25">
      <c r="AJ295" s="2"/>
    </row>
    <row r="296" spans="36:36" x14ac:dyDescent="0.25">
      <c r="AJ296" s="2"/>
    </row>
    <row r="297" spans="36:36" x14ac:dyDescent="0.25">
      <c r="AJ297" s="2"/>
    </row>
    <row r="298" spans="36:36" x14ac:dyDescent="0.25">
      <c r="AJ298" s="2"/>
    </row>
    <row r="299" spans="36:36" x14ac:dyDescent="0.25">
      <c r="AJ299" s="2"/>
    </row>
    <row r="300" spans="36:36" x14ac:dyDescent="0.25">
      <c r="AJ300" s="2"/>
    </row>
    <row r="301" spans="36:36" x14ac:dyDescent="0.25">
      <c r="AJ301" s="2"/>
    </row>
    <row r="302" spans="36:36" x14ac:dyDescent="0.25">
      <c r="AJ302" s="2"/>
    </row>
    <row r="303" spans="36:36" x14ac:dyDescent="0.25">
      <c r="AJ303" s="2"/>
    </row>
    <row r="304" spans="36:36" x14ac:dyDescent="0.25">
      <c r="AJ304" s="2"/>
    </row>
    <row r="305" spans="36:36" x14ac:dyDescent="0.25">
      <c r="AJ305" s="2"/>
    </row>
    <row r="306" spans="36:36" x14ac:dyDescent="0.25">
      <c r="AJ306" s="2"/>
    </row>
    <row r="307" spans="36:36" x14ac:dyDescent="0.25">
      <c r="AJ307" s="2"/>
    </row>
    <row r="308" spans="36:36" x14ac:dyDescent="0.25">
      <c r="AJ308" s="2"/>
    </row>
    <row r="309" spans="36:36" x14ac:dyDescent="0.25">
      <c r="AJ309" s="2"/>
    </row>
    <row r="310" spans="36:36" x14ac:dyDescent="0.25">
      <c r="AJ310" s="2"/>
    </row>
    <row r="311" spans="36:36" x14ac:dyDescent="0.25">
      <c r="AJ311" s="2"/>
    </row>
    <row r="312" spans="36:36" x14ac:dyDescent="0.25">
      <c r="AJ312" s="2"/>
    </row>
    <row r="313" spans="36:36" x14ac:dyDescent="0.25">
      <c r="AJ313" s="2"/>
    </row>
    <row r="314" spans="36:36" x14ac:dyDescent="0.25">
      <c r="AJ314" s="2"/>
    </row>
    <row r="315" spans="36:36" x14ac:dyDescent="0.25">
      <c r="AJ315" s="2"/>
    </row>
    <row r="316" spans="36:36" x14ac:dyDescent="0.25">
      <c r="AJ316" s="2"/>
    </row>
    <row r="317" spans="36:36" x14ac:dyDescent="0.25">
      <c r="AJ317" s="2"/>
    </row>
    <row r="318" spans="36:36" x14ac:dyDescent="0.25">
      <c r="AJ318" s="2"/>
    </row>
    <row r="319" spans="36:36" x14ac:dyDescent="0.25">
      <c r="AJ319" s="2"/>
    </row>
    <row r="320" spans="36:36" x14ac:dyDescent="0.25">
      <c r="AJ320" s="2"/>
    </row>
    <row r="321" spans="36:36" x14ac:dyDescent="0.25">
      <c r="AJ321" s="2"/>
    </row>
    <row r="322" spans="36:36" x14ac:dyDescent="0.25">
      <c r="AJ322" s="2"/>
    </row>
    <row r="323" spans="36:36" x14ac:dyDescent="0.25">
      <c r="AJ323" s="2"/>
    </row>
    <row r="324" spans="36:36" x14ac:dyDescent="0.25">
      <c r="AJ324" s="2"/>
    </row>
    <row r="325" spans="36:36" x14ac:dyDescent="0.25">
      <c r="AJ325" s="2"/>
    </row>
    <row r="326" spans="36:36" x14ac:dyDescent="0.25">
      <c r="AJ326" s="2"/>
    </row>
    <row r="327" spans="36:36" x14ac:dyDescent="0.25">
      <c r="AJ327" s="2"/>
    </row>
    <row r="328" spans="36:36" x14ac:dyDescent="0.25">
      <c r="AJ328" s="2"/>
    </row>
    <row r="329" spans="36:36" x14ac:dyDescent="0.25">
      <c r="AJ329" s="2"/>
    </row>
    <row r="330" spans="36:36" x14ac:dyDescent="0.25">
      <c r="AJ330" s="2"/>
    </row>
    <row r="331" spans="36:36" x14ac:dyDescent="0.25">
      <c r="AJ331" s="2"/>
    </row>
    <row r="332" spans="36:36" x14ac:dyDescent="0.25">
      <c r="AJ332" s="2"/>
    </row>
    <row r="333" spans="36:36" x14ac:dyDescent="0.25">
      <c r="AJ333" s="2"/>
    </row>
    <row r="334" spans="36:36" x14ac:dyDescent="0.25">
      <c r="AJ334" s="2"/>
    </row>
    <row r="335" spans="36:36" x14ac:dyDescent="0.25">
      <c r="AJ335" s="2"/>
    </row>
    <row r="336" spans="36:36" x14ac:dyDescent="0.25">
      <c r="AJ336" s="2"/>
    </row>
    <row r="337" spans="36:36" x14ac:dyDescent="0.25">
      <c r="AJ337" s="2"/>
    </row>
    <row r="338" spans="36:36" x14ac:dyDescent="0.25">
      <c r="AJ338" s="2"/>
    </row>
    <row r="339" spans="36:36" x14ac:dyDescent="0.25">
      <c r="AJ339" s="2"/>
    </row>
    <row r="340" spans="36:36" x14ac:dyDescent="0.25">
      <c r="AJ340" s="2"/>
    </row>
    <row r="341" spans="36:36" x14ac:dyDescent="0.25">
      <c r="AJ341" s="2"/>
    </row>
    <row r="342" spans="36:36" x14ac:dyDescent="0.25">
      <c r="AJ342" s="2"/>
    </row>
    <row r="343" spans="36:36" x14ac:dyDescent="0.25">
      <c r="AJ343" s="2"/>
    </row>
    <row r="344" spans="36:36" x14ac:dyDescent="0.25">
      <c r="AJ344" s="2"/>
    </row>
    <row r="345" spans="36:36" x14ac:dyDescent="0.25">
      <c r="AJ345" s="2"/>
    </row>
    <row r="346" spans="36:36" x14ac:dyDescent="0.25">
      <c r="AJ346" s="2"/>
    </row>
    <row r="347" spans="36:36" x14ac:dyDescent="0.25">
      <c r="AJ347" s="2"/>
    </row>
    <row r="348" spans="36:36" x14ac:dyDescent="0.25">
      <c r="AJ348" s="2"/>
    </row>
    <row r="349" spans="36:36" x14ac:dyDescent="0.25">
      <c r="AJ349" s="2"/>
    </row>
    <row r="350" spans="36:36" x14ac:dyDescent="0.25">
      <c r="AJ350" s="2"/>
    </row>
    <row r="351" spans="36:36" x14ac:dyDescent="0.25">
      <c r="AJ351" s="2"/>
    </row>
    <row r="352" spans="36:36" x14ac:dyDescent="0.25">
      <c r="AJ352" s="2"/>
    </row>
    <row r="353" spans="36:36" x14ac:dyDescent="0.25">
      <c r="AJ353" s="2"/>
    </row>
    <row r="354" spans="36:36" x14ac:dyDescent="0.25">
      <c r="AJ354" s="2"/>
    </row>
    <row r="355" spans="36:36" x14ac:dyDescent="0.25">
      <c r="AJ355" s="2"/>
    </row>
    <row r="356" spans="36:36" x14ac:dyDescent="0.25">
      <c r="AJ356" s="2"/>
    </row>
    <row r="357" spans="36:36" x14ac:dyDescent="0.25">
      <c r="AJ357" s="2"/>
    </row>
    <row r="358" spans="36:36" x14ac:dyDescent="0.25">
      <c r="AJ358" s="2"/>
    </row>
    <row r="359" spans="36:36" x14ac:dyDescent="0.25">
      <c r="AJ359" s="2"/>
    </row>
    <row r="360" spans="36:36" x14ac:dyDescent="0.25">
      <c r="AJ360" s="2"/>
    </row>
    <row r="361" spans="36:36" x14ac:dyDescent="0.25">
      <c r="AJ361" s="2"/>
    </row>
    <row r="362" spans="36:36" x14ac:dyDescent="0.25">
      <c r="AJ362" s="2"/>
    </row>
    <row r="363" spans="36:36" x14ac:dyDescent="0.25">
      <c r="AJ363" s="2"/>
    </row>
    <row r="364" spans="36:36" x14ac:dyDescent="0.25">
      <c r="AJ364" s="2"/>
    </row>
    <row r="365" spans="36:36" x14ac:dyDescent="0.25">
      <c r="AJ365" s="2"/>
    </row>
    <row r="366" spans="36:36" x14ac:dyDescent="0.25">
      <c r="AJ366" s="2"/>
    </row>
    <row r="367" spans="36:36" x14ac:dyDescent="0.25">
      <c r="AJ367" s="2"/>
    </row>
    <row r="368" spans="36:36" x14ac:dyDescent="0.25">
      <c r="AJ368" s="2"/>
    </row>
    <row r="369" spans="36:36" x14ac:dyDescent="0.25">
      <c r="AJ369" s="2"/>
    </row>
    <row r="370" spans="36:36" x14ac:dyDescent="0.25">
      <c r="AJ370" s="2"/>
    </row>
    <row r="371" spans="36:36" x14ac:dyDescent="0.25">
      <c r="AJ371" s="2"/>
    </row>
    <row r="372" spans="36:36" x14ac:dyDescent="0.25">
      <c r="AJ372" s="2"/>
    </row>
    <row r="373" spans="36:36" x14ac:dyDescent="0.25">
      <c r="AJ373" s="2"/>
    </row>
    <row r="374" spans="36:36" x14ac:dyDescent="0.25">
      <c r="AJ374" s="2"/>
    </row>
    <row r="375" spans="36:36" x14ac:dyDescent="0.25">
      <c r="AJ375" s="2"/>
    </row>
    <row r="376" spans="36:36" x14ac:dyDescent="0.25">
      <c r="AJ376" s="2"/>
    </row>
    <row r="377" spans="36:36" x14ac:dyDescent="0.25">
      <c r="AJ377" s="2"/>
    </row>
    <row r="378" spans="36:36" x14ac:dyDescent="0.25">
      <c r="AJ378" s="2"/>
    </row>
    <row r="379" spans="36:36" x14ac:dyDescent="0.25">
      <c r="AJ379" s="2"/>
    </row>
    <row r="380" spans="36:36" x14ac:dyDescent="0.25">
      <c r="AJ380" s="2"/>
    </row>
    <row r="381" spans="36:36" x14ac:dyDescent="0.25">
      <c r="AJ381" s="2"/>
    </row>
    <row r="382" spans="36:36" x14ac:dyDescent="0.25">
      <c r="AJ382" s="2"/>
    </row>
    <row r="383" spans="36:36" x14ac:dyDescent="0.25">
      <c r="AJ383" s="2"/>
    </row>
    <row r="384" spans="36:36" x14ac:dyDescent="0.25">
      <c r="AJ384" s="2"/>
    </row>
    <row r="385" spans="36:36" x14ac:dyDescent="0.25">
      <c r="AJ385" s="2"/>
    </row>
    <row r="386" spans="36:36" x14ac:dyDescent="0.25">
      <c r="AJ386" s="2"/>
    </row>
    <row r="387" spans="36:36" x14ac:dyDescent="0.25">
      <c r="AJ387" s="2"/>
    </row>
    <row r="388" spans="36:36" x14ac:dyDescent="0.25">
      <c r="AJ388" s="2"/>
    </row>
    <row r="389" spans="36:36" x14ac:dyDescent="0.25">
      <c r="AJ389" s="2"/>
    </row>
    <row r="390" spans="36:36" x14ac:dyDescent="0.25">
      <c r="AJ390" s="2"/>
    </row>
    <row r="391" spans="36:36" x14ac:dyDescent="0.25">
      <c r="AJ391" s="2"/>
    </row>
    <row r="392" spans="36:36" x14ac:dyDescent="0.25">
      <c r="AJ392" s="2"/>
    </row>
    <row r="393" spans="36:36" x14ac:dyDescent="0.25">
      <c r="AJ393" s="2"/>
    </row>
    <row r="394" spans="36:36" x14ac:dyDescent="0.25">
      <c r="AJ394" s="2"/>
    </row>
    <row r="395" spans="36:36" x14ac:dyDescent="0.25">
      <c r="AJ395" s="2"/>
    </row>
    <row r="396" spans="36:36" x14ac:dyDescent="0.25">
      <c r="AJ396" s="2"/>
    </row>
    <row r="397" spans="36:36" x14ac:dyDescent="0.25">
      <c r="AJ397" s="2"/>
    </row>
    <row r="398" spans="36:36" x14ac:dyDescent="0.25">
      <c r="AJ398" s="2"/>
    </row>
    <row r="399" spans="36:36" x14ac:dyDescent="0.25">
      <c r="AJ399" s="2"/>
    </row>
    <row r="400" spans="36:36" x14ac:dyDescent="0.25">
      <c r="AJ400" s="2"/>
    </row>
    <row r="401" spans="36:36" x14ac:dyDescent="0.25">
      <c r="AJ401" s="2"/>
    </row>
    <row r="402" spans="36:36" x14ac:dyDescent="0.25">
      <c r="AJ402" s="2"/>
    </row>
    <row r="403" spans="36:36" x14ac:dyDescent="0.25">
      <c r="AJ403" s="2"/>
    </row>
    <row r="404" spans="36:36" x14ac:dyDescent="0.25">
      <c r="AJ404" s="2"/>
    </row>
    <row r="405" spans="36:36" x14ac:dyDescent="0.25">
      <c r="AJ405" s="2"/>
    </row>
    <row r="406" spans="36:36" x14ac:dyDescent="0.25">
      <c r="AJ406" s="2"/>
    </row>
    <row r="407" spans="36:36" x14ac:dyDescent="0.25">
      <c r="AJ407" s="2"/>
    </row>
    <row r="408" spans="36:36" x14ac:dyDescent="0.25">
      <c r="AJ408" s="2"/>
    </row>
    <row r="409" spans="36:36" x14ac:dyDescent="0.25">
      <c r="AJ409" s="2"/>
    </row>
    <row r="410" spans="36:36" x14ac:dyDescent="0.25">
      <c r="AJ410" s="2"/>
    </row>
    <row r="411" spans="36:36" x14ac:dyDescent="0.25">
      <c r="AJ411" s="2"/>
    </row>
    <row r="412" spans="36:36" x14ac:dyDescent="0.25">
      <c r="AJ412" s="2"/>
    </row>
    <row r="413" spans="36:36" x14ac:dyDescent="0.25">
      <c r="AJ413" s="2"/>
    </row>
    <row r="414" spans="36:36" x14ac:dyDescent="0.25">
      <c r="AJ414" s="2"/>
    </row>
    <row r="415" spans="36:36" x14ac:dyDescent="0.25">
      <c r="AJ415" s="2"/>
    </row>
    <row r="416" spans="36:36" x14ac:dyDescent="0.25">
      <c r="AJ416" s="2"/>
    </row>
    <row r="417" spans="36:36" x14ac:dyDescent="0.25">
      <c r="AJ417" s="2"/>
    </row>
    <row r="418" spans="36:36" x14ac:dyDescent="0.25">
      <c r="AJ418" s="2"/>
    </row>
    <row r="419" spans="36:36" x14ac:dyDescent="0.25">
      <c r="AJ419" s="2"/>
    </row>
    <row r="420" spans="36:36" x14ac:dyDescent="0.25">
      <c r="AJ420" s="2"/>
    </row>
    <row r="421" spans="36:36" x14ac:dyDescent="0.25">
      <c r="AJ421" s="2"/>
    </row>
    <row r="422" spans="36:36" x14ac:dyDescent="0.25">
      <c r="AJ422" s="2"/>
    </row>
    <row r="423" spans="36:36" x14ac:dyDescent="0.25">
      <c r="AJ423" s="2"/>
    </row>
    <row r="424" spans="36:36" x14ac:dyDescent="0.25">
      <c r="AJ424" s="2"/>
    </row>
    <row r="425" spans="36:36" x14ac:dyDescent="0.25">
      <c r="AJ425" s="2"/>
    </row>
    <row r="426" spans="36:36" x14ac:dyDescent="0.25">
      <c r="AJ426" s="2"/>
    </row>
    <row r="427" spans="36:36" x14ac:dyDescent="0.25">
      <c r="AJ427" s="2"/>
    </row>
    <row r="428" spans="36:36" x14ac:dyDescent="0.25">
      <c r="AJ428" s="2"/>
    </row>
    <row r="429" spans="36:36" x14ac:dyDescent="0.25">
      <c r="AJ429" s="2"/>
    </row>
  </sheetData>
  <mergeCells count="2">
    <mergeCell ref="R2:T2"/>
    <mergeCell ref="A31:O33"/>
  </mergeCells>
  <printOptions horizontalCentered="1" verticalCentered="1"/>
  <pageMargins left="0.75" right="0.75" top="1" bottom="1" header="0.5" footer="0.5"/>
  <pageSetup scale="86"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439C-2566-4DB3-84A9-B166BCEC4F1B}">
  <sheetPr>
    <pageSetUpPr fitToPage="1"/>
  </sheetPr>
  <dimension ref="A1:AM146"/>
  <sheetViews>
    <sheetView zoomScale="116" zoomScaleNormal="116" zoomScaleSheetLayoutView="85" workbookViewId="0"/>
  </sheetViews>
  <sheetFormatPr defaultColWidth="9" defaultRowHeight="14.4" x14ac:dyDescent="0.3"/>
  <cols>
    <col min="1" max="17" width="9.21875" style="28" customWidth="1"/>
    <col min="18" max="22" width="20" style="28" customWidth="1"/>
    <col min="23" max="23" width="8.21875" style="28" customWidth="1"/>
    <col min="24" max="24" width="2.21875" style="28" customWidth="1"/>
    <col min="25" max="25" width="47.21875" style="28" customWidth="1"/>
    <col min="26" max="29" width="7.77734375" style="28" customWidth="1"/>
    <col min="30" max="32" width="10.21875" style="28" customWidth="1"/>
    <col min="33" max="33" width="21.77734375" style="28" customWidth="1"/>
    <col min="34" max="35" width="9" style="28"/>
    <col min="36" max="36" width="20.21875" style="28" bestFit="1" customWidth="1"/>
    <col min="37" max="16384" width="9" style="28"/>
  </cols>
  <sheetData>
    <row r="1" spans="19:39" ht="15" customHeight="1" thickBot="1" x14ac:dyDescent="0.35">
      <c r="S1" s="93" t="s">
        <v>213</v>
      </c>
      <c r="X1" s="37" t="s">
        <v>225</v>
      </c>
      <c r="Y1" s="37"/>
      <c r="Z1" s="37"/>
      <c r="AA1" s="37"/>
      <c r="AB1" s="37"/>
      <c r="AC1" s="37"/>
      <c r="AD1" s="37"/>
      <c r="AE1" s="37"/>
      <c r="AF1" s="37"/>
    </row>
    <row r="2" spans="19:39" ht="15" customHeight="1" thickTop="1" x14ac:dyDescent="0.3">
      <c r="S2" s="93" t="s">
        <v>216</v>
      </c>
      <c r="T2" s="34"/>
      <c r="X2" s="38" t="s">
        <v>37</v>
      </c>
      <c r="Y2" s="38"/>
      <c r="Z2" s="39">
        <v>2019</v>
      </c>
      <c r="AA2" s="40">
        <v>2020</v>
      </c>
      <c r="AB2" s="40">
        <v>2021</v>
      </c>
      <c r="AC2" s="40">
        <v>2022</v>
      </c>
      <c r="AD2" s="40" t="s">
        <v>185</v>
      </c>
      <c r="AE2" s="40" t="s">
        <v>45</v>
      </c>
      <c r="AF2" s="40" t="s">
        <v>46</v>
      </c>
      <c r="AH2" s="28">
        <v>2019</v>
      </c>
      <c r="AI2" s="28">
        <v>2020</v>
      </c>
      <c r="AJ2" s="28">
        <v>2021</v>
      </c>
      <c r="AK2" s="28">
        <v>2022</v>
      </c>
    </row>
    <row r="3" spans="19:39" ht="15" customHeight="1" x14ac:dyDescent="0.3">
      <c r="T3" s="92" t="s">
        <v>208</v>
      </c>
      <c r="U3" s="90" t="s">
        <v>209</v>
      </c>
      <c r="X3" s="37"/>
      <c r="Y3" s="37" t="s">
        <v>231</v>
      </c>
      <c r="Z3" s="41">
        <f t="shared" ref="Z3:AC4" si="0">AH3</f>
        <v>9.9147789180278778E-2</v>
      </c>
      <c r="AA3" s="41">
        <f t="shared" si="0"/>
        <v>8.1074513494968414E-2</v>
      </c>
      <c r="AB3" s="41">
        <f t="shared" si="0"/>
        <v>5.9002634137868881E-2</v>
      </c>
      <c r="AC3" s="41">
        <f t="shared" si="0"/>
        <v>9.5468349754810333E-2</v>
      </c>
      <c r="AD3" s="41">
        <f t="shared" ref="AD3:AF6" si="1">AA3-Z3</f>
        <v>-1.8073275685310364E-2</v>
      </c>
      <c r="AE3" s="35">
        <f t="shared" si="1"/>
        <v>-2.2071879357099533E-2</v>
      </c>
      <c r="AF3" s="35">
        <f t="shared" si="1"/>
        <v>3.6465715616941452E-2</v>
      </c>
      <c r="AG3" s="84" t="s">
        <v>186</v>
      </c>
      <c r="AH3">
        <v>9.9147789180278778E-2</v>
      </c>
      <c r="AI3">
        <v>8.1074513494968414E-2</v>
      </c>
      <c r="AJ3">
        <v>5.9002634137868881E-2</v>
      </c>
      <c r="AK3">
        <v>9.5468349754810333E-2</v>
      </c>
      <c r="AM3" s="94">
        <f>+AF3/AB3</f>
        <v>0.61803538350056719</v>
      </c>
    </row>
    <row r="4" spans="19:39" ht="15" customHeight="1" x14ac:dyDescent="0.3">
      <c r="S4" s="90" t="s">
        <v>210</v>
      </c>
      <c r="T4" s="122">
        <f>+AD3*100</f>
        <v>-1.8073275685310364</v>
      </c>
      <c r="U4" s="122">
        <f>+AD18*100</f>
        <v>-1.8209263682365417</v>
      </c>
      <c r="Y4" s="37" t="s">
        <v>183</v>
      </c>
      <c r="Z4" s="41">
        <f t="shared" si="0"/>
        <v>9.8389923572540283E-2</v>
      </c>
      <c r="AA4" s="41">
        <f t="shared" si="0"/>
        <v>0.1030726358294487</v>
      </c>
      <c r="AB4" s="41">
        <f t="shared" si="0"/>
        <v>6.8938076496124268E-2</v>
      </c>
      <c r="AC4" s="41">
        <f t="shared" si="0"/>
        <v>9.5336012542247772E-2</v>
      </c>
      <c r="AD4" s="41">
        <f t="shared" si="1"/>
        <v>4.6827122569084167E-3</v>
      </c>
      <c r="AE4" s="35">
        <f t="shared" si="1"/>
        <v>-3.4134559333324432E-2</v>
      </c>
      <c r="AF4" s="35">
        <f t="shared" si="1"/>
        <v>2.6397936046123505E-2</v>
      </c>
      <c r="AG4" s="128" t="s">
        <v>295</v>
      </c>
      <c r="AH4">
        <v>9.8389923572540283E-2</v>
      </c>
      <c r="AI4">
        <v>0.1030726358294487</v>
      </c>
      <c r="AJ4">
        <v>6.8938076496124268E-2</v>
      </c>
      <c r="AK4">
        <v>9.5336012542247772E-2</v>
      </c>
      <c r="AM4" s="94"/>
    </row>
    <row r="5" spans="19:39" ht="15" customHeight="1" x14ac:dyDescent="0.3">
      <c r="S5" s="90" t="s">
        <v>211</v>
      </c>
      <c r="T5" s="75">
        <f>+AD5*100</f>
        <v>-0.40301606059074402</v>
      </c>
      <c r="U5" s="75">
        <f>AD20*100</f>
        <v>-0.33567994832992554</v>
      </c>
      <c r="X5" s="37"/>
      <c r="Y5" s="37" t="s">
        <v>48</v>
      </c>
      <c r="Z5" s="42">
        <f t="shared" ref="Z5:AC10" si="2">AH5</f>
        <v>9.9147789180278778E-2</v>
      </c>
      <c r="AA5" s="42">
        <f t="shared" si="2"/>
        <v>9.5117628574371338E-2</v>
      </c>
      <c r="AB5" s="42">
        <f t="shared" si="2"/>
        <v>8.3442501723766327E-2</v>
      </c>
      <c r="AC5" s="42">
        <f t="shared" si="2"/>
        <v>9.5468349754810333E-2</v>
      </c>
      <c r="AD5" s="41">
        <f t="shared" si="1"/>
        <v>-4.0301606059074402E-3</v>
      </c>
      <c r="AE5" s="36">
        <f t="shared" si="1"/>
        <v>-1.1675126850605011E-2</v>
      </c>
      <c r="AF5" s="36">
        <f t="shared" si="1"/>
        <v>1.2025848031044006E-2</v>
      </c>
      <c r="AG5" s="128" t="s">
        <v>293</v>
      </c>
      <c r="AH5">
        <v>9.9147789180278778E-2</v>
      </c>
      <c r="AI5">
        <v>9.5117628574371338E-2</v>
      </c>
      <c r="AJ5">
        <v>8.3442501723766327E-2</v>
      </c>
      <c r="AK5">
        <v>9.5468349754810333E-2</v>
      </c>
      <c r="AM5" s="94"/>
    </row>
    <row r="6" spans="19:39" ht="15" customHeight="1" x14ac:dyDescent="0.3">
      <c r="S6" s="90" t="s">
        <v>212</v>
      </c>
      <c r="T6" s="75">
        <f>(+AA4-Z3)*100</f>
        <v>0.39248466491699219</v>
      </c>
      <c r="U6" s="75">
        <f>(AA19-Z18)*100</f>
        <v>0.87327659130096436</v>
      </c>
      <c r="X6" s="37"/>
      <c r="Y6" s="37" t="s">
        <v>47</v>
      </c>
      <c r="Z6" s="42">
        <f t="shared" si="2"/>
        <v>9.9147789180278778E-2</v>
      </c>
      <c r="AA6" s="42">
        <f t="shared" si="2"/>
        <v>8.1074513494968414E-2</v>
      </c>
      <c r="AB6" s="42">
        <f t="shared" si="2"/>
        <v>6.2267951667308807E-2</v>
      </c>
      <c r="AC6" s="42">
        <f t="shared" si="2"/>
        <v>0.1007300391793251</v>
      </c>
      <c r="AD6" s="41">
        <f t="shared" si="1"/>
        <v>-1.8073275685310364E-2</v>
      </c>
      <c r="AE6" s="36">
        <f t="shared" si="1"/>
        <v>-1.8806561827659607E-2</v>
      </c>
      <c r="AF6" s="36">
        <f t="shared" si="1"/>
        <v>3.8462087512016296E-2</v>
      </c>
      <c r="AG6" s="128" t="s">
        <v>188</v>
      </c>
      <c r="AH6">
        <v>9.9147789180278778E-2</v>
      </c>
      <c r="AI6">
        <v>8.1074513494968414E-2</v>
      </c>
      <c r="AJ6">
        <v>6.2267951667308807E-2</v>
      </c>
      <c r="AK6">
        <v>0.1007300391793251</v>
      </c>
      <c r="AM6" s="94"/>
    </row>
    <row r="7" spans="19:39" ht="15" customHeight="1" x14ac:dyDescent="0.3">
      <c r="X7" s="37"/>
      <c r="Y7" s="37" t="s">
        <v>49</v>
      </c>
      <c r="Z7" s="42">
        <f t="shared" si="2"/>
        <v>9.9147789180278778E-2</v>
      </c>
      <c r="AA7" s="42">
        <f t="shared" si="2"/>
        <v>8.1074513494968414E-2</v>
      </c>
      <c r="AB7" s="42">
        <f t="shared" si="2"/>
        <v>5.9002634137868881E-2</v>
      </c>
      <c r="AC7" s="42">
        <f t="shared" si="2"/>
        <v>8.963765949010849E-2</v>
      </c>
      <c r="AD7" s="41">
        <f>AA7-Z7</f>
        <v>-1.8073275685310364E-2</v>
      </c>
      <c r="AE7" s="36">
        <f t="shared" ref="AE7:AF10" si="3">AB7-AA7</f>
        <v>-2.2071879357099533E-2</v>
      </c>
      <c r="AF7" s="36">
        <f>AC7-AB7</f>
        <v>3.0635025352239609E-2</v>
      </c>
      <c r="AG7" s="84" t="s">
        <v>189</v>
      </c>
      <c r="AH7">
        <v>9.9147789180278778E-2</v>
      </c>
      <c r="AI7">
        <v>8.1074513494968414E-2</v>
      </c>
      <c r="AJ7">
        <v>5.9002634137868881E-2</v>
      </c>
      <c r="AK7">
        <v>8.963765949010849E-2</v>
      </c>
      <c r="AM7" s="94">
        <f>+AF7/AB7</f>
        <v>0.51921453677230889</v>
      </c>
    </row>
    <row r="8" spans="19:39" ht="15" customHeight="1" x14ac:dyDescent="0.3">
      <c r="X8" s="37"/>
      <c r="Y8" s="37" t="s">
        <v>51</v>
      </c>
      <c r="Z8" s="42">
        <f t="shared" si="2"/>
        <v>9.9147789180278778E-2</v>
      </c>
      <c r="AA8" s="42">
        <f t="shared" si="2"/>
        <v>8.1074513494968414E-2</v>
      </c>
      <c r="AB8" s="42">
        <f t="shared" si="2"/>
        <v>5.9002634137868881E-2</v>
      </c>
      <c r="AC8" s="42">
        <f t="shared" si="2"/>
        <v>6.8472519516944885E-2</v>
      </c>
      <c r="AD8" s="41">
        <f>AA8-Z8</f>
        <v>-1.8073275685310364E-2</v>
      </c>
      <c r="AE8" s="36">
        <f t="shared" si="3"/>
        <v>-2.2071879357099533E-2</v>
      </c>
      <c r="AF8" s="36">
        <f>AC8-AB8</f>
        <v>9.469885379076004E-3</v>
      </c>
      <c r="AG8" s="84" t="s">
        <v>190</v>
      </c>
      <c r="AH8">
        <v>9.9147789180278778E-2</v>
      </c>
      <c r="AI8">
        <v>8.1074513494968414E-2</v>
      </c>
      <c r="AJ8">
        <v>5.9002634137868881E-2</v>
      </c>
      <c r="AK8">
        <v>6.8472519516944885E-2</v>
      </c>
      <c r="AM8" s="94">
        <f>+AF8/AB8</f>
        <v>0.16049936612911445</v>
      </c>
    </row>
    <row r="9" spans="19:39" ht="15" customHeight="1" x14ac:dyDescent="0.3">
      <c r="S9" s="93" t="s">
        <v>217</v>
      </c>
      <c r="X9" s="37"/>
      <c r="Y9" s="37" t="s">
        <v>44</v>
      </c>
      <c r="Z9" s="42">
        <f t="shared" si="2"/>
        <v>0.105</v>
      </c>
      <c r="AA9" s="42">
        <f t="shared" si="2"/>
        <v>0.115</v>
      </c>
      <c r="AB9" s="42">
        <f t="shared" si="2"/>
        <v>0.11600000000000001</v>
      </c>
      <c r="AC9" s="42">
        <f t="shared" si="2"/>
        <v>0.115</v>
      </c>
      <c r="AD9" s="41">
        <f>AA9-Z9</f>
        <v>1.0000000000000009E-2</v>
      </c>
      <c r="AE9" s="36">
        <f t="shared" si="3"/>
        <v>1.0000000000000009E-3</v>
      </c>
      <c r="AF9" s="36">
        <f t="shared" si="3"/>
        <v>-1.0000000000000009E-3</v>
      </c>
      <c r="AH9" s="7">
        <v>0.105</v>
      </c>
      <c r="AI9" s="7">
        <v>0.115</v>
      </c>
      <c r="AJ9" s="7">
        <v>0.11600000000000001</v>
      </c>
      <c r="AK9" s="7">
        <v>0.115</v>
      </c>
    </row>
    <row r="10" spans="19:39" ht="15" customHeight="1" x14ac:dyDescent="0.3">
      <c r="T10" s="33"/>
      <c r="X10" s="37"/>
      <c r="Y10" s="37" t="s">
        <v>50</v>
      </c>
      <c r="Z10" s="42">
        <f t="shared" si="2"/>
        <v>9.8137892782688141E-2</v>
      </c>
      <c r="AA10" s="42">
        <f t="shared" si="2"/>
        <v>8.137965202331543E-2</v>
      </c>
      <c r="AB10" s="42">
        <f t="shared" si="2"/>
        <v>7.4362434446811676E-2</v>
      </c>
      <c r="AC10" s="42">
        <f t="shared" si="2"/>
        <v>6.0355763882398605E-2</v>
      </c>
      <c r="AD10" s="41">
        <f>AA10-Z10</f>
        <v>-1.6758240759372711E-2</v>
      </c>
      <c r="AE10" s="36">
        <f t="shared" si="3"/>
        <v>-7.0172175765037537E-3</v>
      </c>
      <c r="AF10" s="36">
        <f t="shared" si="3"/>
        <v>-1.4006670564413071E-2</v>
      </c>
      <c r="AH10">
        <v>9.8137892782688141E-2</v>
      </c>
      <c r="AI10">
        <v>8.137965202331543E-2</v>
      </c>
      <c r="AJ10">
        <v>7.4362434446811676E-2</v>
      </c>
      <c r="AK10">
        <v>6.0355763882398605E-2</v>
      </c>
    </row>
    <row r="11" spans="19:39" ht="15" customHeight="1" x14ac:dyDescent="0.3">
      <c r="S11" s="90" t="s">
        <v>211</v>
      </c>
      <c r="T11" s="75">
        <f>+T4-T5</f>
        <v>-1.4043115079402924</v>
      </c>
      <c r="U11" s="75">
        <f>+U4-U5</f>
        <v>-1.4852464199066162</v>
      </c>
      <c r="X11" s="158" t="s">
        <v>247</v>
      </c>
      <c r="Y11" s="158"/>
      <c r="Z11" s="158"/>
      <c r="AA11" s="158"/>
      <c r="AB11" s="158"/>
      <c r="AC11" s="158"/>
      <c r="AD11" s="158"/>
      <c r="AE11" s="158"/>
      <c r="AF11" s="158"/>
    </row>
    <row r="12" spans="19:39" ht="15" customHeight="1" x14ac:dyDescent="0.3">
      <c r="S12" s="90" t="s">
        <v>212</v>
      </c>
      <c r="T12" s="75">
        <f>+T4-T6</f>
        <v>-2.1998122334480286</v>
      </c>
      <c r="U12" s="75">
        <f>+U4-U6</f>
        <v>-2.6942029595375061</v>
      </c>
      <c r="X12" s="159"/>
      <c r="Y12" s="159"/>
      <c r="Z12" s="159"/>
      <c r="AA12" s="159"/>
      <c r="AB12" s="159"/>
      <c r="AC12" s="159"/>
      <c r="AD12" s="159"/>
      <c r="AE12" s="159"/>
      <c r="AF12" s="159"/>
      <c r="AH12"/>
      <c r="AI12"/>
      <c r="AJ12"/>
      <c r="AK12"/>
    </row>
    <row r="13" spans="19:39" ht="15" customHeight="1" x14ac:dyDescent="0.3">
      <c r="S13" s="93" t="s">
        <v>218</v>
      </c>
      <c r="Y13" s="148" t="s">
        <v>347</v>
      </c>
      <c r="Z13" s="41">
        <f t="shared" ref="Z13" si="4">AH13</f>
        <v>9.9055081605911255E-2</v>
      </c>
      <c r="AA13" s="41">
        <f t="shared" ref="AA13" si="5">AI13</f>
        <v>9.0334810316562653E-2</v>
      </c>
      <c r="AB13" s="41">
        <f t="shared" ref="AB13" si="6">AJ13</f>
        <v>6.5566569566726685E-2</v>
      </c>
      <c r="AC13" s="41">
        <f t="shared" ref="AC13" si="7">AK13</f>
        <v>9.5469430088996887E-2</v>
      </c>
      <c r="AD13" s="41">
        <f t="shared" ref="AD13" si="8">AA13-Z13</f>
        <v>-8.7202712893486023E-3</v>
      </c>
      <c r="AE13" s="35">
        <f t="shared" ref="AE13" si="9">AB13-AA13</f>
        <v>-2.4768240749835968E-2</v>
      </c>
      <c r="AF13" s="35">
        <f t="shared" ref="AF13" si="10">AC13-AB13</f>
        <v>2.9902860522270203E-2</v>
      </c>
      <c r="AH13">
        <v>9.9055081605911255E-2</v>
      </c>
      <c r="AI13">
        <v>9.0334810316562653E-2</v>
      </c>
      <c r="AJ13">
        <v>6.5566569566726685E-2</v>
      </c>
      <c r="AK13">
        <v>9.5469430088996887E-2</v>
      </c>
    </row>
    <row r="14" spans="19:39" ht="15" customHeight="1" x14ac:dyDescent="0.3">
      <c r="S14" s="30"/>
      <c r="T14" s="34"/>
      <c r="U14" s="34"/>
      <c r="AA14" s="33">
        <f>AA3-AA13</f>
        <v>-9.2602968215942383E-3</v>
      </c>
      <c r="AB14" s="33">
        <f>AB3-AB13</f>
        <v>-6.5639354288578033E-3</v>
      </c>
    </row>
    <row r="15" spans="19:39" ht="15" customHeight="1" x14ac:dyDescent="0.3">
      <c r="T15" s="75">
        <f>+T11/T4</f>
        <v>0.77700995236944881</v>
      </c>
      <c r="U15" s="75">
        <f>+U11/U4</f>
        <v>0.81565429872103423</v>
      </c>
    </row>
    <row r="16" spans="19:39" ht="15" customHeight="1" thickBot="1" x14ac:dyDescent="0.35">
      <c r="S16" s="33"/>
      <c r="T16" s="33"/>
      <c r="U16" s="33"/>
      <c r="X16" s="37" t="s">
        <v>229</v>
      </c>
      <c r="Y16" s="37"/>
      <c r="Z16" s="37"/>
      <c r="AA16" s="37"/>
      <c r="AB16" s="37"/>
      <c r="AC16" s="37"/>
      <c r="AD16" s="37"/>
      <c r="AE16" s="37"/>
      <c r="AF16" s="37"/>
      <c r="AM16" s="94">
        <f>+AF18/AB18</f>
        <v>0.78590551345016291</v>
      </c>
    </row>
    <row r="17" spans="1:37" ht="15" customHeight="1" thickTop="1" x14ac:dyDescent="0.3">
      <c r="S17" s="33"/>
      <c r="T17" s="33"/>
      <c r="U17" s="33"/>
      <c r="X17" s="38" t="s">
        <v>37</v>
      </c>
      <c r="Y17" s="38"/>
      <c r="Z17" s="39">
        <v>2019</v>
      </c>
      <c r="AA17" s="40">
        <v>2020</v>
      </c>
      <c r="AB17" s="40">
        <v>2021</v>
      </c>
      <c r="AC17" s="40">
        <v>2022</v>
      </c>
      <c r="AD17" s="40" t="s">
        <v>185</v>
      </c>
      <c r="AE17" s="40" t="s">
        <v>45</v>
      </c>
      <c r="AF17" s="40" t="s">
        <v>46</v>
      </c>
      <c r="AH17" s="28">
        <v>2019</v>
      </c>
      <c r="AI17" s="28">
        <v>2020</v>
      </c>
      <c r="AJ17" s="28">
        <v>2021</v>
      </c>
      <c r="AK17" s="28">
        <v>2022</v>
      </c>
    </row>
    <row r="18" spans="1:37" ht="15" customHeight="1" x14ac:dyDescent="0.3">
      <c r="X18" s="37"/>
      <c r="Y18" s="37" t="s">
        <v>226</v>
      </c>
      <c r="Z18" s="41">
        <f t="shared" ref="Z18:AC19" si="11">AH18</f>
        <v>0.1119672879576683</v>
      </c>
      <c r="AA18" s="41">
        <f t="shared" si="11"/>
        <v>9.3758024275302887E-2</v>
      </c>
      <c r="AB18" s="41">
        <f t="shared" si="11"/>
        <v>5.2612371742725372E-2</v>
      </c>
      <c r="AC18" s="41">
        <f t="shared" si="11"/>
        <v>9.3960724771022797E-2</v>
      </c>
      <c r="AD18" s="41">
        <f t="shared" ref="AD18:AF25" si="12">AA18-Z18</f>
        <v>-1.8209263682365417E-2</v>
      </c>
      <c r="AE18" s="35">
        <f t="shared" si="12"/>
        <v>-4.1145652532577515E-2</v>
      </c>
      <c r="AF18" s="35">
        <f t="shared" si="12"/>
        <v>4.1348353028297424E-2</v>
      </c>
      <c r="AG18" s="77" t="s">
        <v>178</v>
      </c>
      <c r="AH18">
        <v>0.1119672879576683</v>
      </c>
      <c r="AI18">
        <v>9.3758024275302887E-2</v>
      </c>
      <c r="AJ18">
        <v>5.2612371742725372E-2</v>
      </c>
      <c r="AK18">
        <v>9.3960724771022797E-2</v>
      </c>
    </row>
    <row r="19" spans="1:37" ht="15" customHeight="1" x14ac:dyDescent="0.3">
      <c r="A19" s="163" t="s">
        <v>266</v>
      </c>
      <c r="B19" s="164"/>
      <c r="C19" s="164"/>
      <c r="D19" s="164"/>
      <c r="E19" s="164"/>
      <c r="F19" s="164"/>
      <c r="G19" s="164"/>
      <c r="H19" s="164"/>
      <c r="I19" s="164"/>
      <c r="J19" s="164"/>
      <c r="K19" s="164"/>
      <c r="L19" s="164"/>
      <c r="M19" s="164"/>
      <c r="N19" s="164"/>
      <c r="O19" s="164"/>
      <c r="P19" s="164"/>
      <c r="Y19" s="37" t="s">
        <v>183</v>
      </c>
      <c r="Z19" s="41">
        <f t="shared" si="11"/>
        <v>0.11076242476701736</v>
      </c>
      <c r="AA19" s="41">
        <f t="shared" si="11"/>
        <v>0.12070005387067795</v>
      </c>
      <c r="AB19" s="41">
        <f t="shared" si="11"/>
        <v>6.3655048608779907E-2</v>
      </c>
      <c r="AC19" s="41">
        <f t="shared" si="11"/>
        <v>9.4299659132957458E-2</v>
      </c>
      <c r="AD19" s="41">
        <f t="shared" si="12"/>
        <v>9.9376291036605835E-3</v>
      </c>
      <c r="AE19" s="35">
        <f t="shared" si="12"/>
        <v>-5.7045005261898041E-2</v>
      </c>
      <c r="AF19" s="35">
        <f t="shared" si="12"/>
        <v>3.0644610524177551E-2</v>
      </c>
      <c r="AG19" s="128" t="s">
        <v>296</v>
      </c>
      <c r="AH19">
        <v>0.11076242476701736</v>
      </c>
      <c r="AI19">
        <v>0.12070005387067795</v>
      </c>
      <c r="AJ19">
        <v>6.3655048608779907E-2</v>
      </c>
      <c r="AK19">
        <v>9.4299659132957458E-2</v>
      </c>
    </row>
    <row r="20" spans="1:37" ht="15" customHeight="1" x14ac:dyDescent="0.3">
      <c r="A20" s="164"/>
      <c r="B20" s="164"/>
      <c r="C20" s="164"/>
      <c r="D20" s="164"/>
      <c r="E20" s="164"/>
      <c r="F20" s="164"/>
      <c r="G20" s="164"/>
      <c r="H20" s="164"/>
      <c r="I20" s="164"/>
      <c r="J20" s="164"/>
      <c r="K20" s="164"/>
      <c r="L20" s="164"/>
      <c r="M20" s="164"/>
      <c r="N20" s="164"/>
      <c r="O20" s="164"/>
      <c r="P20" s="164"/>
      <c r="X20" s="37"/>
      <c r="Y20" s="37" t="s">
        <v>48</v>
      </c>
      <c r="Z20" s="42">
        <f t="shared" ref="Z20:AC25" si="13">AH20</f>
        <v>0.1119672879576683</v>
      </c>
      <c r="AA20" s="42">
        <f t="shared" si="13"/>
        <v>0.10861048847436905</v>
      </c>
      <c r="AB20" s="42">
        <f t="shared" si="13"/>
        <v>8.2516297698020935E-2</v>
      </c>
      <c r="AC20" s="42">
        <f t="shared" si="13"/>
        <v>9.3960724771022797E-2</v>
      </c>
      <c r="AD20" s="41">
        <f t="shared" si="12"/>
        <v>-3.3567994832992554E-3</v>
      </c>
      <c r="AE20" s="36">
        <f t="shared" si="12"/>
        <v>-2.6094190776348114E-2</v>
      </c>
      <c r="AF20" s="36">
        <f t="shared" si="12"/>
        <v>1.1444427073001862E-2</v>
      </c>
      <c r="AG20" s="128" t="s">
        <v>294</v>
      </c>
      <c r="AH20">
        <v>0.1119672879576683</v>
      </c>
      <c r="AI20">
        <v>0.10861048847436905</v>
      </c>
      <c r="AJ20">
        <v>8.2516297698020935E-2</v>
      </c>
      <c r="AK20">
        <v>9.3960724771022797E-2</v>
      </c>
    </row>
    <row r="21" spans="1:37" ht="15" customHeight="1" x14ac:dyDescent="0.3">
      <c r="A21" s="164"/>
      <c r="B21" s="164"/>
      <c r="C21" s="164"/>
      <c r="D21" s="164"/>
      <c r="E21" s="164"/>
      <c r="F21" s="164"/>
      <c r="G21" s="164"/>
      <c r="H21" s="164"/>
      <c r="I21" s="164"/>
      <c r="J21" s="164"/>
      <c r="K21" s="164"/>
      <c r="L21" s="164"/>
      <c r="M21" s="164"/>
      <c r="N21" s="164"/>
      <c r="O21" s="164"/>
      <c r="P21" s="164"/>
      <c r="X21" s="37"/>
      <c r="Y21" s="37" t="s">
        <v>47</v>
      </c>
      <c r="Z21" s="42">
        <f t="shared" si="13"/>
        <v>0.1119672879576683</v>
      </c>
      <c r="AA21" s="42">
        <f t="shared" si="13"/>
        <v>9.3758024275302887E-2</v>
      </c>
      <c r="AB21" s="42">
        <f t="shared" si="13"/>
        <v>6.118377298116684E-2</v>
      </c>
      <c r="AC21" s="42">
        <f t="shared" si="13"/>
        <v>0.10846481472253799</v>
      </c>
      <c r="AD21" s="41">
        <f t="shared" si="12"/>
        <v>-1.8209263682365417E-2</v>
      </c>
      <c r="AE21" s="36">
        <f t="shared" si="12"/>
        <v>-3.2574251294136047E-2</v>
      </c>
      <c r="AF21" s="36">
        <f t="shared" si="12"/>
        <v>4.7281041741371155E-2</v>
      </c>
      <c r="AG21" s="128" t="s">
        <v>179</v>
      </c>
      <c r="AH21">
        <v>0.1119672879576683</v>
      </c>
      <c r="AI21">
        <v>9.3758024275302887E-2</v>
      </c>
      <c r="AJ21">
        <v>6.118377298116684E-2</v>
      </c>
      <c r="AK21">
        <v>0.10846481472253799</v>
      </c>
    </row>
    <row r="22" spans="1:37" ht="15" customHeight="1" x14ac:dyDescent="0.3">
      <c r="A22" s="114"/>
      <c r="B22" s="114"/>
      <c r="C22" s="114"/>
      <c r="D22" s="114"/>
      <c r="E22" s="114"/>
      <c r="F22" s="114"/>
      <c r="G22" s="114"/>
      <c r="H22" s="114"/>
      <c r="I22" s="114"/>
      <c r="J22" s="114"/>
      <c r="K22" s="114"/>
      <c r="L22" s="114"/>
      <c r="M22" s="114"/>
      <c r="N22" s="114"/>
      <c r="O22" s="114"/>
      <c r="P22" s="114"/>
      <c r="X22" s="37"/>
      <c r="Y22" s="37" t="s">
        <v>49</v>
      </c>
      <c r="Z22" s="42">
        <f t="shared" si="13"/>
        <v>0.1119672879576683</v>
      </c>
      <c r="AA22" s="42">
        <f t="shared" si="13"/>
        <v>9.3758024275302887E-2</v>
      </c>
      <c r="AB22" s="42">
        <f t="shared" si="13"/>
        <v>5.2612371742725372E-2</v>
      </c>
      <c r="AC22" s="42">
        <f t="shared" si="13"/>
        <v>7.876606285572052E-2</v>
      </c>
      <c r="AD22" s="41">
        <f t="shared" si="12"/>
        <v>-1.8209263682365417E-2</v>
      </c>
      <c r="AE22" s="36">
        <f t="shared" si="12"/>
        <v>-4.1145652532577515E-2</v>
      </c>
      <c r="AF22" s="36">
        <f t="shared" si="12"/>
        <v>2.6153691112995148E-2</v>
      </c>
      <c r="AG22" s="77" t="s">
        <v>180</v>
      </c>
      <c r="AH22">
        <v>0.1119672879576683</v>
      </c>
      <c r="AI22">
        <v>9.3758024275302887E-2</v>
      </c>
      <c r="AJ22">
        <v>5.2612371742725372E-2</v>
      </c>
      <c r="AK22">
        <v>7.876606285572052E-2</v>
      </c>
    </row>
    <row r="23" spans="1:37" ht="15" customHeight="1" x14ac:dyDescent="0.3">
      <c r="A23" s="114"/>
      <c r="B23" s="114"/>
      <c r="C23" s="114"/>
      <c r="D23" s="114"/>
      <c r="E23" s="114"/>
      <c r="F23" s="114"/>
      <c r="G23" s="114"/>
      <c r="H23" s="114"/>
      <c r="I23" s="114"/>
      <c r="J23" s="114"/>
      <c r="K23" s="114"/>
      <c r="L23" s="114"/>
      <c r="M23" s="114"/>
      <c r="N23" s="114"/>
      <c r="O23" s="114"/>
      <c r="P23" s="114"/>
      <c r="X23" s="37"/>
      <c r="Y23" s="37" t="s">
        <v>51</v>
      </c>
      <c r="Z23" s="42">
        <f t="shared" si="13"/>
        <v>0.1119672879576683</v>
      </c>
      <c r="AA23" s="42">
        <f t="shared" si="13"/>
        <v>9.3758024275302887E-2</v>
      </c>
      <c r="AB23" s="42">
        <f t="shared" si="13"/>
        <v>5.2612371742725372E-2</v>
      </c>
      <c r="AC23" s="42">
        <f t="shared" si="13"/>
        <v>5.8992628008127213E-2</v>
      </c>
      <c r="AD23" s="41">
        <f t="shared" si="12"/>
        <v>-1.8209263682365417E-2</v>
      </c>
      <c r="AE23" s="36">
        <f t="shared" si="12"/>
        <v>-4.1145652532577515E-2</v>
      </c>
      <c r="AF23" s="36">
        <f t="shared" si="12"/>
        <v>6.3802562654018402E-3</v>
      </c>
      <c r="AG23" s="77" t="s">
        <v>181</v>
      </c>
      <c r="AH23">
        <v>0.1119672879576683</v>
      </c>
      <c r="AI23">
        <v>9.3758024275302887E-2</v>
      </c>
      <c r="AJ23">
        <v>5.2612371742725372E-2</v>
      </c>
      <c r="AK23">
        <v>5.8992628008127213E-2</v>
      </c>
    </row>
    <row r="24" spans="1:37" ht="15" customHeight="1" x14ac:dyDescent="0.3">
      <c r="R24" s="93" t="s">
        <v>214</v>
      </c>
      <c r="S24" s="93"/>
      <c r="X24" s="37"/>
      <c r="Y24" s="37" t="s">
        <v>44</v>
      </c>
      <c r="Z24" s="42">
        <f t="shared" si="13"/>
        <v>0.14400000000000002</v>
      </c>
      <c r="AA24" s="42">
        <f t="shared" si="13"/>
        <v>0.16</v>
      </c>
      <c r="AB24" s="42">
        <f t="shared" si="13"/>
        <v>0.153</v>
      </c>
      <c r="AC24" s="42">
        <f t="shared" si="13"/>
        <v>0.15</v>
      </c>
      <c r="AD24" s="41">
        <f t="shared" si="12"/>
        <v>1.5999999999999986E-2</v>
      </c>
      <c r="AE24" s="36">
        <f t="shared" si="12"/>
        <v>-7.0000000000000062E-3</v>
      </c>
      <c r="AF24" s="36">
        <f t="shared" si="12"/>
        <v>-3.0000000000000027E-3</v>
      </c>
      <c r="AH24" s="7">
        <v>0.14400000000000002</v>
      </c>
      <c r="AI24" s="7">
        <v>0.16</v>
      </c>
      <c r="AJ24" s="7">
        <v>0.153</v>
      </c>
      <c r="AK24" s="7">
        <v>0.15</v>
      </c>
    </row>
    <row r="25" spans="1:37" ht="15" customHeight="1" x14ac:dyDescent="0.3">
      <c r="S25" s="92" t="s">
        <v>208</v>
      </c>
      <c r="T25" s="90" t="s">
        <v>209</v>
      </c>
      <c r="X25" s="37"/>
      <c r="Y25" s="37" t="s">
        <v>50</v>
      </c>
      <c r="Z25" s="42">
        <f t="shared" si="13"/>
        <v>0.14649122953414917</v>
      </c>
      <c r="AA25" s="42">
        <f t="shared" si="13"/>
        <v>0.11599357426166534</v>
      </c>
      <c r="AB25" s="42">
        <f t="shared" si="13"/>
        <v>0.11006379127502441</v>
      </c>
      <c r="AC25" s="42">
        <f t="shared" si="13"/>
        <v>8.5189618170261383E-2</v>
      </c>
      <c r="AD25" s="41">
        <f t="shared" si="12"/>
        <v>-3.0497655272483826E-2</v>
      </c>
      <c r="AE25" s="36">
        <f t="shared" si="12"/>
        <v>-5.9297829866409302E-3</v>
      </c>
      <c r="AF25" s="36">
        <f t="shared" si="12"/>
        <v>-2.4874173104763031E-2</v>
      </c>
      <c r="AH25">
        <v>0.14649122953414917</v>
      </c>
      <c r="AI25">
        <v>0.11599357426166534</v>
      </c>
      <c r="AJ25">
        <v>0.11006379127502441</v>
      </c>
      <c r="AK25">
        <v>8.5189618170261383E-2</v>
      </c>
    </row>
    <row r="26" spans="1:37" ht="15" customHeight="1" x14ac:dyDescent="0.3">
      <c r="R26" s="90" t="s">
        <v>210</v>
      </c>
      <c r="S26" s="122">
        <f>+AE3*100</f>
        <v>-2.2071879357099533</v>
      </c>
      <c r="T26" s="122">
        <f>+AE18*100</f>
        <v>-4.1145652532577515</v>
      </c>
      <c r="X26" s="160" t="s">
        <v>247</v>
      </c>
      <c r="Y26" s="160"/>
      <c r="Z26" s="160"/>
      <c r="AA26" s="160"/>
      <c r="AB26" s="160"/>
      <c r="AC26" s="160"/>
      <c r="AD26" s="160"/>
      <c r="AE26" s="160"/>
      <c r="AF26" s="160"/>
    </row>
    <row r="27" spans="1:37" ht="15" customHeight="1" x14ac:dyDescent="0.3">
      <c r="R27" s="107" t="s">
        <v>234</v>
      </c>
      <c r="S27" s="75">
        <f>+AE6*100</f>
        <v>-1.8806561827659607</v>
      </c>
      <c r="T27" s="75">
        <f>+AE21*100</f>
        <v>-3.2574251294136047</v>
      </c>
      <c r="X27" s="161"/>
      <c r="Y27" s="161"/>
      <c r="Z27" s="161"/>
      <c r="AA27" s="161"/>
      <c r="AB27" s="161"/>
      <c r="AC27" s="161"/>
      <c r="AD27" s="161"/>
      <c r="AE27" s="161"/>
      <c r="AF27" s="161"/>
    </row>
    <row r="28" spans="1:37" ht="15" customHeight="1" x14ac:dyDescent="0.3">
      <c r="R28" s="107" t="s">
        <v>235</v>
      </c>
      <c r="S28" s="75">
        <f>(+AB5-AA3)*100</f>
        <v>0.23679882287979126</v>
      </c>
      <c r="T28" s="75">
        <f>(+AB20-AA18)*100</f>
        <v>-1.1241726577281952</v>
      </c>
      <c r="X28" s="161"/>
      <c r="Y28" s="161"/>
      <c r="Z28" s="161"/>
      <c r="AA28" s="161"/>
      <c r="AB28" s="161"/>
      <c r="AC28" s="161"/>
      <c r="AD28" s="161"/>
      <c r="AE28" s="161"/>
      <c r="AF28" s="161"/>
    </row>
    <row r="29" spans="1:37" ht="15" customHeight="1" x14ac:dyDescent="0.3">
      <c r="R29" s="107" t="s">
        <v>212</v>
      </c>
      <c r="S29" s="75">
        <f>(AB4-AA3)*100</f>
        <v>-1.2136436998844147</v>
      </c>
      <c r="T29" s="75">
        <f>(AB19-AA18)*100</f>
        <v>-3.010297566652298</v>
      </c>
      <c r="Y29" s="148" t="s">
        <v>347</v>
      </c>
      <c r="Z29" s="41">
        <f t="shared" ref="Z29" si="14">AH29</f>
        <v>0.11191646754741669</v>
      </c>
      <c r="AA29" s="41">
        <f t="shared" ref="AA29" si="15">AI29</f>
        <v>0.10593308508396149</v>
      </c>
      <c r="AB29" s="41">
        <f t="shared" ref="AB29" si="16">AJ29</f>
        <v>5.9203390032052994E-2</v>
      </c>
      <c r="AC29" s="41">
        <f t="shared" ref="AC29" si="17">AK29</f>
        <v>9.4384342432022095E-2</v>
      </c>
      <c r="AD29" s="41">
        <f t="shared" ref="AD29" si="18">AA29-Z29</f>
        <v>-5.9833824634552002E-3</v>
      </c>
      <c r="AE29" s="35">
        <f t="shared" ref="AE29" si="19">AB29-AA29</f>
        <v>-4.6729695051908493E-2</v>
      </c>
      <c r="AF29" s="35">
        <f t="shared" ref="AF29" si="20">AC29-AB29</f>
        <v>3.5180952399969101E-2</v>
      </c>
      <c r="AH29">
        <v>0.11191646754741669</v>
      </c>
      <c r="AI29">
        <v>0.10593308508396149</v>
      </c>
      <c r="AJ29">
        <v>5.9203390032052994E-2</v>
      </c>
      <c r="AK29">
        <v>9.4384342432022095E-2</v>
      </c>
    </row>
    <row r="30" spans="1:37" ht="15" customHeight="1" x14ac:dyDescent="0.3">
      <c r="S30" s="75"/>
      <c r="T30" s="75"/>
    </row>
    <row r="31" spans="1:37" ht="15" customHeight="1" x14ac:dyDescent="0.3">
      <c r="R31" s="93" t="s">
        <v>217</v>
      </c>
      <c r="S31" s="75"/>
      <c r="T31" s="75"/>
    </row>
    <row r="32" spans="1:37" ht="15" customHeight="1" x14ac:dyDescent="0.3">
      <c r="R32" s="107" t="s">
        <v>234</v>
      </c>
      <c r="S32" s="75">
        <f>+S26-S27</f>
        <v>-0.32653175294399261</v>
      </c>
      <c r="T32" s="75">
        <f>+T26-T27</f>
        <v>-0.85714012384414673</v>
      </c>
      <c r="U32" s="75">
        <f>ABS(T32)</f>
        <v>0.85714012384414673</v>
      </c>
    </row>
    <row r="33" spans="1:36" ht="15" customHeight="1" x14ac:dyDescent="0.3">
      <c r="R33" s="107" t="s">
        <v>235</v>
      </c>
      <c r="S33" s="75">
        <f>+S26-S28</f>
        <v>-2.4439867585897446</v>
      </c>
      <c r="T33" s="75">
        <f>+T26-T28</f>
        <v>-2.9903925955295563</v>
      </c>
      <c r="U33" s="75">
        <f>ABS(T33)</f>
        <v>2.9903925955295563</v>
      </c>
    </row>
    <row r="34" spans="1:36" ht="15" customHeight="1" x14ac:dyDescent="0.3">
      <c r="R34" s="107" t="s">
        <v>212</v>
      </c>
      <c r="S34" s="75">
        <f>+S26-S29</f>
        <v>-0.99354423582553864</v>
      </c>
      <c r="T34" s="75">
        <f>+T26-T29</f>
        <v>-1.1042676866054535</v>
      </c>
      <c r="U34" s="75">
        <f>ABS(T34)</f>
        <v>1.1042676866054535</v>
      </c>
    </row>
    <row r="35" spans="1:36" ht="15" customHeight="1" x14ac:dyDescent="0.3">
      <c r="R35" s="93" t="s">
        <v>218</v>
      </c>
      <c r="S35" s="75"/>
      <c r="T35" s="75"/>
    </row>
    <row r="36" spans="1:36" ht="15" customHeight="1" x14ac:dyDescent="0.3">
      <c r="S36" s="125">
        <f t="shared" ref="S36:T38" si="21">+S32/S$26</f>
        <v>0.14794016751408257</v>
      </c>
      <c r="T36" s="125">
        <f>+T32/T$26</f>
        <v>0.20831851510083521</v>
      </c>
    </row>
    <row r="37" spans="1:36" ht="15" customHeight="1" x14ac:dyDescent="0.3">
      <c r="S37" s="125">
        <f t="shared" si="21"/>
        <v>1.1072853013776662</v>
      </c>
      <c r="T37" s="125">
        <f t="shared" si="21"/>
        <v>0.72678215351230135</v>
      </c>
    </row>
    <row r="38" spans="1:36" ht="15" customHeight="1" x14ac:dyDescent="0.3">
      <c r="Q38" s="78"/>
      <c r="S38" s="125">
        <f t="shared" si="21"/>
        <v>0.45014029831852992</v>
      </c>
      <c r="T38" s="125">
        <f>+T34/T$26</f>
        <v>0.26838016136240339</v>
      </c>
    </row>
    <row r="39" spans="1:36" ht="15" customHeight="1" x14ac:dyDescent="0.3">
      <c r="Q39" s="33"/>
    </row>
    <row r="40" spans="1:36" ht="15" customHeight="1" x14ac:dyDescent="0.3">
      <c r="Q40" s="33"/>
    </row>
    <row r="41" spans="1:36" ht="15" customHeight="1" x14ac:dyDescent="0.3">
      <c r="A41" s="164" t="s">
        <v>262</v>
      </c>
      <c r="B41" s="164"/>
      <c r="C41" s="164"/>
      <c r="D41" s="164"/>
      <c r="E41" s="164"/>
      <c r="F41" s="164"/>
      <c r="G41" s="164"/>
      <c r="H41" s="164"/>
      <c r="I41" s="164"/>
      <c r="J41" s="164"/>
      <c r="K41" s="164"/>
      <c r="L41" s="164"/>
      <c r="M41" s="164"/>
      <c r="N41" s="164"/>
      <c r="O41" s="164"/>
      <c r="P41" s="164"/>
    </row>
    <row r="42" spans="1:36" ht="15" customHeight="1" x14ac:dyDescent="0.3">
      <c r="A42" s="164"/>
      <c r="B42" s="164"/>
      <c r="C42" s="164"/>
      <c r="D42" s="164"/>
      <c r="E42" s="164"/>
      <c r="F42" s="164"/>
      <c r="G42" s="164"/>
      <c r="H42" s="164"/>
      <c r="I42" s="164"/>
      <c r="J42" s="164"/>
      <c r="K42" s="164"/>
      <c r="L42" s="164"/>
      <c r="M42" s="164"/>
      <c r="N42" s="164"/>
      <c r="O42" s="164"/>
      <c r="P42" s="164"/>
    </row>
    <row r="43" spans="1:36" ht="15" customHeight="1" x14ac:dyDescent="0.3">
      <c r="A43" s="164"/>
      <c r="B43" s="164"/>
      <c r="C43" s="164"/>
      <c r="D43" s="164"/>
      <c r="E43" s="164"/>
      <c r="F43" s="164"/>
      <c r="G43" s="164"/>
      <c r="H43" s="164"/>
      <c r="I43" s="164"/>
      <c r="J43" s="164"/>
      <c r="K43" s="164"/>
      <c r="L43" s="164"/>
      <c r="M43" s="164"/>
      <c r="N43" s="164"/>
      <c r="O43" s="164"/>
      <c r="P43" s="164"/>
    </row>
    <row r="44" spans="1:36" ht="15" customHeight="1" x14ac:dyDescent="0.3">
      <c r="A44" s="114"/>
      <c r="B44" s="114"/>
      <c r="C44" s="114"/>
      <c r="D44" s="114"/>
      <c r="E44" s="114"/>
      <c r="F44" s="114"/>
      <c r="G44" s="114"/>
      <c r="H44" s="114"/>
      <c r="I44" s="114"/>
      <c r="J44" s="114"/>
      <c r="K44" s="114"/>
      <c r="L44" s="114"/>
      <c r="M44" s="114"/>
      <c r="N44" s="114"/>
      <c r="O44" s="114"/>
      <c r="P44" s="114"/>
    </row>
    <row r="45" spans="1:36" ht="15" customHeight="1" x14ac:dyDescent="0.3">
      <c r="A45" s="114"/>
      <c r="B45" s="114"/>
      <c r="C45" s="114"/>
      <c r="D45" s="114"/>
      <c r="E45" s="114"/>
      <c r="F45" s="114"/>
      <c r="G45" s="114"/>
      <c r="H45" s="114"/>
      <c r="I45" s="114"/>
      <c r="J45" s="114"/>
      <c r="K45" s="114"/>
      <c r="L45" s="114"/>
      <c r="M45" s="114"/>
      <c r="N45" s="114"/>
      <c r="O45" s="114"/>
      <c r="P45" s="114"/>
      <c r="AD45" s="99"/>
      <c r="AE45" s="100"/>
      <c r="AF45" s="100"/>
    </row>
    <row r="46" spans="1:36" ht="15" customHeight="1" x14ac:dyDescent="0.3">
      <c r="AD46" s="100"/>
      <c r="AE46" s="100"/>
      <c r="AF46" s="100"/>
      <c r="AJ46" s="87"/>
    </row>
    <row r="47" spans="1:36" ht="15" customHeight="1" x14ac:dyDescent="0.3">
      <c r="AD47" s="103"/>
      <c r="AE47" s="100"/>
      <c r="AF47" s="100"/>
      <c r="AJ47" s="87"/>
    </row>
    <row r="48" spans="1:36" ht="15" customHeight="1" x14ac:dyDescent="0.3">
      <c r="AD48" s="99"/>
      <c r="AE48" s="100"/>
      <c r="AF48" s="100"/>
    </row>
    <row r="49" spans="1:32" ht="15" customHeight="1" x14ac:dyDescent="0.3">
      <c r="AD49" s="82"/>
    </row>
    <row r="50" spans="1:32" ht="15" customHeight="1" x14ac:dyDescent="0.3">
      <c r="AC50" s="104"/>
      <c r="AD50" s="82"/>
      <c r="AE50" s="82"/>
    </row>
    <row r="51" spans="1:32" ht="15" customHeight="1" x14ac:dyDescent="0.3">
      <c r="U51" s="78"/>
      <c r="AB51" s="30"/>
      <c r="AC51" s="99"/>
      <c r="AD51" s="99"/>
      <c r="AE51" s="105"/>
      <c r="AF51" s="105"/>
    </row>
    <row r="52" spans="1:32" ht="15" customHeight="1" x14ac:dyDescent="0.3">
      <c r="U52" s="33"/>
      <c r="AB52" s="101"/>
      <c r="AC52" s="106"/>
      <c r="AD52" s="105"/>
      <c r="AE52" s="105"/>
      <c r="AF52" s="105"/>
    </row>
    <row r="53" spans="1:32" ht="15" customHeight="1" x14ac:dyDescent="0.3">
      <c r="U53" s="33"/>
      <c r="X53" s="130" t="s">
        <v>298</v>
      </c>
      <c r="AD53" s="32"/>
      <c r="AE53" s="31"/>
      <c r="AF53" s="31"/>
    </row>
    <row r="54" spans="1:32" ht="15" customHeight="1" x14ac:dyDescent="0.3">
      <c r="AD54" s="32"/>
      <c r="AE54" s="31"/>
      <c r="AF54" s="31"/>
    </row>
    <row r="55" spans="1:32" ht="15" customHeight="1" x14ac:dyDescent="0.3"/>
    <row r="56" spans="1:32" ht="15" customHeight="1" x14ac:dyDescent="0.3"/>
    <row r="57" spans="1:32" ht="15" customHeight="1" x14ac:dyDescent="0.3">
      <c r="N57" s="79"/>
      <c r="O57" s="33"/>
      <c r="P57" s="33"/>
    </row>
    <row r="58" spans="1:32" ht="15" customHeight="1" x14ac:dyDescent="0.3">
      <c r="N58" s="89"/>
      <c r="O58" s="88"/>
      <c r="P58" s="88"/>
      <c r="Q58" s="88"/>
      <c r="R58" s="88"/>
      <c r="S58" s="93" t="s">
        <v>215</v>
      </c>
      <c r="V58" s="88"/>
    </row>
    <row r="59" spans="1:32" ht="15" customHeight="1" x14ac:dyDescent="0.3">
      <c r="T59" s="92" t="s">
        <v>208</v>
      </c>
      <c r="U59" s="90" t="s">
        <v>209</v>
      </c>
    </row>
    <row r="60" spans="1:32" ht="15" customHeight="1" x14ac:dyDescent="0.3">
      <c r="S60" s="90" t="s">
        <v>210</v>
      </c>
      <c r="T60" s="122">
        <f>+AF3*100</f>
        <v>3.6465715616941452</v>
      </c>
      <c r="U60" s="122">
        <f>+AF18*100</f>
        <v>4.1348353028297424</v>
      </c>
    </row>
    <row r="61" spans="1:32" ht="15" customHeight="1" x14ac:dyDescent="0.3">
      <c r="S61" s="107" t="s">
        <v>236</v>
      </c>
      <c r="T61" s="75">
        <f>+AF7*100</f>
        <v>3.0635025352239609</v>
      </c>
      <c r="U61" s="75">
        <f>+AF22*100</f>
        <v>2.6153691112995148</v>
      </c>
    </row>
    <row r="62" spans="1:32" ht="15" customHeight="1" x14ac:dyDescent="0.3">
      <c r="S62" s="107" t="s">
        <v>237</v>
      </c>
      <c r="T62" s="75">
        <f>+AF8*100</f>
        <v>0.9469885379076004</v>
      </c>
      <c r="U62" s="75">
        <f>+AF23*100</f>
        <v>0.63802562654018402</v>
      </c>
    </row>
    <row r="63" spans="1:32" ht="15" customHeight="1" x14ac:dyDescent="0.3">
      <c r="S63" s="90"/>
      <c r="T63" s="75"/>
      <c r="U63" s="75"/>
    </row>
    <row r="64" spans="1:32" ht="15" customHeight="1" x14ac:dyDescent="0.3">
      <c r="A64" s="164" t="s">
        <v>263</v>
      </c>
      <c r="B64" s="164"/>
      <c r="C64" s="164"/>
      <c r="D64" s="164"/>
      <c r="E64" s="164"/>
      <c r="F64" s="164"/>
      <c r="G64" s="164"/>
      <c r="H64" s="164"/>
      <c r="I64" s="164"/>
      <c r="J64" s="164"/>
      <c r="K64" s="164"/>
      <c r="L64" s="164"/>
      <c r="M64" s="164"/>
      <c r="N64" s="164"/>
      <c r="O64" s="164"/>
      <c r="P64" s="164"/>
      <c r="T64" s="75"/>
      <c r="U64" s="75"/>
    </row>
    <row r="65" spans="1:29" ht="15" customHeight="1" x14ac:dyDescent="0.3">
      <c r="A65" s="164"/>
      <c r="B65" s="164"/>
      <c r="C65" s="164"/>
      <c r="D65" s="164"/>
      <c r="E65" s="164"/>
      <c r="F65" s="164"/>
      <c r="G65" s="164"/>
      <c r="H65" s="164"/>
      <c r="I65" s="164"/>
      <c r="J65" s="164"/>
      <c r="K65" s="164"/>
      <c r="L65" s="164"/>
      <c r="M65" s="164"/>
      <c r="N65" s="164"/>
      <c r="O65" s="164"/>
      <c r="P65" s="164"/>
      <c r="S65" s="93" t="s">
        <v>217</v>
      </c>
      <c r="T65" s="75"/>
      <c r="U65" s="75"/>
    </row>
    <row r="66" spans="1:29" ht="15" customHeight="1" x14ac:dyDescent="0.3">
      <c r="A66" s="164"/>
      <c r="B66" s="164"/>
      <c r="C66" s="164"/>
      <c r="D66" s="164"/>
      <c r="E66" s="164"/>
      <c r="F66" s="164"/>
      <c r="G66" s="164"/>
      <c r="H66" s="164"/>
      <c r="I66" s="164"/>
      <c r="J66" s="164"/>
      <c r="K66" s="164"/>
      <c r="L66" s="164"/>
      <c r="M66" s="164"/>
      <c r="N66" s="164"/>
      <c r="O66" s="164"/>
      <c r="P66" s="164"/>
      <c r="S66" s="107" t="s">
        <v>236</v>
      </c>
      <c r="T66" s="75">
        <f>+T60-T61</f>
        <v>0.58306902647018433</v>
      </c>
      <c r="U66" s="75">
        <f>+U60-U61</f>
        <v>1.5194661915302277</v>
      </c>
    </row>
    <row r="67" spans="1:29" x14ac:dyDescent="0.3">
      <c r="A67" s="114"/>
      <c r="B67" s="114"/>
      <c r="C67" s="114"/>
      <c r="D67" s="114"/>
      <c r="E67" s="114"/>
      <c r="F67" s="114"/>
      <c r="G67" s="114"/>
      <c r="H67" s="114"/>
      <c r="I67" s="114"/>
      <c r="J67" s="114"/>
      <c r="K67" s="114"/>
      <c r="L67" s="114"/>
      <c r="M67" s="114"/>
      <c r="N67" s="114"/>
      <c r="O67" s="114"/>
      <c r="P67" s="114"/>
      <c r="S67" s="107" t="s">
        <v>237</v>
      </c>
      <c r="T67" s="75">
        <f>+T60-T62</f>
        <v>2.6995830237865448</v>
      </c>
      <c r="U67" s="75">
        <f>+U60-U62</f>
        <v>3.4968096762895584</v>
      </c>
    </row>
    <row r="68" spans="1:29" x14ac:dyDescent="0.3">
      <c r="A68" s="114"/>
      <c r="B68" s="114"/>
      <c r="C68" s="114"/>
      <c r="D68" s="114"/>
      <c r="E68" s="114"/>
      <c r="F68" s="114"/>
      <c r="G68" s="114"/>
      <c r="H68" s="114"/>
      <c r="I68" s="114"/>
      <c r="J68" s="114"/>
      <c r="K68" s="114"/>
      <c r="L68" s="114"/>
      <c r="M68" s="114"/>
      <c r="N68" s="114"/>
      <c r="O68" s="114"/>
      <c r="P68" s="114"/>
      <c r="T68" s="75"/>
      <c r="U68" s="75"/>
      <c r="AB68" s="30"/>
      <c r="AC68" s="99"/>
    </row>
    <row r="69" spans="1:29" x14ac:dyDescent="0.3">
      <c r="S69" s="93" t="s">
        <v>218</v>
      </c>
      <c r="T69" s="75"/>
      <c r="U69" s="75"/>
      <c r="AB69" s="101"/>
      <c r="AC69" s="99"/>
    </row>
    <row r="70" spans="1:29" x14ac:dyDescent="0.3">
      <c r="T70" s="125">
        <f>+T66/T$60</f>
        <v>0.15989512795939723</v>
      </c>
      <c r="U70" s="125">
        <f>+U66/U$60</f>
        <v>0.36747925376625185</v>
      </c>
      <c r="AB70" s="102"/>
      <c r="AC70" s="103"/>
    </row>
    <row r="71" spans="1:29" x14ac:dyDescent="0.3">
      <c r="T71" s="125">
        <f>+T67/T$60</f>
        <v>0.74030715649314094</v>
      </c>
      <c r="U71" s="125">
        <f>+U67/U$60</f>
        <v>0.8456950326162832</v>
      </c>
      <c r="Y71" s="82"/>
      <c r="Z71" s="83"/>
      <c r="AC71" s="104"/>
    </row>
    <row r="72" spans="1:29" x14ac:dyDescent="0.3">
      <c r="AC72" s="104"/>
    </row>
    <row r="76" spans="1:29" x14ac:dyDescent="0.3">
      <c r="N76" s="34"/>
      <c r="O76" s="34"/>
    </row>
    <row r="95" spans="14:17" x14ac:dyDescent="0.3">
      <c r="N95" s="34"/>
      <c r="O95" s="34"/>
    </row>
    <row r="96" spans="14:17" x14ac:dyDescent="0.3">
      <c r="O96" s="80"/>
      <c r="P96" s="78"/>
      <c r="Q96" s="78"/>
    </row>
    <row r="97" spans="1:17" x14ac:dyDescent="0.3">
      <c r="N97" s="34"/>
      <c r="O97" s="34"/>
      <c r="P97" s="33"/>
      <c r="Q97" s="33"/>
    </row>
    <row r="98" spans="1:17" x14ac:dyDescent="0.3">
      <c r="N98" s="79"/>
      <c r="O98" s="33"/>
      <c r="P98" s="33"/>
      <c r="Q98" s="33"/>
    </row>
    <row r="99" spans="1:17" x14ac:dyDescent="0.3">
      <c r="N99" s="79"/>
      <c r="O99" s="33"/>
      <c r="P99" s="33"/>
    </row>
    <row r="111" spans="1:17" ht="15" customHeight="1" x14ac:dyDescent="0.3">
      <c r="A111" s="162" t="s">
        <v>228</v>
      </c>
      <c r="B111" s="162"/>
      <c r="C111" s="162"/>
      <c r="D111" s="162"/>
      <c r="E111" s="162"/>
      <c r="F111" s="162"/>
      <c r="G111" s="162"/>
      <c r="H111" s="162"/>
      <c r="I111" s="162"/>
      <c r="J111" s="162"/>
      <c r="K111" s="162"/>
      <c r="L111" s="162"/>
      <c r="M111" s="162"/>
    </row>
    <row r="112" spans="1:17" x14ac:dyDescent="0.3">
      <c r="A112" s="162"/>
      <c r="B112" s="162"/>
      <c r="C112" s="162"/>
      <c r="D112" s="162"/>
      <c r="E112" s="162"/>
      <c r="F112" s="162"/>
      <c r="G112" s="162"/>
      <c r="H112" s="162"/>
      <c r="I112" s="162"/>
      <c r="J112" s="162"/>
      <c r="K112" s="162"/>
      <c r="L112" s="162"/>
      <c r="M112" s="162"/>
    </row>
    <row r="113" spans="1:17" x14ac:dyDescent="0.3">
      <c r="A113" s="162"/>
      <c r="B113" s="162"/>
      <c r="C113" s="162"/>
      <c r="D113" s="162"/>
      <c r="E113" s="162"/>
      <c r="F113" s="162"/>
      <c r="G113" s="162"/>
      <c r="H113" s="162"/>
      <c r="I113" s="162"/>
      <c r="J113" s="162"/>
      <c r="K113" s="162"/>
      <c r="L113" s="162"/>
      <c r="M113" s="162"/>
    </row>
    <row r="114" spans="1:17" x14ac:dyDescent="0.3">
      <c r="A114" s="162"/>
      <c r="B114" s="162"/>
      <c r="C114" s="162"/>
      <c r="D114" s="162"/>
      <c r="E114" s="162"/>
      <c r="F114" s="162"/>
      <c r="G114" s="162"/>
      <c r="H114" s="162"/>
      <c r="I114" s="162"/>
      <c r="J114" s="162"/>
      <c r="K114" s="162"/>
      <c r="L114" s="162"/>
      <c r="M114" s="162"/>
    </row>
    <row r="115" spans="1:17" x14ac:dyDescent="0.3">
      <c r="A115" s="162"/>
      <c r="B115" s="162"/>
      <c r="C115" s="162"/>
      <c r="D115" s="162"/>
      <c r="E115" s="162"/>
      <c r="F115" s="162"/>
      <c r="G115" s="162"/>
      <c r="H115" s="162"/>
      <c r="I115" s="162"/>
      <c r="J115" s="162"/>
      <c r="K115" s="162"/>
      <c r="L115" s="162"/>
      <c r="M115" s="162"/>
    </row>
    <row r="116" spans="1:17" x14ac:dyDescent="0.3">
      <c r="A116" s="162"/>
      <c r="B116" s="162"/>
      <c r="C116" s="162"/>
      <c r="D116" s="162"/>
      <c r="E116" s="162"/>
      <c r="F116" s="162"/>
      <c r="G116" s="162"/>
      <c r="H116" s="162"/>
      <c r="I116" s="162"/>
      <c r="J116" s="162"/>
      <c r="K116" s="162"/>
      <c r="L116" s="162"/>
      <c r="M116" s="162"/>
    </row>
    <row r="117" spans="1:17" x14ac:dyDescent="0.3">
      <c r="A117" s="162"/>
      <c r="B117" s="162"/>
      <c r="C117" s="162"/>
      <c r="D117" s="162"/>
      <c r="E117" s="162"/>
      <c r="F117" s="162"/>
      <c r="G117" s="162"/>
      <c r="H117" s="162"/>
      <c r="I117" s="162"/>
      <c r="J117" s="162"/>
      <c r="K117" s="162"/>
      <c r="L117" s="162"/>
      <c r="M117" s="162"/>
    </row>
    <row r="118" spans="1:17" x14ac:dyDescent="0.3">
      <c r="A118" s="162"/>
      <c r="B118" s="162"/>
      <c r="C118" s="162"/>
      <c r="D118" s="162"/>
      <c r="E118" s="162"/>
      <c r="F118" s="162"/>
      <c r="G118" s="162"/>
      <c r="H118" s="162"/>
      <c r="I118" s="162"/>
      <c r="J118" s="162"/>
      <c r="K118" s="162"/>
      <c r="L118" s="162"/>
      <c r="M118" s="162"/>
    </row>
    <row r="121" spans="1:17" x14ac:dyDescent="0.3">
      <c r="E121" s="30"/>
      <c r="F121" s="30"/>
      <c r="G121" s="30"/>
      <c r="H121" s="30"/>
      <c r="I121" s="30"/>
      <c r="J121" s="30"/>
      <c r="K121" s="30"/>
      <c r="L121" s="30"/>
      <c r="M121" s="30"/>
    </row>
    <row r="123" spans="1:17" x14ac:dyDescent="0.3">
      <c r="N123" s="34"/>
      <c r="O123" s="34"/>
    </row>
    <row r="124" spans="1:17" x14ac:dyDescent="0.3">
      <c r="O124" s="80"/>
      <c r="P124" s="78"/>
      <c r="Q124" s="78"/>
    </row>
    <row r="125" spans="1:17" x14ac:dyDescent="0.3">
      <c r="N125" s="34"/>
      <c r="O125" s="34"/>
      <c r="P125" s="33"/>
      <c r="Q125" s="33"/>
    </row>
    <row r="126" spans="1:17" x14ac:dyDescent="0.3">
      <c r="N126" s="79"/>
      <c r="O126" s="33"/>
      <c r="P126" s="33"/>
      <c r="Q126" s="33"/>
    </row>
    <row r="127" spans="1:17" x14ac:dyDescent="0.3">
      <c r="N127" s="79"/>
      <c r="O127" s="33"/>
      <c r="P127" s="33"/>
    </row>
    <row r="140" spans="1:13" x14ac:dyDescent="0.3">
      <c r="A140" s="162" t="s">
        <v>230</v>
      </c>
      <c r="B140" s="162"/>
      <c r="C140" s="162"/>
      <c r="D140" s="162"/>
      <c r="E140" s="162"/>
      <c r="F140" s="162"/>
      <c r="G140" s="162"/>
      <c r="H140" s="162"/>
      <c r="I140" s="162"/>
      <c r="J140" s="162"/>
      <c r="K140" s="162"/>
      <c r="L140" s="162"/>
      <c r="M140" s="162"/>
    </row>
    <row r="141" spans="1:13" x14ac:dyDescent="0.3">
      <c r="A141" s="162"/>
      <c r="B141" s="162"/>
      <c r="C141" s="162"/>
      <c r="D141" s="162"/>
      <c r="E141" s="162"/>
      <c r="F141" s="162"/>
      <c r="G141" s="162"/>
      <c r="H141" s="162"/>
      <c r="I141" s="162"/>
      <c r="J141" s="162"/>
      <c r="K141" s="162"/>
      <c r="L141" s="162"/>
      <c r="M141" s="162"/>
    </row>
    <row r="142" spans="1:13" x14ac:dyDescent="0.3">
      <c r="A142" s="162"/>
      <c r="B142" s="162"/>
      <c r="C142" s="162"/>
      <c r="D142" s="162"/>
      <c r="E142" s="162"/>
      <c r="F142" s="162"/>
      <c r="G142" s="162"/>
      <c r="H142" s="162"/>
      <c r="I142" s="162"/>
      <c r="J142" s="162"/>
      <c r="K142" s="162"/>
      <c r="L142" s="162"/>
      <c r="M142" s="162"/>
    </row>
    <row r="143" spans="1:13" x14ac:dyDescent="0.3">
      <c r="A143" s="162"/>
      <c r="B143" s="162"/>
      <c r="C143" s="162"/>
      <c r="D143" s="162"/>
      <c r="E143" s="162"/>
      <c r="F143" s="162"/>
      <c r="G143" s="162"/>
      <c r="H143" s="162"/>
      <c r="I143" s="162"/>
      <c r="J143" s="162"/>
      <c r="K143" s="162"/>
      <c r="L143" s="162"/>
      <c r="M143" s="162"/>
    </row>
    <row r="144" spans="1:13" x14ac:dyDescent="0.3">
      <c r="A144" s="162"/>
      <c r="B144" s="162"/>
      <c r="C144" s="162"/>
      <c r="D144" s="162"/>
      <c r="E144" s="162"/>
      <c r="F144" s="162"/>
      <c r="G144" s="162"/>
      <c r="H144" s="162"/>
      <c r="I144" s="162"/>
      <c r="J144" s="162"/>
      <c r="K144" s="162"/>
      <c r="L144" s="162"/>
      <c r="M144" s="162"/>
    </row>
    <row r="145" spans="1:13" x14ac:dyDescent="0.3">
      <c r="A145" s="162"/>
      <c r="B145" s="162"/>
      <c r="C145" s="162"/>
      <c r="D145" s="162"/>
      <c r="E145" s="162"/>
      <c r="F145" s="162"/>
      <c r="G145" s="162"/>
      <c r="H145" s="162"/>
      <c r="I145" s="162"/>
      <c r="J145" s="162"/>
      <c r="K145" s="162"/>
      <c r="L145" s="162"/>
      <c r="M145" s="162"/>
    </row>
    <row r="146" spans="1:13" x14ac:dyDescent="0.3">
      <c r="A146" s="162"/>
      <c r="B146" s="162"/>
      <c r="C146" s="162"/>
      <c r="D146" s="162"/>
      <c r="E146" s="162"/>
      <c r="F146" s="162"/>
      <c r="G146" s="162"/>
      <c r="H146" s="162"/>
      <c r="I146" s="162"/>
      <c r="J146" s="162"/>
      <c r="K146" s="162"/>
      <c r="L146" s="162"/>
      <c r="M146" s="162"/>
    </row>
  </sheetData>
  <mergeCells count="7">
    <mergeCell ref="X11:AF12"/>
    <mergeCell ref="X26:AF28"/>
    <mergeCell ref="A140:M146"/>
    <mergeCell ref="A111:M118"/>
    <mergeCell ref="A19:P21"/>
    <mergeCell ref="A41:P43"/>
    <mergeCell ref="A64:P66"/>
  </mergeCells>
  <printOptions horizontalCentered="1"/>
  <pageMargins left="0.7" right="0.7" top="0.75" bottom="0.75" header="0.3" footer="0.3"/>
  <pageSetup scale="8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728C-EF56-4730-A243-4C0BAAB6B13B}">
  <sheetPr>
    <pageSetUpPr fitToPage="1"/>
  </sheetPr>
  <dimension ref="A1:X68"/>
  <sheetViews>
    <sheetView zoomScale="108" zoomScaleNormal="108" zoomScaleSheetLayoutView="40" workbookViewId="0"/>
  </sheetViews>
  <sheetFormatPr defaultRowHeight="13.2" x14ac:dyDescent="0.25"/>
  <cols>
    <col min="3" max="3" width="15.5546875" customWidth="1"/>
    <col min="24" max="24" width="20.5546875" customWidth="1"/>
  </cols>
  <sheetData>
    <row r="1" spans="17:24" ht="38.25" customHeight="1" x14ac:dyDescent="0.25">
      <c r="R1" t="s">
        <v>44</v>
      </c>
      <c r="S1" s="37" t="s">
        <v>231</v>
      </c>
      <c r="T1" t="s">
        <v>50</v>
      </c>
      <c r="U1" t="s">
        <v>61</v>
      </c>
      <c r="V1" t="s">
        <v>93</v>
      </c>
      <c r="X1" s="44"/>
    </row>
    <row r="2" spans="17:24" ht="13.5" customHeight="1" x14ac:dyDescent="0.25">
      <c r="Q2" t="s">
        <v>0</v>
      </c>
      <c r="S2" t="s">
        <v>186</v>
      </c>
      <c r="X2" s="44"/>
    </row>
    <row r="3" spans="17:24" ht="13.5" customHeight="1" x14ac:dyDescent="0.25">
      <c r="Q3" s="4">
        <v>2015</v>
      </c>
      <c r="R3" s="7">
        <v>0.13500000000000001</v>
      </c>
      <c r="S3">
        <v>0.13498726487159729</v>
      </c>
      <c r="T3">
        <v>0.13497227430343628</v>
      </c>
      <c r="U3">
        <v>0.13400000000000001</v>
      </c>
      <c r="V3">
        <v>0.14499999999999999</v>
      </c>
    </row>
    <row r="4" spans="17:24" ht="13.5" customHeight="1" x14ac:dyDescent="0.25">
      <c r="Q4" s="4">
        <f>Q3+1</f>
        <v>2016</v>
      </c>
      <c r="R4" s="7">
        <v>0.127</v>
      </c>
      <c r="S4">
        <v>0.12537944316864014</v>
      </c>
      <c r="T4">
        <v>0.12762996554374695</v>
      </c>
      <c r="U4">
        <v>0.129</v>
      </c>
      <c r="V4">
        <v>0.14000000000000001</v>
      </c>
    </row>
    <row r="5" spans="17:24" ht="13.5" customHeight="1" x14ac:dyDescent="0.25">
      <c r="Q5" s="4">
        <f>Q4+1</f>
        <v>2017</v>
      </c>
      <c r="R5" s="7">
        <v>0.12300000000000001</v>
      </c>
      <c r="S5">
        <v>0.12367713451385498</v>
      </c>
      <c r="T5">
        <v>0.12051744014024734</v>
      </c>
      <c r="U5">
        <v>0.125</v>
      </c>
      <c r="V5">
        <v>0.13</v>
      </c>
    </row>
    <row r="6" spans="17:24" ht="13.5" customHeight="1" x14ac:dyDescent="0.3">
      <c r="Q6" s="4">
        <f>Q5+1</f>
        <v>2018</v>
      </c>
      <c r="R6" s="8">
        <v>0.11799999999999999</v>
      </c>
      <c r="S6">
        <v>0.11503075063228607</v>
      </c>
      <c r="T6">
        <v>0.1081540659070015</v>
      </c>
      <c r="U6">
        <v>0.115</v>
      </c>
      <c r="V6">
        <v>0.128</v>
      </c>
    </row>
    <row r="7" spans="17:24" ht="13.5" customHeight="1" x14ac:dyDescent="0.25">
      <c r="Q7" s="4">
        <v>2019</v>
      </c>
      <c r="R7" s="7">
        <v>0.105</v>
      </c>
      <c r="S7">
        <v>9.9147789180278778E-2</v>
      </c>
      <c r="T7">
        <v>9.8137892782688141E-2</v>
      </c>
      <c r="U7">
        <v>0.109</v>
      </c>
      <c r="V7">
        <v>0.11800000000000001</v>
      </c>
    </row>
    <row r="8" spans="17:24" ht="13.5" customHeight="1" x14ac:dyDescent="0.25">
      <c r="Q8" s="4">
        <v>2020</v>
      </c>
      <c r="R8" s="7">
        <v>0.115</v>
      </c>
      <c r="S8">
        <v>8.1074513494968414E-2</v>
      </c>
      <c r="T8">
        <v>8.137965202331543E-2</v>
      </c>
      <c r="U8">
        <v>0.11800000000000001</v>
      </c>
      <c r="V8">
        <v>9.1999999999999998E-2</v>
      </c>
    </row>
    <row r="9" spans="17:24" ht="13.5" customHeight="1" x14ac:dyDescent="0.25">
      <c r="Q9" s="4">
        <v>2021</v>
      </c>
      <c r="R9" s="7">
        <v>0.11600000000000001</v>
      </c>
      <c r="S9">
        <v>5.9002634137868881E-2</v>
      </c>
      <c r="T9">
        <v>7.4362434446811676E-2</v>
      </c>
      <c r="U9">
        <v>0.10400000000000001</v>
      </c>
      <c r="V9">
        <v>7.8E-2</v>
      </c>
    </row>
    <row r="10" spans="17:24" ht="13.5" customHeight="1" x14ac:dyDescent="0.25">
      <c r="Q10" s="4">
        <v>2022</v>
      </c>
      <c r="R10" s="7">
        <v>0.115</v>
      </c>
      <c r="S10">
        <v>9.5468349754810333E-2</v>
      </c>
      <c r="T10">
        <v>6.0355763882398605E-2</v>
      </c>
      <c r="U10">
        <v>0.13500000000000001</v>
      </c>
      <c r="V10">
        <v>0.124</v>
      </c>
    </row>
    <row r="11" spans="17:24" ht="13.5" customHeight="1" x14ac:dyDescent="0.25">
      <c r="Q11" s="4"/>
      <c r="R11" s="7"/>
      <c r="W11" s="53"/>
    </row>
    <row r="12" spans="17:24" ht="13.5" customHeight="1" x14ac:dyDescent="0.25">
      <c r="Q12" s="4"/>
      <c r="R12" s="7"/>
      <c r="W12" s="53"/>
    </row>
    <row r="13" spans="17:24" ht="13.5" customHeight="1" x14ac:dyDescent="0.25">
      <c r="Q13" s="4"/>
      <c r="R13" s="7"/>
      <c r="W13" s="53"/>
    </row>
    <row r="14" spans="17:24" ht="13.5" customHeight="1" x14ac:dyDescent="0.25">
      <c r="Q14" s="4"/>
      <c r="R14" s="7"/>
      <c r="W14" s="53"/>
    </row>
    <row r="15" spans="17:24" ht="13.5" customHeight="1" x14ac:dyDescent="0.25">
      <c r="Q15" s="4"/>
      <c r="R15" s="7"/>
      <c r="W15" s="53"/>
    </row>
    <row r="16" spans="17:24" ht="13.5" customHeight="1" x14ac:dyDescent="0.25">
      <c r="Q16" s="4"/>
      <c r="R16" s="45"/>
      <c r="W16" s="53"/>
    </row>
    <row r="17" spans="17:24" ht="13.5" customHeight="1" x14ac:dyDescent="0.25">
      <c r="Q17" s="4"/>
      <c r="R17" s="45"/>
      <c r="W17" s="53"/>
    </row>
    <row r="18" spans="17:24" ht="13.5" customHeight="1" x14ac:dyDescent="0.25">
      <c r="Q18" s="4"/>
      <c r="R18" s="45"/>
      <c r="W18" s="53"/>
    </row>
    <row r="19" spans="17:24" ht="13.5" customHeight="1" x14ac:dyDescent="0.25">
      <c r="Q19" s="4"/>
      <c r="R19" s="53"/>
      <c r="S19" s="53"/>
      <c r="T19" s="53"/>
      <c r="U19" s="53"/>
      <c r="V19" s="53"/>
      <c r="W19" s="53"/>
      <c r="X19" s="53"/>
    </row>
    <row r="20" spans="17:24" ht="13.5" customHeight="1" x14ac:dyDescent="0.25">
      <c r="Q20" s="4"/>
      <c r="R20" s="45"/>
    </row>
    <row r="21" spans="17:24" ht="13.5" customHeight="1" x14ac:dyDescent="0.25">
      <c r="Q21" s="4"/>
      <c r="R21" s="45"/>
    </row>
    <row r="22" spans="17:24" ht="13.5" customHeight="1" x14ac:dyDescent="0.25">
      <c r="Q22" s="4"/>
      <c r="R22" s="45"/>
    </row>
    <row r="23" spans="17:24" ht="13.5" customHeight="1" x14ac:dyDescent="0.25">
      <c r="Q23" s="4"/>
      <c r="R23" s="45"/>
    </row>
    <row r="24" spans="17:24" ht="13.5" customHeight="1" x14ac:dyDescent="0.25">
      <c r="Q24" s="4"/>
      <c r="R24" s="7"/>
    </row>
    <row r="25" spans="17:24" ht="13.5" customHeight="1" x14ac:dyDescent="0.25">
      <c r="Q25" s="4"/>
      <c r="R25" s="7"/>
    </row>
    <row r="26" spans="17:24" ht="13.5" customHeight="1" x14ac:dyDescent="0.25">
      <c r="Q26" s="4"/>
      <c r="R26" s="7"/>
    </row>
    <row r="27" spans="17:24" ht="13.5" customHeight="1" x14ac:dyDescent="0.25">
      <c r="Q27" s="4"/>
      <c r="R27" s="7"/>
    </row>
    <row r="28" spans="17:24" ht="13.5" customHeight="1" x14ac:dyDescent="0.25">
      <c r="Q28" s="4"/>
      <c r="R28" s="7"/>
    </row>
    <row r="29" spans="17:24" ht="13.5" customHeight="1" x14ac:dyDescent="0.25">
      <c r="Q29" s="4"/>
      <c r="R29" s="7"/>
    </row>
    <row r="30" spans="17:24" ht="13.5" customHeight="1" x14ac:dyDescent="0.25">
      <c r="Q30" s="4"/>
      <c r="R30" s="7"/>
    </row>
    <row r="31" spans="17:24" ht="13.5" customHeight="1" x14ac:dyDescent="0.25">
      <c r="Q31" s="4"/>
      <c r="R31" s="7"/>
    </row>
    <row r="32" spans="17:24" ht="13.5" customHeight="1" x14ac:dyDescent="0.25">
      <c r="Q32" s="4"/>
      <c r="R32" s="7"/>
    </row>
    <row r="33" spans="17:23" ht="13.5" customHeight="1" x14ac:dyDescent="0.25">
      <c r="Q33" s="4"/>
      <c r="R33" s="7"/>
    </row>
    <row r="34" spans="17:23" ht="16.5" customHeight="1" x14ac:dyDescent="0.25">
      <c r="R34" t="s">
        <v>44</v>
      </c>
      <c r="S34" s="37" t="s">
        <v>227</v>
      </c>
      <c r="T34" t="s">
        <v>50</v>
      </c>
      <c r="U34" t="s">
        <v>61</v>
      </c>
      <c r="V34" t="s">
        <v>93</v>
      </c>
    </row>
    <row r="35" spans="17:23" x14ac:dyDescent="0.25">
      <c r="Q35" t="s">
        <v>0</v>
      </c>
      <c r="S35" t="s">
        <v>178</v>
      </c>
    </row>
    <row r="36" spans="17:23" ht="15.6" x14ac:dyDescent="0.25">
      <c r="Q36" s="4">
        <v>2015</v>
      </c>
      <c r="R36" s="7">
        <v>0.19699999999999998</v>
      </c>
      <c r="S36">
        <v>0.16347445547580719</v>
      </c>
      <c r="T36">
        <v>0.19632710516452789</v>
      </c>
      <c r="U36">
        <v>0.17899999999999999</v>
      </c>
      <c r="V36">
        <v>0.16200000000000001</v>
      </c>
    </row>
    <row r="37" spans="17:23" ht="15.6" x14ac:dyDescent="0.25">
      <c r="Q37" s="4">
        <f>Q36+1</f>
        <v>2016</v>
      </c>
      <c r="R37" s="7">
        <v>0.18</v>
      </c>
      <c r="S37">
        <v>0.14859388768672943</v>
      </c>
      <c r="T37">
        <v>0.18557238578796387</v>
      </c>
      <c r="U37">
        <v>0.17499999999999999</v>
      </c>
      <c r="V37">
        <v>0.152</v>
      </c>
    </row>
    <row r="38" spans="17:23" ht="15.6" x14ac:dyDescent="0.3">
      <c r="Q38" s="4">
        <f>Q37+1</f>
        <v>2017</v>
      </c>
      <c r="R38" s="8">
        <v>0.17499999999999999</v>
      </c>
      <c r="S38">
        <v>0.1460513174533844</v>
      </c>
      <c r="T38">
        <v>0.17667238414287567</v>
      </c>
      <c r="U38">
        <v>0.17</v>
      </c>
      <c r="V38">
        <v>0.14199999999999999</v>
      </c>
    </row>
    <row r="39" spans="17:23" ht="15.6" x14ac:dyDescent="0.3">
      <c r="Q39" s="4">
        <f>Q38+1</f>
        <v>2018</v>
      </c>
      <c r="R39" s="8">
        <v>0.16200000000000001</v>
      </c>
      <c r="S39">
        <v>0.13027502596378326</v>
      </c>
      <c r="T39">
        <v>0.16292569041252136</v>
      </c>
      <c r="U39">
        <v>0.152</v>
      </c>
      <c r="V39">
        <v>0.13699999999999998</v>
      </c>
    </row>
    <row r="40" spans="17:23" ht="15.6" x14ac:dyDescent="0.25">
      <c r="Q40" s="4">
        <v>2019</v>
      </c>
      <c r="R40" s="7">
        <v>0.14399999999999999</v>
      </c>
      <c r="S40">
        <v>0.1119672879576683</v>
      </c>
      <c r="T40">
        <v>0.14649122953414917</v>
      </c>
      <c r="U40">
        <v>0.14599999999999999</v>
      </c>
      <c r="V40">
        <v>0.126</v>
      </c>
    </row>
    <row r="41" spans="17:23" ht="15.6" x14ac:dyDescent="0.25">
      <c r="Q41" s="4">
        <v>2020</v>
      </c>
      <c r="R41" s="7">
        <v>0.16</v>
      </c>
      <c r="S41">
        <v>9.3758024275302887E-2</v>
      </c>
      <c r="T41">
        <v>0.11599357426166534</v>
      </c>
      <c r="U41">
        <v>0.161</v>
      </c>
      <c r="V41">
        <v>9.6999999999999989E-2</v>
      </c>
    </row>
    <row r="42" spans="17:23" ht="15.6" x14ac:dyDescent="0.3">
      <c r="Q42" s="4">
        <v>2021</v>
      </c>
      <c r="R42" s="8">
        <v>0.153</v>
      </c>
      <c r="S42">
        <v>5.2612371742725372E-2</v>
      </c>
      <c r="T42">
        <v>0.11006379127502441</v>
      </c>
      <c r="U42">
        <v>0.128</v>
      </c>
      <c r="V42">
        <v>5.2000000000000005E-2</v>
      </c>
    </row>
    <row r="43" spans="17:23" ht="15.6" x14ac:dyDescent="0.25">
      <c r="Q43" s="4">
        <v>2022</v>
      </c>
      <c r="R43" s="7">
        <v>0.15</v>
      </c>
      <c r="S43">
        <v>9.3960724771022797E-2</v>
      </c>
      <c r="T43">
        <v>8.5189618170261383E-2</v>
      </c>
      <c r="U43">
        <v>0.185</v>
      </c>
      <c r="V43">
        <v>0.124</v>
      </c>
    </row>
    <row r="44" spans="17:23" ht="15.6" x14ac:dyDescent="0.25">
      <c r="Q44" s="4"/>
      <c r="R44" s="7"/>
    </row>
    <row r="45" spans="17:23" ht="15.6" x14ac:dyDescent="0.25">
      <c r="Q45" s="4"/>
      <c r="R45" s="7"/>
    </row>
    <row r="46" spans="17:23" ht="15.6" x14ac:dyDescent="0.25">
      <c r="Q46" s="4"/>
      <c r="R46" s="7"/>
      <c r="W46" s="53"/>
    </row>
    <row r="47" spans="17:23" ht="15.6" x14ac:dyDescent="0.25">
      <c r="Q47" s="4"/>
      <c r="R47" s="7"/>
      <c r="W47" s="53"/>
    </row>
    <row r="48" spans="17:23" ht="15.6" x14ac:dyDescent="0.25">
      <c r="Q48" s="4"/>
      <c r="R48" s="7"/>
      <c r="W48" s="53"/>
    </row>
    <row r="49" spans="17:23" ht="15.6" x14ac:dyDescent="0.25">
      <c r="Q49" s="4"/>
      <c r="R49" s="7"/>
      <c r="W49" s="53"/>
    </row>
    <row r="50" spans="17:23" ht="15.6" x14ac:dyDescent="0.25">
      <c r="Q50" s="4"/>
      <c r="R50" s="7"/>
      <c r="W50" s="53"/>
    </row>
    <row r="51" spans="17:23" ht="15.6" x14ac:dyDescent="0.25">
      <c r="Q51" s="4"/>
      <c r="R51" s="7"/>
      <c r="W51" s="53"/>
    </row>
    <row r="52" spans="17:23" ht="15.6" x14ac:dyDescent="0.25">
      <c r="Q52" s="4"/>
      <c r="R52" s="7"/>
      <c r="W52" s="53"/>
    </row>
    <row r="53" spans="17:23" ht="15.6" x14ac:dyDescent="0.25">
      <c r="Q53" s="4"/>
      <c r="R53" s="7"/>
      <c r="W53" s="53"/>
    </row>
    <row r="54" spans="17:23" ht="15.6" x14ac:dyDescent="0.25">
      <c r="Q54" s="4"/>
      <c r="R54" s="7"/>
    </row>
    <row r="65" spans="1:20" ht="55.5" customHeight="1" x14ac:dyDescent="0.25">
      <c r="A65" s="153" t="s">
        <v>270</v>
      </c>
      <c r="B65" s="154"/>
      <c r="C65" s="154"/>
      <c r="D65" s="154"/>
      <c r="E65" s="154"/>
      <c r="F65" s="154"/>
      <c r="G65" s="154"/>
      <c r="H65" s="154"/>
      <c r="I65" s="154"/>
      <c r="J65" s="154"/>
      <c r="K65" s="154"/>
      <c r="L65" s="154"/>
      <c r="M65" s="154"/>
      <c r="N65" s="154"/>
      <c r="O65" s="154"/>
    </row>
    <row r="68" spans="1:20" x14ac:dyDescent="0.25">
      <c r="R68" s="13"/>
      <c r="S68" s="13"/>
      <c r="T68" s="13"/>
    </row>
  </sheetData>
  <mergeCells count="1">
    <mergeCell ref="A65:O65"/>
  </mergeCells>
  <printOptions horizontalCentered="1" verticalCentered="1"/>
  <pageMargins left="0.75" right="0.75" top="1" bottom="1" header="0.5" footer="0.5"/>
  <pageSetup scale="63"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F727A-0BCF-4B4C-8E7E-AAF7862CA33C}">
  <sheetPr>
    <pageSetUpPr fitToPage="1"/>
  </sheetPr>
  <dimension ref="A1:AI45"/>
  <sheetViews>
    <sheetView topLeftCell="A2" zoomScale="80" zoomScaleNormal="80" workbookViewId="0">
      <selection activeCell="AC10" sqref="AC10"/>
    </sheetView>
  </sheetViews>
  <sheetFormatPr defaultColWidth="8.77734375" defaultRowHeight="13.2" x14ac:dyDescent="0.25"/>
  <cols>
    <col min="25" max="28" width="10.5546875" customWidth="1"/>
  </cols>
  <sheetData>
    <row r="1" spans="17:35" x14ac:dyDescent="0.25">
      <c r="Y1" s="54" t="s">
        <v>95</v>
      </c>
      <c r="AD1" s="54" t="s">
        <v>96</v>
      </c>
      <c r="AF1" s="54" t="s">
        <v>97</v>
      </c>
    </row>
    <row r="2" spans="17:35" x14ac:dyDescent="0.25">
      <c r="Q2" t="s">
        <v>0</v>
      </c>
      <c r="R2" s="9" t="s">
        <v>106</v>
      </c>
      <c r="S2" s="9" t="s">
        <v>107</v>
      </c>
      <c r="T2" s="9" t="s">
        <v>38</v>
      </c>
      <c r="U2" s="9" t="s">
        <v>108</v>
      </c>
      <c r="V2" s="9" t="s">
        <v>109</v>
      </c>
      <c r="W2" s="9"/>
      <c r="Y2" t="s">
        <v>98</v>
      </c>
      <c r="Z2" t="s">
        <v>99</v>
      </c>
      <c r="AA2" t="s">
        <v>100</v>
      </c>
      <c r="AB2" t="s">
        <v>101</v>
      </c>
      <c r="AC2" s="9" t="s">
        <v>102</v>
      </c>
      <c r="AD2" s="9" t="s">
        <v>103</v>
      </c>
      <c r="AF2" t="s">
        <v>104</v>
      </c>
      <c r="AI2" s="9" t="s">
        <v>105</v>
      </c>
    </row>
    <row r="3" spans="17:35" x14ac:dyDescent="0.25">
      <c r="Q3" s="1">
        <v>2015</v>
      </c>
      <c r="R3">
        <v>24036</v>
      </c>
      <c r="S3">
        <v>24036</v>
      </c>
      <c r="T3">
        <v>24036</v>
      </c>
      <c r="U3">
        <v>24036</v>
      </c>
      <c r="V3">
        <v>24036</v>
      </c>
      <c r="Y3">
        <v>1</v>
      </c>
      <c r="Z3">
        <v>1</v>
      </c>
      <c r="AA3">
        <v>1</v>
      </c>
      <c r="AB3">
        <v>1</v>
      </c>
      <c r="AC3">
        <f t="shared" ref="AC3:AC10" si="0">AD3/AD$3</f>
        <v>1</v>
      </c>
      <c r="AD3">
        <v>135.36233333333334</v>
      </c>
      <c r="AF3" s="12">
        <v>24036</v>
      </c>
      <c r="AI3" s="55" t="e">
        <f>#REF!-#REF!</f>
        <v>#REF!</v>
      </c>
    </row>
    <row r="4" spans="17:35" x14ac:dyDescent="0.25">
      <c r="Q4" s="1">
        <v>2016</v>
      </c>
      <c r="R4">
        <f t="shared" ref="R4:V10" si="1">R$3*Y4</f>
        <v>24153.776399999999</v>
      </c>
      <c r="S4">
        <f t="shared" si="1"/>
        <v>24346.064399999999</v>
      </c>
      <c r="T4">
        <f t="shared" si="1"/>
        <v>24338.853599999999</v>
      </c>
      <c r="U4">
        <f t="shared" si="1"/>
        <v>24276.36</v>
      </c>
      <c r="V4">
        <f t="shared" si="1"/>
        <v>24260.223816571324</v>
      </c>
      <c r="Y4">
        <v>1.0048999999999999</v>
      </c>
      <c r="Z4">
        <v>1.0128999999999999</v>
      </c>
      <c r="AA4">
        <v>1.0125999999999999</v>
      </c>
      <c r="AB4">
        <v>1.01</v>
      </c>
      <c r="AC4">
        <f t="shared" si="0"/>
        <v>1.009328666024768</v>
      </c>
      <c r="AD4">
        <v>136.62508333333332</v>
      </c>
      <c r="AF4" s="12">
        <v>24339</v>
      </c>
      <c r="AI4" s="55" t="e">
        <f>#REF!-#REF!</f>
        <v>#REF!</v>
      </c>
    </row>
    <row r="5" spans="17:35" x14ac:dyDescent="0.25">
      <c r="Q5" s="1">
        <v>2017</v>
      </c>
      <c r="R5">
        <f t="shared" si="1"/>
        <v>24473.4552</v>
      </c>
      <c r="S5">
        <f t="shared" si="1"/>
        <v>24862.838400000001</v>
      </c>
      <c r="T5">
        <f t="shared" si="1"/>
        <v>24858.031200000001</v>
      </c>
      <c r="U5">
        <f t="shared" si="1"/>
        <v>24721.025999999998</v>
      </c>
      <c r="V5">
        <f t="shared" si="1"/>
        <v>24688.280740333968</v>
      </c>
      <c r="Y5">
        <v>1.0182</v>
      </c>
      <c r="Z5">
        <v>1.0344</v>
      </c>
      <c r="AA5">
        <v>1.0342</v>
      </c>
      <c r="AB5">
        <v>1.0285</v>
      </c>
      <c r="AC5">
        <f t="shared" si="0"/>
        <v>1.027137657694041</v>
      </c>
      <c r="AD5">
        <v>139.03575000000001</v>
      </c>
      <c r="AF5" s="12">
        <v>24858</v>
      </c>
      <c r="AI5" s="55" t="e">
        <f>#REF!-#REF!</f>
        <v>#REF!</v>
      </c>
    </row>
    <row r="6" spans="17:35" x14ac:dyDescent="0.25">
      <c r="Q6" s="1">
        <v>2018</v>
      </c>
      <c r="R6">
        <f t="shared" si="1"/>
        <v>24877.26</v>
      </c>
      <c r="S6">
        <f t="shared" si="1"/>
        <v>25470.949200000003</v>
      </c>
      <c r="T6">
        <f t="shared" si="1"/>
        <v>25463.738399999998</v>
      </c>
      <c r="U6">
        <f t="shared" si="1"/>
        <v>25247.414400000001</v>
      </c>
      <c r="V6">
        <f t="shared" si="1"/>
        <v>25186.565753151419</v>
      </c>
      <c r="Y6">
        <v>1.0349999999999999</v>
      </c>
      <c r="Z6">
        <v>1.0597000000000001</v>
      </c>
      <c r="AA6">
        <v>1.0593999999999999</v>
      </c>
      <c r="AB6">
        <v>1.0504</v>
      </c>
      <c r="AC6">
        <f t="shared" si="0"/>
        <v>1.0478684370590539</v>
      </c>
      <c r="AD6">
        <v>141.84191666666666</v>
      </c>
      <c r="AF6" s="12">
        <v>25465</v>
      </c>
      <c r="AI6" s="55" t="e">
        <f>#REF!-#REF!</f>
        <v>#REF!</v>
      </c>
    </row>
    <row r="7" spans="17:35" x14ac:dyDescent="0.25">
      <c r="Q7" s="1">
        <v>2019</v>
      </c>
      <c r="R7">
        <f t="shared" si="1"/>
        <v>25129.638000000003</v>
      </c>
      <c r="S7">
        <f t="shared" si="1"/>
        <v>25932.440399999999</v>
      </c>
      <c r="T7">
        <f t="shared" si="1"/>
        <v>25925.229599999999</v>
      </c>
      <c r="U7">
        <f t="shared" si="1"/>
        <v>25624.779600000002</v>
      </c>
      <c r="V7">
        <f t="shared" si="1"/>
        <v>25552.666290720957</v>
      </c>
      <c r="Y7">
        <v>1.0455000000000001</v>
      </c>
      <c r="Z7">
        <v>1.0789</v>
      </c>
      <c r="AA7">
        <v>1.0786</v>
      </c>
      <c r="AB7">
        <v>1.0661</v>
      </c>
      <c r="AC7">
        <f t="shared" si="0"/>
        <v>1.0630997791113728</v>
      </c>
      <c r="AD7">
        <v>143.90366666666668</v>
      </c>
      <c r="AF7" s="12">
        <v>25926.44300613497</v>
      </c>
      <c r="AI7" s="55" t="e">
        <f>#REF!-#REF!</f>
        <v>#REF!</v>
      </c>
    </row>
    <row r="8" spans="17:35" x14ac:dyDescent="0.25">
      <c r="Q8" s="1">
        <v>2020</v>
      </c>
      <c r="R8">
        <f t="shared" si="1"/>
        <v>25261.835999999999</v>
      </c>
      <c r="S8">
        <f t="shared" si="1"/>
        <v>26278.558799999999</v>
      </c>
      <c r="T8">
        <f t="shared" si="1"/>
        <v>26247.312000000002</v>
      </c>
      <c r="U8">
        <f t="shared" si="1"/>
        <v>25908.404400000003</v>
      </c>
      <c r="V8">
        <f t="shared" si="1"/>
        <v>25827.127014654492</v>
      </c>
      <c r="Y8">
        <v>1.0509999999999999</v>
      </c>
      <c r="Z8">
        <v>1.0932999999999999</v>
      </c>
      <c r="AA8">
        <v>1.0920000000000001</v>
      </c>
      <c r="AB8">
        <v>1.0779000000000001</v>
      </c>
      <c r="AC8">
        <f t="shared" si="0"/>
        <v>1.0745185145055123</v>
      </c>
      <c r="AD8">
        <v>145.44933333333333</v>
      </c>
      <c r="AF8" s="12">
        <v>26246.293435582818</v>
      </c>
      <c r="AI8" s="55" t="e">
        <f>#REF!-#REF!</f>
        <v>#REF!</v>
      </c>
    </row>
    <row r="9" spans="17:35" x14ac:dyDescent="0.25">
      <c r="Q9" s="1">
        <v>2021</v>
      </c>
      <c r="R9">
        <f t="shared" si="1"/>
        <v>26280.962399999997</v>
      </c>
      <c r="S9">
        <f t="shared" si="1"/>
        <v>27547.659599999999</v>
      </c>
      <c r="T9">
        <f t="shared" si="1"/>
        <v>27480.358799999998</v>
      </c>
      <c r="U9">
        <f t="shared" si="1"/>
        <v>26951.566800000001</v>
      </c>
      <c r="V9">
        <f t="shared" si="1"/>
        <v>26981.362503601442</v>
      </c>
      <c r="Y9">
        <v>1.0933999999999999</v>
      </c>
      <c r="Z9">
        <v>1.1460999999999999</v>
      </c>
      <c r="AA9">
        <v>1.1433</v>
      </c>
      <c r="AB9">
        <v>1.1213</v>
      </c>
      <c r="AC9">
        <f t="shared" si="0"/>
        <v>1.1225396282077484</v>
      </c>
      <c r="AD9">
        <v>151.94958333333332</v>
      </c>
      <c r="AF9" s="12">
        <v>27479</v>
      </c>
      <c r="AI9" s="55" t="e">
        <f>#REF!-#REF!</f>
        <v>#REF!</v>
      </c>
    </row>
    <row r="10" spans="17:35" x14ac:dyDescent="0.25">
      <c r="Q10" s="1">
        <v>2022</v>
      </c>
      <c r="R10">
        <f t="shared" si="1"/>
        <v>28196.631600000001</v>
      </c>
      <c r="S10">
        <f t="shared" si="1"/>
        <v>29778.200399999998</v>
      </c>
      <c r="T10">
        <f t="shared" si="1"/>
        <v>29677.249199999998</v>
      </c>
      <c r="U10">
        <f t="shared" si="1"/>
        <v>28638.894</v>
      </c>
      <c r="V10">
        <f t="shared" si="1"/>
        <v>29052.987549466005</v>
      </c>
      <c r="Y10">
        <v>1.1731</v>
      </c>
      <c r="Z10">
        <v>1.2388999999999999</v>
      </c>
      <c r="AA10">
        <v>1.2346999999999999</v>
      </c>
      <c r="AB10">
        <v>1.1915</v>
      </c>
      <c r="AC10">
        <f t="shared" si="0"/>
        <v>1.2087280558107008</v>
      </c>
      <c r="AD10" s="45">
        <v>163.61625000000001</v>
      </c>
      <c r="AF10" s="12">
        <v>29678</v>
      </c>
      <c r="AI10" s="55" t="e">
        <f>#REF!-#REF!</f>
        <v>#REF!</v>
      </c>
    </row>
    <row r="11" spans="17:35" x14ac:dyDescent="0.25">
      <c r="AI11" s="55" t="e">
        <f>#REF!-#REF!</f>
        <v>#REF!</v>
      </c>
    </row>
    <row r="12" spans="17:35" x14ac:dyDescent="0.25">
      <c r="Q12" t="s">
        <v>129</v>
      </c>
      <c r="R12">
        <f>(R10-R3)/R3*100</f>
        <v>17.310000000000002</v>
      </c>
      <c r="S12">
        <f>(S10-S3)/S3*100</f>
        <v>23.889999999999993</v>
      </c>
      <c r="T12">
        <f>(T10-T3)/T3*100</f>
        <v>23.469999999999995</v>
      </c>
      <c r="U12">
        <f>(U10-U3)/U3*100</f>
        <v>19.149999999999999</v>
      </c>
      <c r="V12">
        <f>(V10-V3)/V3*100</f>
        <v>20.872805581070082</v>
      </c>
      <c r="AI12" s="55" t="e">
        <f>#REF!-#REF!</f>
        <v>#REF!</v>
      </c>
    </row>
    <row r="13" spans="17:35" x14ac:dyDescent="0.25">
      <c r="Q13" t="s">
        <v>155</v>
      </c>
      <c r="R13" s="62">
        <f t="shared" ref="R13:V14" si="2">(R9-R8)/R8*100</f>
        <v>4.034253092293044</v>
      </c>
      <c r="S13" s="62">
        <f t="shared" si="2"/>
        <v>4.8294155309613105</v>
      </c>
      <c r="T13" s="62">
        <f t="shared" si="2"/>
        <v>4.6978021978021838</v>
      </c>
      <c r="U13" s="62">
        <f t="shared" si="2"/>
        <v>4.0263475275999525</v>
      </c>
      <c r="V13" s="62">
        <f t="shared" si="2"/>
        <v>4.4690820171056131</v>
      </c>
      <c r="AF13" s="12"/>
      <c r="AI13" s="55">
        <f t="shared" ref="AI13:AI37" si="3">T13-AF13</f>
        <v>4.6978021978021838</v>
      </c>
    </row>
    <row r="14" spans="17:35" x14ac:dyDescent="0.25">
      <c r="Q14" t="s">
        <v>156</v>
      </c>
      <c r="R14" s="62">
        <f t="shared" si="2"/>
        <v>7.2891896835558967</v>
      </c>
      <c r="S14" s="62">
        <f t="shared" si="2"/>
        <v>8.0970246924352125</v>
      </c>
      <c r="T14" s="62">
        <f t="shared" si="2"/>
        <v>7.9944021691594518</v>
      </c>
      <c r="U14" s="62">
        <f t="shared" si="2"/>
        <v>6.2605903861589223</v>
      </c>
      <c r="V14" s="62">
        <f t="shared" si="2"/>
        <v>7.6779852966581821</v>
      </c>
      <c r="AF14" s="12"/>
      <c r="AI14" s="55">
        <f t="shared" si="3"/>
        <v>7.9944021691594518</v>
      </c>
    </row>
    <row r="15" spans="17:35" x14ac:dyDescent="0.25">
      <c r="AF15" s="12"/>
      <c r="AI15" s="55">
        <f t="shared" si="3"/>
        <v>0</v>
      </c>
    </row>
    <row r="16" spans="17:35" x14ac:dyDescent="0.25">
      <c r="AF16" s="12"/>
      <c r="AI16" s="55">
        <f t="shared" si="3"/>
        <v>0</v>
      </c>
    </row>
    <row r="17" spans="17:35" x14ac:dyDescent="0.25">
      <c r="AF17" s="12"/>
      <c r="AI17" s="55">
        <f t="shared" si="3"/>
        <v>0</v>
      </c>
    </row>
    <row r="18" spans="17:35" x14ac:dyDescent="0.25">
      <c r="AF18" s="12"/>
      <c r="AI18" s="55">
        <f t="shared" si="3"/>
        <v>0</v>
      </c>
    </row>
    <row r="19" spans="17:35" x14ac:dyDescent="0.25">
      <c r="AF19" s="12"/>
      <c r="AI19" s="55">
        <f t="shared" si="3"/>
        <v>0</v>
      </c>
    </row>
    <row r="20" spans="17:35" x14ac:dyDescent="0.25">
      <c r="AF20" s="12"/>
      <c r="AI20" s="55">
        <f t="shared" si="3"/>
        <v>0</v>
      </c>
    </row>
    <row r="21" spans="17:35" x14ac:dyDescent="0.25">
      <c r="AF21" s="12"/>
      <c r="AI21" s="55">
        <f t="shared" si="3"/>
        <v>0</v>
      </c>
    </row>
    <row r="22" spans="17:35" x14ac:dyDescent="0.25">
      <c r="AF22" s="12"/>
      <c r="AI22" s="55">
        <f t="shared" si="3"/>
        <v>0</v>
      </c>
    </row>
    <row r="23" spans="17:35" x14ac:dyDescent="0.25">
      <c r="AF23" s="12"/>
      <c r="AI23" s="55">
        <f t="shared" si="3"/>
        <v>0</v>
      </c>
    </row>
    <row r="24" spans="17:35" x14ac:dyDescent="0.25">
      <c r="AF24" s="12"/>
      <c r="AI24" s="55">
        <f t="shared" si="3"/>
        <v>0</v>
      </c>
    </row>
    <row r="25" spans="17:35" x14ac:dyDescent="0.25">
      <c r="AF25" s="12"/>
      <c r="AI25" s="55">
        <f t="shared" si="3"/>
        <v>0</v>
      </c>
    </row>
    <row r="26" spans="17:35" x14ac:dyDescent="0.25">
      <c r="AF26" s="12"/>
      <c r="AI26" s="55">
        <f t="shared" si="3"/>
        <v>0</v>
      </c>
    </row>
    <row r="27" spans="17:35" x14ac:dyDescent="0.25">
      <c r="AF27" s="12"/>
      <c r="AI27" s="55">
        <f t="shared" si="3"/>
        <v>0</v>
      </c>
    </row>
    <row r="28" spans="17:35" x14ac:dyDescent="0.25">
      <c r="Q28" s="1"/>
      <c r="AF28" s="12"/>
      <c r="AI28" s="55">
        <f t="shared" si="3"/>
        <v>0</v>
      </c>
    </row>
    <row r="29" spans="17:35" x14ac:dyDescent="0.25">
      <c r="Q29" s="1"/>
      <c r="AF29" s="12"/>
      <c r="AI29" s="55">
        <f t="shared" si="3"/>
        <v>0</v>
      </c>
    </row>
    <row r="30" spans="17:35" x14ac:dyDescent="0.25">
      <c r="Q30" s="1"/>
      <c r="AF30" s="12"/>
      <c r="AI30" s="55">
        <f t="shared" si="3"/>
        <v>0</v>
      </c>
    </row>
    <row r="31" spans="17:35" x14ac:dyDescent="0.25">
      <c r="Q31" s="1"/>
      <c r="AF31" s="12"/>
      <c r="AI31" s="55">
        <f t="shared" si="3"/>
        <v>0</v>
      </c>
    </row>
    <row r="32" spans="17:35" x14ac:dyDescent="0.25">
      <c r="Q32" s="1"/>
      <c r="AF32" s="12"/>
      <c r="AI32" s="55">
        <f t="shared" si="3"/>
        <v>0</v>
      </c>
    </row>
    <row r="33" spans="1:35" x14ac:dyDescent="0.25">
      <c r="Q33" s="1"/>
      <c r="AF33" s="12"/>
      <c r="AI33" s="55">
        <f t="shared" si="3"/>
        <v>0</v>
      </c>
    </row>
    <row r="34" spans="1:35" x14ac:dyDescent="0.25">
      <c r="Q34" s="1"/>
      <c r="AF34" s="12"/>
      <c r="AI34" s="55">
        <f t="shared" si="3"/>
        <v>0</v>
      </c>
    </row>
    <row r="35" spans="1:35" ht="12.75" customHeight="1" x14ac:dyDescent="0.25">
      <c r="A35" s="153" t="s">
        <v>260</v>
      </c>
      <c r="B35" s="153"/>
      <c r="C35" s="153"/>
      <c r="D35" s="153"/>
      <c r="E35" s="153"/>
      <c r="F35" s="153"/>
      <c r="G35" s="153"/>
      <c r="H35" s="153"/>
      <c r="I35" s="153"/>
      <c r="J35" s="153"/>
      <c r="K35" s="153"/>
      <c r="L35" s="153"/>
      <c r="M35" s="153"/>
      <c r="N35" s="153"/>
      <c r="O35" s="153"/>
      <c r="Q35" s="1"/>
      <c r="AF35" s="12"/>
      <c r="AI35" s="55">
        <f t="shared" si="3"/>
        <v>0</v>
      </c>
    </row>
    <row r="36" spans="1:35" x14ac:dyDescent="0.25">
      <c r="A36" s="153"/>
      <c r="B36" s="153"/>
      <c r="C36" s="153"/>
      <c r="D36" s="153"/>
      <c r="E36" s="153"/>
      <c r="F36" s="153"/>
      <c r="G36" s="153"/>
      <c r="H36" s="153"/>
      <c r="I36" s="153"/>
      <c r="J36" s="153"/>
      <c r="K36" s="153"/>
      <c r="L36" s="153"/>
      <c r="M36" s="153"/>
      <c r="N36" s="153"/>
      <c r="O36" s="153"/>
      <c r="Q36" s="1"/>
      <c r="AF36" s="12"/>
      <c r="AI36" s="55">
        <f t="shared" si="3"/>
        <v>0</v>
      </c>
    </row>
    <row r="37" spans="1:35" x14ac:dyDescent="0.25">
      <c r="A37" s="153"/>
      <c r="B37" s="153"/>
      <c r="C37" s="153"/>
      <c r="D37" s="153"/>
      <c r="E37" s="153"/>
      <c r="F37" s="153"/>
      <c r="G37" s="153"/>
      <c r="H37" s="153"/>
      <c r="I37" s="153"/>
      <c r="J37" s="153"/>
      <c r="K37" s="153"/>
      <c r="L37" s="153"/>
      <c r="M37" s="153"/>
      <c r="N37" s="153"/>
      <c r="O37" s="153"/>
      <c r="Q37" s="1"/>
      <c r="AF37" s="12"/>
      <c r="AI37" s="55">
        <f t="shared" si="3"/>
        <v>0</v>
      </c>
    </row>
    <row r="38" spans="1:35" ht="12.75" customHeight="1" x14ac:dyDescent="0.25">
      <c r="A38" s="56"/>
      <c r="B38" s="56"/>
      <c r="C38" s="56"/>
      <c r="D38" s="56"/>
      <c r="E38" s="56"/>
      <c r="F38" s="56"/>
      <c r="G38" s="56"/>
      <c r="H38" s="56"/>
      <c r="I38" s="56"/>
      <c r="J38" s="56"/>
      <c r="K38" s="56"/>
      <c r="L38" s="56"/>
      <c r="M38" s="56"/>
      <c r="N38" s="56"/>
      <c r="O38" s="56"/>
      <c r="AI38" s="55">
        <f t="shared" ref="AI38:AI45" si="4">T3-AF3</f>
        <v>0</v>
      </c>
    </row>
    <row r="39" spans="1:35" x14ac:dyDescent="0.25">
      <c r="AI39" s="55">
        <f t="shared" si="4"/>
        <v>-0.14640000000144937</v>
      </c>
    </row>
    <row r="40" spans="1:35" x14ac:dyDescent="0.25">
      <c r="AI40" s="55">
        <f t="shared" si="4"/>
        <v>3.1200000001263106E-2</v>
      </c>
    </row>
    <row r="41" spans="1:35" x14ac:dyDescent="0.25">
      <c r="AI41" s="55">
        <f t="shared" si="4"/>
        <v>-1.2616000000016356</v>
      </c>
    </row>
    <row r="42" spans="1:35" x14ac:dyDescent="0.25">
      <c r="AI42" s="55">
        <f t="shared" si="4"/>
        <v>-1.2134061349715921</v>
      </c>
    </row>
    <row r="43" spans="1:35" x14ac:dyDescent="0.25">
      <c r="AI43" s="55">
        <f t="shared" si="4"/>
        <v>1.0185644171833701</v>
      </c>
    </row>
    <row r="44" spans="1:35" x14ac:dyDescent="0.25">
      <c r="AI44" s="55">
        <f t="shared" si="4"/>
        <v>1.3587999999981548</v>
      </c>
    </row>
    <row r="45" spans="1:35" x14ac:dyDescent="0.25">
      <c r="AI45" s="55">
        <f t="shared" si="4"/>
        <v>-0.75080000000161817</v>
      </c>
    </row>
  </sheetData>
  <mergeCells count="1">
    <mergeCell ref="A35:O37"/>
  </mergeCells>
  <printOptions horizontalCentered="1"/>
  <pageMargins left="0.7" right="0.7" top="0.75" bottom="0.75" header="0.3" footer="0.3"/>
  <pageSetup scale="94"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E052-3568-4CB6-89F8-63366E4966EF}">
  <sheetPr>
    <pageSetUpPr fitToPage="1"/>
  </sheetPr>
  <dimension ref="A1:AA645"/>
  <sheetViews>
    <sheetView zoomScaleNormal="100" zoomScaleSheetLayoutView="40" workbookViewId="0"/>
  </sheetViews>
  <sheetFormatPr defaultRowHeight="13.2" x14ac:dyDescent="0.25"/>
  <cols>
    <col min="3" max="3" width="15.5546875" customWidth="1"/>
    <col min="24" max="25" width="20.5546875" customWidth="1"/>
  </cols>
  <sheetData>
    <row r="1" spans="17:27" ht="38.25" customHeight="1" x14ac:dyDescent="0.25">
      <c r="S1" s="138" t="s">
        <v>319</v>
      </c>
      <c r="T1" s="138" t="s">
        <v>318</v>
      </c>
      <c r="W1" s="138"/>
      <c r="X1" s="44" t="s">
        <v>36</v>
      </c>
      <c r="Y1" s="44"/>
    </row>
    <row r="2" spans="17:27" ht="13.5" customHeight="1" x14ac:dyDescent="0.25">
      <c r="Q2" t="s">
        <v>0</v>
      </c>
      <c r="X2" s="44"/>
      <c r="Y2" s="44"/>
    </row>
    <row r="3" spans="17:27" ht="13.5" customHeight="1" x14ac:dyDescent="0.25">
      <c r="Q3" s="4">
        <v>2015</v>
      </c>
      <c r="R3" s="7"/>
      <c r="S3">
        <v>0.13497227430343628</v>
      </c>
      <c r="T3">
        <v>0.13497227430343628</v>
      </c>
    </row>
    <row r="4" spans="17:27" ht="13.5" customHeight="1" x14ac:dyDescent="0.25">
      <c r="Q4" s="4">
        <f>Q3+1</f>
        <v>2016</v>
      </c>
      <c r="R4" s="7"/>
      <c r="S4">
        <v>0.12983250617980957</v>
      </c>
      <c r="T4">
        <v>0.12762996554374695</v>
      </c>
    </row>
    <row r="5" spans="17:27" ht="13.5" customHeight="1" x14ac:dyDescent="0.25">
      <c r="Q5" s="4">
        <f>Q4+1</f>
        <v>2017</v>
      </c>
      <c r="R5" s="7"/>
      <c r="S5">
        <v>0.1237991526722908</v>
      </c>
      <c r="T5">
        <v>0.12051744014024734</v>
      </c>
    </row>
    <row r="6" spans="17:27" ht="13.5" customHeight="1" x14ac:dyDescent="0.3">
      <c r="Q6" s="4">
        <f>Q5+1</f>
        <v>2018</v>
      </c>
      <c r="R6" s="8"/>
      <c r="S6">
        <v>0.11316335201263428</v>
      </c>
      <c r="T6">
        <v>0.1081540659070015</v>
      </c>
    </row>
    <row r="7" spans="17:27" ht="13.5" customHeight="1" x14ac:dyDescent="0.25">
      <c r="Q7" s="4">
        <v>2019</v>
      </c>
      <c r="R7" s="7"/>
      <c r="S7">
        <v>0.10415948182344437</v>
      </c>
      <c r="T7">
        <v>9.8137892782688141E-2</v>
      </c>
    </row>
    <row r="8" spans="17:27" ht="13.5" customHeight="1" x14ac:dyDescent="0.25">
      <c r="Q8" s="4">
        <v>2020</v>
      </c>
      <c r="R8" s="7"/>
      <c r="S8">
        <v>8.9752450585365295E-2</v>
      </c>
      <c r="T8">
        <v>8.137965202331543E-2</v>
      </c>
      <c r="X8" t="s">
        <v>115</v>
      </c>
      <c r="Z8" t="s">
        <v>116</v>
      </c>
    </row>
    <row r="9" spans="17:27" ht="13.5" customHeight="1" x14ac:dyDescent="0.25">
      <c r="Q9" s="4">
        <v>2021</v>
      </c>
      <c r="R9" s="7"/>
      <c r="S9">
        <v>8.1201091408729553E-2</v>
      </c>
      <c r="T9">
        <v>7.4362434446811676E-2</v>
      </c>
      <c r="X9">
        <f>+S9-S8</f>
        <v>-8.5513591766357422E-3</v>
      </c>
      <c r="Y9">
        <f>+T9-T8</f>
        <v>-7.0172175765037537E-3</v>
      </c>
      <c r="Z9">
        <f>+X9/S8</f>
        <v>-9.5277166482517134E-2</v>
      </c>
      <c r="AA9">
        <f>+T9/T8-1</f>
        <v>-8.6228159030383944E-2</v>
      </c>
    </row>
    <row r="10" spans="17:27" ht="13.5" customHeight="1" x14ac:dyDescent="0.25">
      <c r="Q10" s="4">
        <v>2022</v>
      </c>
      <c r="R10" s="7"/>
      <c r="S10">
        <v>6.7475348711013794E-2</v>
      </c>
      <c r="T10">
        <v>6.0355763882398605E-2</v>
      </c>
      <c r="X10">
        <f>+S10-S9</f>
        <v>-1.3725742697715759E-2</v>
      </c>
      <c r="Y10">
        <f>+T10-T9</f>
        <v>-1.4006670564413071E-2</v>
      </c>
      <c r="Z10">
        <f>+X10/S9</f>
        <v>-0.16903396813506583</v>
      </c>
      <c r="AA10">
        <f>+T10/T9-1</f>
        <v>-0.18835680499986118</v>
      </c>
    </row>
    <row r="11" spans="17:27" ht="13.5" customHeight="1" x14ac:dyDescent="0.25">
      <c r="Q11" s="4"/>
      <c r="R11" s="7"/>
      <c r="V11" s="53"/>
      <c r="W11" s="57"/>
    </row>
    <row r="12" spans="17:27" ht="13.5" customHeight="1" x14ac:dyDescent="0.25">
      <c r="Q12" s="4" t="s">
        <v>112</v>
      </c>
      <c r="R12" s="58"/>
      <c r="S12" s="58">
        <f>+S7-S3</f>
        <v>-3.0812792479991913E-2</v>
      </c>
      <c r="T12" s="58">
        <f>+T7-T3</f>
        <v>-3.6834381520748138E-2</v>
      </c>
      <c r="U12" s="58"/>
      <c r="V12" s="58"/>
      <c r="W12" s="57"/>
    </row>
    <row r="13" spans="17:27" ht="13.5" customHeight="1" x14ac:dyDescent="0.25">
      <c r="Q13" s="4" t="s">
        <v>113</v>
      </c>
      <c r="R13" s="58"/>
      <c r="S13" s="58">
        <f>+S10-S8</f>
        <v>-2.2277101874351501E-2</v>
      </c>
      <c r="T13" s="58">
        <f>+T10-T8</f>
        <v>-2.1023888140916824E-2</v>
      </c>
      <c r="U13" s="58"/>
      <c r="V13" s="58"/>
      <c r="W13" s="57"/>
    </row>
    <row r="14" spans="17:27" ht="13.5" customHeight="1" x14ac:dyDescent="0.25">
      <c r="Q14" s="4"/>
      <c r="R14" s="7"/>
      <c r="V14" s="53"/>
      <c r="W14" s="57"/>
    </row>
    <row r="15" spans="17:27" ht="13.5" customHeight="1" x14ac:dyDescent="0.25">
      <c r="Q15" s="4"/>
      <c r="R15" s="7"/>
      <c r="V15" s="53"/>
      <c r="W15" s="57"/>
    </row>
    <row r="16" spans="17:27" ht="13.5" customHeight="1" x14ac:dyDescent="0.25">
      <c r="Q16" s="4"/>
      <c r="R16" s="45"/>
      <c r="V16" s="53"/>
      <c r="W16" s="57"/>
    </row>
    <row r="17" spans="17:25" ht="13.5" customHeight="1" x14ac:dyDescent="0.25">
      <c r="Q17" s="4" t="s">
        <v>114</v>
      </c>
      <c r="R17" s="45"/>
      <c r="V17" s="53"/>
      <c r="W17" s="57"/>
    </row>
    <row r="18" spans="17:25" ht="13.5" customHeight="1" x14ac:dyDescent="0.25">
      <c r="Q18" s="4" t="s">
        <v>112</v>
      </c>
      <c r="R18" s="58"/>
      <c r="S18" s="58">
        <f>+S7/S3-1</f>
        <v>-0.22828979239632952</v>
      </c>
      <c r="T18" s="58">
        <f>+T7/T3-1</f>
        <v>-0.27290331818769953</v>
      </c>
      <c r="U18" s="58"/>
      <c r="V18" s="58"/>
      <c r="W18" s="57"/>
    </row>
    <row r="19" spans="17:25" ht="13.5" customHeight="1" x14ac:dyDescent="0.25">
      <c r="Q19" s="4" t="s">
        <v>113</v>
      </c>
      <c r="R19" s="58"/>
      <c r="S19" s="58">
        <f>+S10/S8-1</f>
        <v>-0.24820605709437782</v>
      </c>
      <c r="T19" s="58">
        <f>+T10/T8-1</f>
        <v>-0.25834330349426216</v>
      </c>
      <c r="U19" s="58"/>
      <c r="V19" s="58"/>
      <c r="W19" s="53"/>
      <c r="X19" s="53"/>
      <c r="Y19" s="57"/>
    </row>
    <row r="20" spans="17:25" ht="13.5" customHeight="1" x14ac:dyDescent="0.25">
      <c r="Q20" s="4"/>
      <c r="R20" s="45"/>
    </row>
    <row r="21" spans="17:25" ht="13.5" customHeight="1" x14ac:dyDescent="0.25">
      <c r="Q21" s="4"/>
      <c r="R21" s="45"/>
    </row>
    <row r="22" spans="17:25" ht="13.5" customHeight="1" x14ac:dyDescent="0.25">
      <c r="Q22" s="4"/>
      <c r="R22" s="45"/>
    </row>
    <row r="23" spans="17:25" ht="13.5" customHeight="1" x14ac:dyDescent="0.25">
      <c r="Q23" s="4"/>
      <c r="R23" s="45"/>
    </row>
    <row r="24" spans="17:25" ht="13.5" customHeight="1" x14ac:dyDescent="0.25">
      <c r="Q24" s="4"/>
      <c r="R24" s="7"/>
    </row>
    <row r="25" spans="17:25" ht="13.5" customHeight="1" x14ac:dyDescent="0.25">
      <c r="Q25" s="4"/>
      <c r="R25" s="7"/>
    </row>
    <row r="26" spans="17:25" ht="13.5" customHeight="1" x14ac:dyDescent="0.25">
      <c r="Q26" s="4"/>
      <c r="R26" s="7"/>
    </row>
    <row r="27" spans="17:25" ht="13.5" customHeight="1" x14ac:dyDescent="0.25">
      <c r="Q27" s="4"/>
      <c r="R27" s="7"/>
    </row>
    <row r="28" spans="17:25" ht="13.5" customHeight="1" x14ac:dyDescent="0.25">
      <c r="Q28" s="4"/>
      <c r="R28" s="7"/>
    </row>
    <row r="29" spans="17:25" ht="13.5" customHeight="1" x14ac:dyDescent="0.25">
      <c r="Q29" s="4"/>
      <c r="R29" s="7"/>
    </row>
    <row r="30" spans="17:25" ht="13.5" customHeight="1" x14ac:dyDescent="0.25">
      <c r="Q30" s="4"/>
      <c r="R30" s="7"/>
    </row>
    <row r="31" spans="17:25" ht="13.5" customHeight="1" x14ac:dyDescent="0.25">
      <c r="Q31" s="4"/>
      <c r="R31" s="7"/>
    </row>
    <row r="32" spans="17:25" ht="13.5" customHeight="1" x14ac:dyDescent="0.25">
      <c r="Q32" s="4"/>
      <c r="R32" s="7"/>
    </row>
    <row r="33" spans="17:27" ht="13.5" customHeight="1" x14ac:dyDescent="0.25">
      <c r="Q33" s="4"/>
      <c r="R33" s="7"/>
    </row>
    <row r="34" spans="17:27" ht="16.5" customHeight="1" x14ac:dyDescent="0.25">
      <c r="S34" s="138" t="s">
        <v>319</v>
      </c>
      <c r="T34" s="138" t="s">
        <v>318</v>
      </c>
    </row>
    <row r="35" spans="17:27" x14ac:dyDescent="0.25">
      <c r="Q35" t="s">
        <v>0</v>
      </c>
    </row>
    <row r="36" spans="17:27" ht="15.6" x14ac:dyDescent="0.25">
      <c r="Q36" s="4">
        <v>2015</v>
      </c>
      <c r="R36" s="7"/>
      <c r="S36">
        <v>0.19632710516452789</v>
      </c>
      <c r="T36">
        <v>0.19632710516452789</v>
      </c>
    </row>
    <row r="37" spans="17:27" ht="15.6" x14ac:dyDescent="0.25">
      <c r="Q37" s="4">
        <f>Q36+1</f>
        <v>2016</v>
      </c>
      <c r="R37" s="7"/>
      <c r="S37">
        <v>0.18843373656272888</v>
      </c>
      <c r="T37">
        <v>0.18557238578796387</v>
      </c>
    </row>
    <row r="38" spans="17:27" ht="15.6" x14ac:dyDescent="0.3">
      <c r="Q38" s="4">
        <f>Q37+1</f>
        <v>2017</v>
      </c>
      <c r="R38" s="8"/>
      <c r="S38">
        <v>0.18136338889598846</v>
      </c>
      <c r="T38">
        <v>0.17667238414287567</v>
      </c>
    </row>
    <row r="39" spans="17:27" ht="15.6" x14ac:dyDescent="0.3">
      <c r="Q39" s="4">
        <f>Q38+1</f>
        <v>2018</v>
      </c>
      <c r="R39" s="8"/>
      <c r="S39">
        <v>0.17017775774002075</v>
      </c>
      <c r="T39">
        <v>0.16292569041252136</v>
      </c>
    </row>
    <row r="40" spans="17:27" ht="15.6" x14ac:dyDescent="0.25">
      <c r="Q40" s="4">
        <v>2019</v>
      </c>
      <c r="R40" s="7"/>
      <c r="S40">
        <v>0.15504762530326843</v>
      </c>
      <c r="T40">
        <v>0.14649122953414917</v>
      </c>
      <c r="X40" t="s">
        <v>117</v>
      </c>
      <c r="Z40" t="s">
        <v>118</v>
      </c>
    </row>
    <row r="41" spans="17:27" ht="15.6" x14ac:dyDescent="0.25">
      <c r="Q41" s="4">
        <v>2020</v>
      </c>
      <c r="R41" s="7"/>
      <c r="S41">
        <v>0.12804925441741943</v>
      </c>
      <c r="T41">
        <v>0.11599357426166534</v>
      </c>
      <c r="X41" t="s">
        <v>115</v>
      </c>
      <c r="Y41" t="s">
        <v>116</v>
      </c>
    </row>
    <row r="42" spans="17:27" ht="15.6" x14ac:dyDescent="0.3">
      <c r="Q42" s="4">
        <v>2021</v>
      </c>
      <c r="R42" s="8"/>
      <c r="S42">
        <v>0.12009253352880478</v>
      </c>
      <c r="T42">
        <v>0.11006379127502441</v>
      </c>
      <c r="X42">
        <f>+S42-S41</f>
        <v>-7.9567208886146545E-3</v>
      </c>
      <c r="Y42">
        <f>+X42/S41</f>
        <v>-6.2137971242511553E-2</v>
      </c>
      <c r="Z42">
        <f>+T42-T41</f>
        <v>-5.9297829866409302E-3</v>
      </c>
      <c r="AA42">
        <f>+Z42/T41</f>
        <v>-5.1121650698203042E-2</v>
      </c>
    </row>
    <row r="43" spans="17:27" ht="15.6" x14ac:dyDescent="0.25">
      <c r="Q43" s="4">
        <v>2022</v>
      </c>
      <c r="R43" s="7"/>
      <c r="S43">
        <v>9.4702601432800293E-2</v>
      </c>
      <c r="T43">
        <v>8.5189618170261383E-2</v>
      </c>
      <c r="X43">
        <f>+S43-S42</f>
        <v>-2.5389932096004486E-2</v>
      </c>
      <c r="Y43">
        <f>+X43/S42</f>
        <v>-0.21141973901245564</v>
      </c>
      <c r="Z43">
        <f>+T43-T42</f>
        <v>-2.4874173104763031E-2</v>
      </c>
      <c r="AA43">
        <f>+Z43/T42</f>
        <v>-0.2259977856169621</v>
      </c>
    </row>
    <row r="44" spans="17:27" ht="15.6" x14ac:dyDescent="0.25">
      <c r="Q44" s="4"/>
      <c r="R44" s="7"/>
    </row>
    <row r="45" spans="17:27" ht="15.6" x14ac:dyDescent="0.25">
      <c r="Q45" s="4" t="s">
        <v>112</v>
      </c>
      <c r="R45" s="58"/>
      <c r="S45" s="58">
        <f>+S40-S36</f>
        <v>-4.127947986125946E-2</v>
      </c>
      <c r="T45" s="58">
        <f>+T40-T36</f>
        <v>-4.9835875630378723E-2</v>
      </c>
      <c r="U45" s="58"/>
      <c r="V45" s="58"/>
    </row>
    <row r="46" spans="17:27" ht="15.6" x14ac:dyDescent="0.25">
      <c r="Q46" s="4" t="s">
        <v>113</v>
      </c>
      <c r="R46" s="58"/>
      <c r="S46" s="58">
        <f>+S43-S41</f>
        <v>-3.3346652984619141E-2</v>
      </c>
      <c r="T46" s="58">
        <f>+T43-T41</f>
        <v>-3.0803956091403961E-2</v>
      </c>
      <c r="U46" s="58"/>
      <c r="V46" s="58"/>
      <c r="W46" s="57"/>
    </row>
    <row r="47" spans="17:27" ht="15.6" x14ac:dyDescent="0.25">
      <c r="Q47" s="4"/>
      <c r="R47" s="7"/>
      <c r="S47">
        <f>+S42-S41</f>
        <v>-7.9567208886146545E-3</v>
      </c>
      <c r="V47" s="53"/>
      <c r="W47" s="57"/>
    </row>
    <row r="48" spans="17:27" ht="15.6" x14ac:dyDescent="0.25">
      <c r="Q48" s="4"/>
      <c r="R48" s="7"/>
      <c r="S48">
        <f>+S43-S42</f>
        <v>-2.5389932096004486E-2</v>
      </c>
      <c r="V48" s="53"/>
      <c r="W48" s="57"/>
    </row>
    <row r="49" spans="17:23" ht="15.6" x14ac:dyDescent="0.25">
      <c r="Q49" s="4"/>
      <c r="R49" s="7"/>
      <c r="S49">
        <f>+S48/S42</f>
        <v>-0.21141973901245564</v>
      </c>
      <c r="V49" s="53"/>
      <c r="W49" s="57"/>
    </row>
    <row r="50" spans="17:23" x14ac:dyDescent="0.25">
      <c r="Q50" s="4" t="s">
        <v>114</v>
      </c>
      <c r="R50" s="45"/>
      <c r="V50" s="53"/>
      <c r="W50" s="57"/>
    </row>
    <row r="51" spans="17:23" ht="15.6" x14ac:dyDescent="0.25">
      <c r="Q51" s="4" t="s">
        <v>112</v>
      </c>
      <c r="R51" s="58"/>
      <c r="S51" s="58">
        <f>+S40/S36-1</f>
        <v>-0.21025868958168581</v>
      </c>
      <c r="T51" s="58">
        <f>+T40/T36-1</f>
        <v>-0.25384103528962443</v>
      </c>
      <c r="U51" s="58"/>
      <c r="V51" s="58"/>
      <c r="W51" s="57"/>
    </row>
    <row r="52" spans="17:23" ht="15.6" x14ac:dyDescent="0.25">
      <c r="Q52" s="4" t="s">
        <v>113</v>
      </c>
      <c r="R52" s="58"/>
      <c r="S52" s="58">
        <f>+S43/S41-1</f>
        <v>-0.26042051659211196</v>
      </c>
      <c r="T52" s="58">
        <f>+T43/T41-1</f>
        <v>-0.26556605646028741</v>
      </c>
      <c r="U52" s="58"/>
      <c r="V52" s="58"/>
      <c r="W52" s="57"/>
    </row>
    <row r="53" spans="17:23" ht="15.6" x14ac:dyDescent="0.25">
      <c r="Q53" s="4"/>
      <c r="R53" s="7"/>
      <c r="V53" s="53"/>
      <c r="W53" s="57"/>
    </row>
    <row r="54" spans="17:23" ht="15.6" x14ac:dyDescent="0.25">
      <c r="Q54" s="4"/>
      <c r="R54" s="7"/>
    </row>
    <row r="65" spans="1:20" ht="69.75" customHeight="1" x14ac:dyDescent="0.25">
      <c r="A65" s="152" t="s">
        <v>357</v>
      </c>
      <c r="B65" s="153"/>
      <c r="C65" s="153"/>
      <c r="D65" s="153"/>
      <c r="E65" s="153"/>
      <c r="F65" s="153"/>
      <c r="G65" s="153"/>
      <c r="H65" s="153"/>
      <c r="I65" s="153"/>
      <c r="J65" s="153"/>
      <c r="K65" s="153"/>
      <c r="L65" s="153"/>
      <c r="M65" s="153"/>
      <c r="N65" s="153"/>
      <c r="O65" s="153"/>
    </row>
    <row r="66" spans="1:20" x14ac:dyDescent="0.25">
      <c r="A66" s="56"/>
      <c r="B66" s="56"/>
      <c r="C66" s="56"/>
      <c r="D66" s="56"/>
      <c r="E66" s="56"/>
      <c r="F66" s="56"/>
      <c r="G66" s="56"/>
      <c r="H66" s="56"/>
      <c r="I66" s="56"/>
      <c r="J66" s="56"/>
      <c r="K66" s="56"/>
      <c r="L66" s="56"/>
      <c r="M66" s="56"/>
      <c r="N66" s="56"/>
      <c r="O66" s="56"/>
    </row>
    <row r="68" spans="1:20" x14ac:dyDescent="0.25">
      <c r="R68" s="13"/>
      <c r="S68" s="13"/>
      <c r="T68" s="13"/>
    </row>
    <row r="183" spans="22:23" x14ac:dyDescent="0.25">
      <c r="V183" s="2">
        <v>0</v>
      </c>
      <c r="W183" s="2"/>
    </row>
    <row r="184" spans="22:23" x14ac:dyDescent="0.25">
      <c r="V184" s="2">
        <v>0</v>
      </c>
      <c r="W184" s="2"/>
    </row>
    <row r="185" spans="22:23" x14ac:dyDescent="0.25">
      <c r="V185" s="2">
        <v>0</v>
      </c>
      <c r="W185" s="2"/>
    </row>
    <row r="186" spans="22:23" x14ac:dyDescent="0.25">
      <c r="V186" s="2">
        <v>0</v>
      </c>
      <c r="W186" s="2"/>
    </row>
    <row r="187" spans="22:23" x14ac:dyDescent="0.25">
      <c r="V187" s="2">
        <v>0</v>
      </c>
      <c r="W187" s="2"/>
    </row>
    <row r="188" spans="22:23" x14ac:dyDescent="0.25">
      <c r="V188" s="2">
        <v>0</v>
      </c>
      <c r="W188" s="2"/>
    </row>
    <row r="189" spans="22:23" x14ac:dyDescent="0.25">
      <c r="V189" s="2">
        <v>0</v>
      </c>
      <c r="W189" s="2"/>
    </row>
    <row r="190" spans="22:23" x14ac:dyDescent="0.25">
      <c r="V190" s="2">
        <v>0</v>
      </c>
      <c r="W190" s="2"/>
    </row>
    <row r="191" spans="22:23" x14ac:dyDescent="0.25">
      <c r="V191" s="2">
        <v>0</v>
      </c>
      <c r="W191" s="2"/>
    </row>
    <row r="192" spans="22:23" x14ac:dyDescent="0.25">
      <c r="V192" s="2">
        <v>0</v>
      </c>
      <c r="W192" s="2"/>
    </row>
    <row r="193" spans="22:23" x14ac:dyDescent="0.25">
      <c r="V193" s="2">
        <v>0</v>
      </c>
      <c r="W193" s="2"/>
    </row>
    <row r="194" spans="22:23" x14ac:dyDescent="0.25">
      <c r="V194" s="2">
        <v>0</v>
      </c>
      <c r="W194" s="2"/>
    </row>
    <row r="195" spans="22:23" x14ac:dyDescent="0.25">
      <c r="V195" s="2">
        <v>0</v>
      </c>
      <c r="W195" s="2"/>
    </row>
    <row r="196" spans="22:23" x14ac:dyDescent="0.25">
      <c r="V196" s="2">
        <v>0</v>
      </c>
      <c r="W196" s="2"/>
    </row>
    <row r="197" spans="22:23" x14ac:dyDescent="0.25">
      <c r="V197" s="2">
        <v>0</v>
      </c>
      <c r="W197" s="2"/>
    </row>
    <row r="198" spans="22:23" x14ac:dyDescent="0.25">
      <c r="V198" s="2">
        <v>0</v>
      </c>
      <c r="W198" s="2"/>
    </row>
    <row r="199" spans="22:23" x14ac:dyDescent="0.25">
      <c r="V199" s="2">
        <v>0</v>
      </c>
      <c r="W199" s="2"/>
    </row>
    <row r="200" spans="22:23" x14ac:dyDescent="0.25">
      <c r="V200" s="2">
        <v>0</v>
      </c>
      <c r="W200" s="2"/>
    </row>
    <row r="201" spans="22:23" x14ac:dyDescent="0.25">
      <c r="V201" s="2">
        <v>0</v>
      </c>
      <c r="W201" s="2"/>
    </row>
    <row r="202" spans="22:23" x14ac:dyDescent="0.25">
      <c r="V202" s="2">
        <v>0</v>
      </c>
      <c r="W202" s="2"/>
    </row>
    <row r="203" spans="22:23" x14ac:dyDescent="0.25">
      <c r="V203" s="2">
        <v>0</v>
      </c>
      <c r="W203" s="2"/>
    </row>
    <row r="204" spans="22:23" x14ac:dyDescent="0.25">
      <c r="V204" s="2">
        <v>0</v>
      </c>
      <c r="W204" s="2"/>
    </row>
    <row r="205" spans="22:23" x14ac:dyDescent="0.25">
      <c r="V205" s="2">
        <v>0</v>
      </c>
      <c r="W205" s="2"/>
    </row>
    <row r="206" spans="22:23" x14ac:dyDescent="0.25">
      <c r="V206" s="2">
        <v>0</v>
      </c>
      <c r="W206" s="2"/>
    </row>
    <row r="207" spans="22:23" x14ac:dyDescent="0.25">
      <c r="V207" s="2">
        <v>0</v>
      </c>
      <c r="W207" s="2"/>
    </row>
    <row r="208" spans="22:23" x14ac:dyDescent="0.25">
      <c r="V208" s="2">
        <v>0</v>
      </c>
      <c r="W208" s="2"/>
    </row>
    <row r="209" spans="22:23" x14ac:dyDescent="0.25">
      <c r="V209" s="2">
        <v>0</v>
      </c>
      <c r="W209" s="2"/>
    </row>
    <row r="210" spans="22:23" x14ac:dyDescent="0.25">
      <c r="V210" s="2">
        <v>0</v>
      </c>
      <c r="W210" s="2"/>
    </row>
    <row r="211" spans="22:23" x14ac:dyDescent="0.25">
      <c r="V211" s="2">
        <v>0</v>
      </c>
      <c r="W211" s="2"/>
    </row>
    <row r="212" spans="22:23" x14ac:dyDescent="0.25">
      <c r="V212" s="2">
        <v>0</v>
      </c>
      <c r="W212" s="2"/>
    </row>
    <row r="213" spans="22:23" x14ac:dyDescent="0.25">
      <c r="V213" s="2">
        <v>0</v>
      </c>
      <c r="W213" s="2"/>
    </row>
    <row r="214" spans="22:23" x14ac:dyDescent="0.25">
      <c r="V214" s="2">
        <v>0</v>
      </c>
      <c r="W214" s="2"/>
    </row>
    <row r="215" spans="22:23" x14ac:dyDescent="0.25">
      <c r="V215" s="2">
        <v>0</v>
      </c>
      <c r="W215" s="2"/>
    </row>
    <row r="216" spans="22:23" x14ac:dyDescent="0.25">
      <c r="V216" s="2">
        <v>0</v>
      </c>
      <c r="W216" s="2"/>
    </row>
    <row r="217" spans="22:23" x14ac:dyDescent="0.25">
      <c r="V217" s="2">
        <v>0</v>
      </c>
      <c r="W217" s="2"/>
    </row>
    <row r="218" spans="22:23" x14ac:dyDescent="0.25">
      <c r="V218" s="2">
        <v>0</v>
      </c>
      <c r="W218" s="2"/>
    </row>
    <row r="219" spans="22:23" x14ac:dyDescent="0.25">
      <c r="V219" s="2">
        <v>0</v>
      </c>
      <c r="W219" s="2"/>
    </row>
    <row r="220" spans="22:23" x14ac:dyDescent="0.25">
      <c r="V220" s="2">
        <v>0</v>
      </c>
      <c r="W220" s="2"/>
    </row>
    <row r="221" spans="22:23" x14ac:dyDescent="0.25">
      <c r="V221" s="2">
        <v>0</v>
      </c>
      <c r="W221" s="2"/>
    </row>
    <row r="222" spans="22:23" x14ac:dyDescent="0.25">
      <c r="V222" s="2">
        <v>0</v>
      </c>
      <c r="W222" s="2"/>
    </row>
    <row r="223" spans="22:23" x14ac:dyDescent="0.25">
      <c r="V223" s="2">
        <v>0</v>
      </c>
      <c r="W223" s="2"/>
    </row>
    <row r="224" spans="22:23" x14ac:dyDescent="0.25">
      <c r="V224" s="2">
        <v>0</v>
      </c>
      <c r="W224" s="2"/>
    </row>
    <row r="225" spans="22:23" x14ac:dyDescent="0.25">
      <c r="V225" s="2">
        <v>0</v>
      </c>
      <c r="W225" s="2"/>
    </row>
    <row r="226" spans="22:23" x14ac:dyDescent="0.25">
      <c r="V226" s="2">
        <v>0</v>
      </c>
      <c r="W226" s="2"/>
    </row>
    <row r="227" spans="22:23" x14ac:dyDescent="0.25">
      <c r="V227" s="2">
        <v>0</v>
      </c>
      <c r="W227" s="2"/>
    </row>
    <row r="228" spans="22:23" x14ac:dyDescent="0.25">
      <c r="V228" s="2">
        <v>0</v>
      </c>
      <c r="W228" s="2"/>
    </row>
    <row r="229" spans="22:23" x14ac:dyDescent="0.25">
      <c r="V229" s="2">
        <v>0</v>
      </c>
      <c r="W229" s="2"/>
    </row>
    <row r="230" spans="22:23" x14ac:dyDescent="0.25">
      <c r="V230" s="2">
        <v>0</v>
      </c>
      <c r="W230" s="2"/>
    </row>
    <row r="231" spans="22:23" x14ac:dyDescent="0.25">
      <c r="V231" s="2">
        <v>0</v>
      </c>
      <c r="W231" s="2"/>
    </row>
    <row r="232" spans="22:23" x14ac:dyDescent="0.25">
      <c r="V232" s="2">
        <v>0</v>
      </c>
      <c r="W232" s="2"/>
    </row>
    <row r="233" spans="22:23" x14ac:dyDescent="0.25">
      <c r="V233" s="2">
        <v>0</v>
      </c>
      <c r="W233" s="2"/>
    </row>
    <row r="234" spans="22:23" x14ac:dyDescent="0.25">
      <c r="V234" s="2">
        <v>0</v>
      </c>
      <c r="W234" s="2"/>
    </row>
    <row r="235" spans="22:23" x14ac:dyDescent="0.25">
      <c r="V235" s="2">
        <v>0</v>
      </c>
      <c r="W235" s="2"/>
    </row>
    <row r="236" spans="22:23" x14ac:dyDescent="0.25">
      <c r="V236" s="2">
        <v>0</v>
      </c>
      <c r="W236" s="2"/>
    </row>
    <row r="237" spans="22:23" x14ac:dyDescent="0.25">
      <c r="V237" s="2">
        <v>0</v>
      </c>
      <c r="W237" s="2"/>
    </row>
    <row r="238" spans="22:23" x14ac:dyDescent="0.25">
      <c r="V238" s="2">
        <v>0</v>
      </c>
      <c r="W238" s="2"/>
    </row>
    <row r="239" spans="22:23" x14ac:dyDescent="0.25">
      <c r="V239" s="2">
        <v>0</v>
      </c>
      <c r="W239" s="2"/>
    </row>
    <row r="240" spans="22:23" x14ac:dyDescent="0.25">
      <c r="V240" s="2">
        <v>0</v>
      </c>
      <c r="W240" s="2"/>
    </row>
    <row r="241" spans="22:23" x14ac:dyDescent="0.25">
      <c r="V241" s="2">
        <v>0</v>
      </c>
      <c r="W241" s="2"/>
    </row>
    <row r="242" spans="22:23" x14ac:dyDescent="0.25">
      <c r="V242" s="2">
        <v>0</v>
      </c>
      <c r="W242" s="2"/>
    </row>
    <row r="243" spans="22:23" x14ac:dyDescent="0.25">
      <c r="V243" s="2">
        <v>0</v>
      </c>
      <c r="W243" s="2"/>
    </row>
    <row r="244" spans="22:23" x14ac:dyDescent="0.25">
      <c r="V244" s="2">
        <v>0</v>
      </c>
      <c r="W244" s="2"/>
    </row>
    <row r="245" spans="22:23" x14ac:dyDescent="0.25">
      <c r="V245" s="2">
        <v>0</v>
      </c>
      <c r="W245" s="2"/>
    </row>
    <row r="246" spans="22:23" x14ac:dyDescent="0.25">
      <c r="V246" s="2">
        <v>0</v>
      </c>
      <c r="W246" s="2"/>
    </row>
    <row r="247" spans="22:23" x14ac:dyDescent="0.25">
      <c r="V247" s="2">
        <v>0</v>
      </c>
      <c r="W247" s="2"/>
    </row>
    <row r="248" spans="22:23" x14ac:dyDescent="0.25">
      <c r="V248" s="2">
        <v>0</v>
      </c>
      <c r="W248" s="2"/>
    </row>
    <row r="249" spans="22:23" x14ac:dyDescent="0.25">
      <c r="V249" s="2">
        <v>0</v>
      </c>
      <c r="W249" s="2"/>
    </row>
    <row r="250" spans="22:23" x14ac:dyDescent="0.25">
      <c r="V250" s="2">
        <v>0</v>
      </c>
      <c r="W250" s="2"/>
    </row>
    <row r="251" spans="22:23" x14ac:dyDescent="0.25">
      <c r="V251" s="2">
        <v>0</v>
      </c>
      <c r="W251" s="2"/>
    </row>
    <row r="252" spans="22:23" x14ac:dyDescent="0.25">
      <c r="V252" s="2">
        <v>0</v>
      </c>
      <c r="W252" s="2"/>
    </row>
    <row r="253" spans="22:23" x14ac:dyDescent="0.25">
      <c r="V253" s="2">
        <v>0</v>
      </c>
      <c r="W253" s="2"/>
    </row>
    <row r="254" spans="22:23" x14ac:dyDescent="0.25">
      <c r="V254" s="2">
        <v>0</v>
      </c>
      <c r="W254" s="2"/>
    </row>
    <row r="255" spans="22:23" x14ac:dyDescent="0.25">
      <c r="V255" s="2">
        <v>0</v>
      </c>
      <c r="W255" s="2"/>
    </row>
    <row r="256" spans="22:23" x14ac:dyDescent="0.25">
      <c r="V256" s="2">
        <v>0</v>
      </c>
      <c r="W256" s="2"/>
    </row>
    <row r="257" spans="22:23" x14ac:dyDescent="0.25">
      <c r="V257" s="2">
        <v>0</v>
      </c>
      <c r="W257" s="2"/>
    </row>
    <row r="258" spans="22:23" x14ac:dyDescent="0.25">
      <c r="V258" s="2">
        <v>0</v>
      </c>
      <c r="W258" s="2"/>
    </row>
    <row r="259" spans="22:23" x14ac:dyDescent="0.25">
      <c r="V259" s="2">
        <v>0</v>
      </c>
      <c r="W259" s="2"/>
    </row>
    <row r="260" spans="22:23" x14ac:dyDescent="0.25">
      <c r="V260" s="2">
        <v>0</v>
      </c>
      <c r="W260" s="2"/>
    </row>
    <row r="261" spans="22:23" x14ac:dyDescent="0.25">
      <c r="V261" s="2">
        <v>0</v>
      </c>
      <c r="W261" s="2"/>
    </row>
    <row r="262" spans="22:23" x14ac:dyDescent="0.25">
      <c r="V262" s="2">
        <v>0</v>
      </c>
      <c r="W262" s="2"/>
    </row>
    <row r="263" spans="22:23" x14ac:dyDescent="0.25">
      <c r="V263" s="2">
        <v>0</v>
      </c>
      <c r="W263" s="2"/>
    </row>
    <row r="264" spans="22:23" x14ac:dyDescent="0.25">
      <c r="V264" s="2">
        <v>0</v>
      </c>
      <c r="W264" s="2"/>
    </row>
    <row r="265" spans="22:23" x14ac:dyDescent="0.25">
      <c r="V265" s="2">
        <v>0</v>
      </c>
      <c r="W265" s="2"/>
    </row>
    <row r="266" spans="22:23" x14ac:dyDescent="0.25">
      <c r="V266" s="2">
        <v>0</v>
      </c>
      <c r="W266" s="2"/>
    </row>
    <row r="267" spans="22:23" x14ac:dyDescent="0.25">
      <c r="V267" s="2">
        <v>0</v>
      </c>
      <c r="W267" s="2"/>
    </row>
    <row r="268" spans="22:23" x14ac:dyDescent="0.25">
      <c r="V268" s="2">
        <v>0</v>
      </c>
      <c r="W268" s="2"/>
    </row>
    <row r="269" spans="22:23" x14ac:dyDescent="0.25">
      <c r="V269" s="2">
        <v>0</v>
      </c>
      <c r="W269" s="2"/>
    </row>
    <row r="270" spans="22:23" x14ac:dyDescent="0.25">
      <c r="V270" s="2">
        <v>0</v>
      </c>
      <c r="W270" s="2"/>
    </row>
    <row r="271" spans="22:23" x14ac:dyDescent="0.25">
      <c r="V271" s="2">
        <v>0</v>
      </c>
      <c r="W271" s="2"/>
    </row>
    <row r="272" spans="22:23" x14ac:dyDescent="0.25">
      <c r="V272" s="2">
        <v>0</v>
      </c>
      <c r="W272" s="2"/>
    </row>
    <row r="273" spans="22:23" x14ac:dyDescent="0.25">
      <c r="V273" s="2">
        <v>0</v>
      </c>
      <c r="W273" s="2"/>
    </row>
    <row r="274" spans="22:23" x14ac:dyDescent="0.25">
      <c r="V274" s="2">
        <v>0</v>
      </c>
      <c r="W274" s="2"/>
    </row>
    <row r="275" spans="22:23" x14ac:dyDescent="0.25">
      <c r="V275" s="2">
        <v>0</v>
      </c>
      <c r="W275" s="2"/>
    </row>
    <row r="276" spans="22:23" x14ac:dyDescent="0.25">
      <c r="V276" s="2">
        <v>0</v>
      </c>
      <c r="W276" s="2"/>
    </row>
    <row r="277" spans="22:23" x14ac:dyDescent="0.25">
      <c r="V277" s="2">
        <v>0</v>
      </c>
      <c r="W277" s="2"/>
    </row>
    <row r="278" spans="22:23" x14ac:dyDescent="0.25">
      <c r="V278" s="2">
        <v>0</v>
      </c>
      <c r="W278" s="2"/>
    </row>
    <row r="279" spans="22:23" x14ac:dyDescent="0.25">
      <c r="V279" s="2">
        <v>0</v>
      </c>
      <c r="W279" s="2"/>
    </row>
    <row r="280" spans="22:23" x14ac:dyDescent="0.25">
      <c r="V280" s="2">
        <v>0</v>
      </c>
      <c r="W280" s="2"/>
    </row>
    <row r="281" spans="22:23" x14ac:dyDescent="0.25">
      <c r="V281" s="2">
        <v>0</v>
      </c>
      <c r="W281" s="2"/>
    </row>
    <row r="282" spans="22:23" x14ac:dyDescent="0.25">
      <c r="V282" s="2">
        <v>0</v>
      </c>
      <c r="W282" s="2"/>
    </row>
    <row r="283" spans="22:23" x14ac:dyDescent="0.25">
      <c r="V283" s="2">
        <v>0</v>
      </c>
      <c r="W283" s="2"/>
    </row>
    <row r="284" spans="22:23" x14ac:dyDescent="0.25">
      <c r="V284" s="2">
        <v>0</v>
      </c>
      <c r="W284" s="2"/>
    </row>
    <row r="285" spans="22:23" x14ac:dyDescent="0.25">
      <c r="V285" s="2">
        <v>0</v>
      </c>
      <c r="W285" s="2"/>
    </row>
    <row r="286" spans="22:23" x14ac:dyDescent="0.25">
      <c r="V286" s="2">
        <v>0</v>
      </c>
      <c r="W286" s="2"/>
    </row>
    <row r="287" spans="22:23" x14ac:dyDescent="0.25">
      <c r="V287" s="2">
        <v>0</v>
      </c>
      <c r="W287" s="2"/>
    </row>
    <row r="288" spans="22:23" x14ac:dyDescent="0.25">
      <c r="V288" s="2">
        <v>0</v>
      </c>
      <c r="W288" s="2"/>
    </row>
    <row r="289" spans="22:23" x14ac:dyDescent="0.25">
      <c r="V289" s="2">
        <v>0</v>
      </c>
      <c r="W289" s="2"/>
    </row>
    <row r="290" spans="22:23" x14ac:dyDescent="0.25">
      <c r="V290" s="2">
        <v>0</v>
      </c>
      <c r="W290" s="2"/>
    </row>
    <row r="291" spans="22:23" x14ac:dyDescent="0.25">
      <c r="V291" s="2">
        <v>0</v>
      </c>
      <c r="W291" s="2"/>
    </row>
    <row r="292" spans="22:23" x14ac:dyDescent="0.25">
      <c r="V292" s="2">
        <v>0</v>
      </c>
      <c r="W292" s="2"/>
    </row>
    <row r="293" spans="22:23" x14ac:dyDescent="0.25">
      <c r="V293" s="2">
        <v>0</v>
      </c>
      <c r="W293" s="2"/>
    </row>
    <row r="294" spans="22:23" x14ac:dyDescent="0.25">
      <c r="V294" s="2">
        <v>0</v>
      </c>
      <c r="W294" s="2"/>
    </row>
    <row r="295" spans="22:23" x14ac:dyDescent="0.25">
      <c r="V295" s="2">
        <v>0</v>
      </c>
      <c r="W295" s="2"/>
    </row>
    <row r="296" spans="22:23" x14ac:dyDescent="0.25">
      <c r="V296" s="2">
        <v>0</v>
      </c>
      <c r="W296" s="2"/>
    </row>
    <row r="297" spans="22:23" x14ac:dyDescent="0.25">
      <c r="V297" s="2">
        <v>0</v>
      </c>
      <c r="W297" s="2"/>
    </row>
    <row r="298" spans="22:23" x14ac:dyDescent="0.25">
      <c r="V298" s="2">
        <v>0</v>
      </c>
      <c r="W298" s="2"/>
    </row>
    <row r="299" spans="22:23" x14ac:dyDescent="0.25">
      <c r="V299" s="2">
        <v>0</v>
      </c>
      <c r="W299" s="2"/>
    </row>
    <row r="300" spans="22:23" x14ac:dyDescent="0.25">
      <c r="V300" s="2">
        <v>0</v>
      </c>
      <c r="W300" s="2"/>
    </row>
    <row r="301" spans="22:23" x14ac:dyDescent="0.25">
      <c r="V301" s="2">
        <v>0</v>
      </c>
      <c r="W301" s="2"/>
    </row>
    <row r="302" spans="22:23" x14ac:dyDescent="0.25">
      <c r="V302" s="2">
        <v>0</v>
      </c>
      <c r="W302" s="2"/>
    </row>
    <row r="303" spans="22:23" x14ac:dyDescent="0.25">
      <c r="V303" s="2">
        <v>0</v>
      </c>
      <c r="W303" s="2"/>
    </row>
    <row r="304" spans="22:23" x14ac:dyDescent="0.25">
      <c r="V304" s="2">
        <v>0</v>
      </c>
      <c r="W304" s="2"/>
    </row>
    <row r="305" spans="22:23" x14ac:dyDescent="0.25">
      <c r="V305" s="2">
        <v>0</v>
      </c>
      <c r="W305" s="2"/>
    </row>
    <row r="306" spans="22:23" x14ac:dyDescent="0.25">
      <c r="V306" s="2">
        <v>0</v>
      </c>
      <c r="W306" s="2"/>
    </row>
    <row r="307" spans="22:23" x14ac:dyDescent="0.25">
      <c r="V307" s="2">
        <v>0</v>
      </c>
      <c r="W307" s="2"/>
    </row>
    <row r="308" spans="22:23" x14ac:dyDescent="0.25">
      <c r="V308" s="2">
        <v>0</v>
      </c>
      <c r="W308" s="2"/>
    </row>
    <row r="309" spans="22:23" x14ac:dyDescent="0.25">
      <c r="V309" s="2">
        <v>0</v>
      </c>
      <c r="W309" s="2"/>
    </row>
    <row r="310" spans="22:23" x14ac:dyDescent="0.25">
      <c r="V310" s="2">
        <v>0</v>
      </c>
      <c r="W310" s="2"/>
    </row>
    <row r="311" spans="22:23" x14ac:dyDescent="0.25">
      <c r="V311" s="2">
        <v>0</v>
      </c>
      <c r="W311" s="2"/>
    </row>
    <row r="312" spans="22:23" x14ac:dyDescent="0.25">
      <c r="V312" s="2">
        <v>0</v>
      </c>
      <c r="W312" s="2"/>
    </row>
    <row r="313" spans="22:23" x14ac:dyDescent="0.25">
      <c r="V313" s="2">
        <v>0</v>
      </c>
      <c r="W313" s="2"/>
    </row>
    <row r="314" spans="22:23" x14ac:dyDescent="0.25">
      <c r="V314" s="2">
        <v>0</v>
      </c>
      <c r="W314" s="2"/>
    </row>
    <row r="315" spans="22:23" x14ac:dyDescent="0.25">
      <c r="V315" s="2">
        <v>0</v>
      </c>
      <c r="W315" s="2"/>
    </row>
    <row r="316" spans="22:23" x14ac:dyDescent="0.25">
      <c r="V316" s="2">
        <v>0</v>
      </c>
      <c r="W316" s="2"/>
    </row>
    <row r="317" spans="22:23" x14ac:dyDescent="0.25">
      <c r="V317" s="2">
        <v>0</v>
      </c>
      <c r="W317" s="2"/>
    </row>
    <row r="318" spans="22:23" x14ac:dyDescent="0.25">
      <c r="V318" s="2">
        <v>0</v>
      </c>
      <c r="W318" s="2"/>
    </row>
    <row r="319" spans="22:23" x14ac:dyDescent="0.25">
      <c r="V319" s="2">
        <v>0</v>
      </c>
      <c r="W319" s="2"/>
    </row>
    <row r="320" spans="22:23" x14ac:dyDescent="0.25">
      <c r="V320" s="2">
        <v>0</v>
      </c>
      <c r="W320" s="2"/>
    </row>
    <row r="321" spans="22:23" x14ac:dyDescent="0.25">
      <c r="V321" s="2">
        <v>0</v>
      </c>
      <c r="W321" s="2"/>
    </row>
    <row r="322" spans="22:23" x14ac:dyDescent="0.25">
      <c r="V322" s="2">
        <v>0</v>
      </c>
      <c r="W322" s="2"/>
    </row>
    <row r="323" spans="22:23" x14ac:dyDescent="0.25">
      <c r="V323" s="2">
        <v>0</v>
      </c>
      <c r="W323" s="2"/>
    </row>
    <row r="324" spans="22:23" x14ac:dyDescent="0.25">
      <c r="V324" s="2">
        <v>0</v>
      </c>
      <c r="W324" s="2"/>
    </row>
    <row r="325" spans="22:23" x14ac:dyDescent="0.25">
      <c r="V325" s="2">
        <v>0</v>
      </c>
      <c r="W325" s="2"/>
    </row>
    <row r="326" spans="22:23" x14ac:dyDescent="0.25">
      <c r="V326" s="2">
        <v>0</v>
      </c>
      <c r="W326" s="2"/>
    </row>
    <row r="327" spans="22:23" x14ac:dyDescent="0.25">
      <c r="V327" s="2">
        <v>0</v>
      </c>
      <c r="W327" s="2"/>
    </row>
    <row r="328" spans="22:23" x14ac:dyDescent="0.25">
      <c r="V328" s="2">
        <v>0</v>
      </c>
      <c r="W328" s="2"/>
    </row>
    <row r="329" spans="22:23" x14ac:dyDescent="0.25">
      <c r="V329" s="2">
        <v>0</v>
      </c>
      <c r="W329" s="2"/>
    </row>
    <row r="330" spans="22:23" x14ac:dyDescent="0.25">
      <c r="V330" s="2">
        <v>0</v>
      </c>
      <c r="W330" s="2"/>
    </row>
    <row r="331" spans="22:23" x14ac:dyDescent="0.25">
      <c r="V331" s="2">
        <v>0</v>
      </c>
      <c r="W331" s="2"/>
    </row>
    <row r="332" spans="22:23" x14ac:dyDescent="0.25">
      <c r="V332" s="2">
        <v>0</v>
      </c>
      <c r="W332" s="2"/>
    </row>
    <row r="333" spans="22:23" x14ac:dyDescent="0.25">
      <c r="V333" s="2">
        <v>0</v>
      </c>
      <c r="W333" s="2"/>
    </row>
    <row r="334" spans="22:23" x14ac:dyDescent="0.25">
      <c r="V334" s="2">
        <v>0</v>
      </c>
      <c r="W334" s="2"/>
    </row>
    <row r="335" spans="22:23" x14ac:dyDescent="0.25">
      <c r="V335" s="2">
        <v>0</v>
      </c>
      <c r="W335" s="2"/>
    </row>
    <row r="336" spans="22:23" x14ac:dyDescent="0.25">
      <c r="V336" s="2">
        <v>0</v>
      </c>
      <c r="W336" s="2"/>
    </row>
    <row r="337" spans="22:23" x14ac:dyDescent="0.25">
      <c r="V337" s="2">
        <v>0</v>
      </c>
      <c r="W337" s="2"/>
    </row>
    <row r="338" spans="22:23" x14ac:dyDescent="0.25">
      <c r="V338" s="2">
        <v>0</v>
      </c>
      <c r="W338" s="2"/>
    </row>
    <row r="339" spans="22:23" x14ac:dyDescent="0.25">
      <c r="V339" s="2">
        <v>0</v>
      </c>
      <c r="W339" s="2"/>
    </row>
    <row r="340" spans="22:23" x14ac:dyDescent="0.25">
      <c r="V340" s="2">
        <v>0</v>
      </c>
      <c r="W340" s="2"/>
    </row>
    <row r="341" spans="22:23" x14ac:dyDescent="0.25">
      <c r="V341" s="2">
        <v>0</v>
      </c>
      <c r="W341" s="2"/>
    </row>
    <row r="342" spans="22:23" x14ac:dyDescent="0.25">
      <c r="V342" s="2">
        <v>0</v>
      </c>
      <c r="W342" s="2"/>
    </row>
    <row r="343" spans="22:23" x14ac:dyDescent="0.25">
      <c r="V343" s="2">
        <v>0</v>
      </c>
      <c r="W343" s="2"/>
    </row>
    <row r="344" spans="22:23" x14ac:dyDescent="0.25">
      <c r="V344" s="2">
        <v>0</v>
      </c>
      <c r="W344" s="2"/>
    </row>
    <row r="345" spans="22:23" x14ac:dyDescent="0.25">
      <c r="V345" s="2">
        <v>0</v>
      </c>
      <c r="W345" s="2"/>
    </row>
    <row r="346" spans="22:23" x14ac:dyDescent="0.25">
      <c r="V346" s="2">
        <v>0</v>
      </c>
      <c r="W346" s="2"/>
    </row>
    <row r="347" spans="22:23" x14ac:dyDescent="0.25">
      <c r="V347" s="2">
        <v>0</v>
      </c>
      <c r="W347" s="2"/>
    </row>
    <row r="348" spans="22:23" x14ac:dyDescent="0.25">
      <c r="V348" s="2">
        <v>0</v>
      </c>
      <c r="W348" s="2"/>
    </row>
    <row r="349" spans="22:23" x14ac:dyDescent="0.25">
      <c r="V349" s="2">
        <v>0</v>
      </c>
      <c r="W349" s="2"/>
    </row>
    <row r="350" spans="22:23" x14ac:dyDescent="0.25">
      <c r="V350" s="2">
        <v>0</v>
      </c>
      <c r="W350" s="2"/>
    </row>
    <row r="351" spans="22:23" x14ac:dyDescent="0.25">
      <c r="V351" s="2">
        <v>0</v>
      </c>
      <c r="W351" s="2"/>
    </row>
    <row r="352" spans="22:23" x14ac:dyDescent="0.25">
      <c r="V352" s="2">
        <v>0</v>
      </c>
      <c r="W352" s="2"/>
    </row>
    <row r="353" spans="22:23" x14ac:dyDescent="0.25">
      <c r="V353" s="2">
        <v>0</v>
      </c>
      <c r="W353" s="2"/>
    </row>
    <row r="354" spans="22:23" x14ac:dyDescent="0.25">
      <c r="V354" s="2">
        <v>0</v>
      </c>
      <c r="W354" s="2"/>
    </row>
    <row r="355" spans="22:23" x14ac:dyDescent="0.25">
      <c r="V355" s="2">
        <v>0</v>
      </c>
      <c r="W355" s="2"/>
    </row>
    <row r="356" spans="22:23" x14ac:dyDescent="0.25">
      <c r="V356" s="2">
        <v>0</v>
      </c>
      <c r="W356" s="2"/>
    </row>
    <row r="357" spans="22:23" x14ac:dyDescent="0.25">
      <c r="V357" s="2">
        <v>0</v>
      </c>
      <c r="W357" s="2"/>
    </row>
    <row r="358" spans="22:23" x14ac:dyDescent="0.25">
      <c r="V358" s="2">
        <v>0</v>
      </c>
      <c r="W358" s="2"/>
    </row>
    <row r="359" spans="22:23" x14ac:dyDescent="0.25">
      <c r="V359" s="2">
        <v>0</v>
      </c>
      <c r="W359" s="2"/>
    </row>
    <row r="360" spans="22:23" x14ac:dyDescent="0.25">
      <c r="V360" s="2">
        <v>0</v>
      </c>
      <c r="W360" s="2"/>
    </row>
    <row r="361" spans="22:23" x14ac:dyDescent="0.25">
      <c r="V361" s="2">
        <v>0</v>
      </c>
      <c r="W361" s="2"/>
    </row>
    <row r="362" spans="22:23" x14ac:dyDescent="0.25">
      <c r="V362" s="2">
        <v>0</v>
      </c>
      <c r="W362" s="2"/>
    </row>
    <row r="363" spans="22:23" x14ac:dyDescent="0.25">
      <c r="V363" s="2">
        <v>0</v>
      </c>
      <c r="W363" s="2"/>
    </row>
    <row r="364" spans="22:23" x14ac:dyDescent="0.25">
      <c r="V364" s="2">
        <v>0</v>
      </c>
      <c r="W364" s="2"/>
    </row>
    <row r="365" spans="22:23" x14ac:dyDescent="0.25">
      <c r="V365" s="2">
        <v>0</v>
      </c>
      <c r="W365" s="2"/>
    </row>
    <row r="366" spans="22:23" x14ac:dyDescent="0.25">
      <c r="V366" s="2">
        <v>0</v>
      </c>
      <c r="W366" s="2"/>
    </row>
    <row r="367" spans="22:23" x14ac:dyDescent="0.25">
      <c r="V367" s="2">
        <v>0</v>
      </c>
      <c r="W367" s="2"/>
    </row>
    <row r="368" spans="22:23" x14ac:dyDescent="0.25">
      <c r="V368" s="2">
        <v>0</v>
      </c>
      <c r="W368" s="2"/>
    </row>
    <row r="369" spans="22:23" x14ac:dyDescent="0.25">
      <c r="V369" s="2">
        <v>0</v>
      </c>
      <c r="W369" s="2"/>
    </row>
    <row r="370" spans="22:23" x14ac:dyDescent="0.25">
      <c r="V370" s="2">
        <v>0</v>
      </c>
      <c r="W370" s="2"/>
    </row>
    <row r="371" spans="22:23" x14ac:dyDescent="0.25">
      <c r="V371" s="2">
        <v>0</v>
      </c>
      <c r="W371" s="2"/>
    </row>
    <row r="372" spans="22:23" x14ac:dyDescent="0.25">
      <c r="V372" s="2">
        <v>0</v>
      </c>
      <c r="W372" s="2"/>
    </row>
    <row r="373" spans="22:23" x14ac:dyDescent="0.25">
      <c r="V373" s="2">
        <v>0</v>
      </c>
      <c r="W373" s="2"/>
    </row>
    <row r="374" spans="22:23" x14ac:dyDescent="0.25">
      <c r="V374" s="2">
        <v>0</v>
      </c>
      <c r="W374" s="2"/>
    </row>
    <row r="375" spans="22:23" x14ac:dyDescent="0.25">
      <c r="V375" s="2">
        <v>0</v>
      </c>
      <c r="W375" s="2"/>
    </row>
    <row r="376" spans="22:23" x14ac:dyDescent="0.25">
      <c r="V376" s="2">
        <v>0</v>
      </c>
      <c r="W376" s="2"/>
    </row>
    <row r="377" spans="22:23" x14ac:dyDescent="0.25">
      <c r="V377" s="2">
        <v>0</v>
      </c>
      <c r="W377" s="2"/>
    </row>
    <row r="378" spans="22:23" x14ac:dyDescent="0.25">
      <c r="V378" s="2">
        <v>0</v>
      </c>
      <c r="W378" s="2"/>
    </row>
    <row r="379" spans="22:23" x14ac:dyDescent="0.25">
      <c r="V379" s="2">
        <v>0</v>
      </c>
      <c r="W379" s="2"/>
    </row>
    <row r="380" spans="22:23" x14ac:dyDescent="0.25">
      <c r="V380" s="2">
        <v>0</v>
      </c>
      <c r="W380" s="2"/>
    </row>
    <row r="381" spans="22:23" x14ac:dyDescent="0.25">
      <c r="V381" s="2">
        <v>0</v>
      </c>
      <c r="W381" s="2"/>
    </row>
    <row r="382" spans="22:23" x14ac:dyDescent="0.25">
      <c r="V382" s="2">
        <v>0</v>
      </c>
      <c r="W382" s="2"/>
    </row>
    <row r="383" spans="22:23" x14ac:dyDescent="0.25">
      <c r="V383" s="2">
        <v>0</v>
      </c>
      <c r="W383" s="2"/>
    </row>
    <row r="384" spans="22:23" x14ac:dyDescent="0.25">
      <c r="V384" s="2">
        <v>0</v>
      </c>
      <c r="W384" s="2"/>
    </row>
    <row r="385" spans="22:23" x14ac:dyDescent="0.25">
      <c r="V385" s="2">
        <v>0</v>
      </c>
      <c r="W385" s="2"/>
    </row>
    <row r="386" spans="22:23" x14ac:dyDescent="0.25">
      <c r="V386" s="2">
        <v>0</v>
      </c>
      <c r="W386" s="2"/>
    </row>
    <row r="387" spans="22:23" x14ac:dyDescent="0.25">
      <c r="V387" s="2">
        <v>0</v>
      </c>
      <c r="W387" s="2"/>
    </row>
    <row r="388" spans="22:23" x14ac:dyDescent="0.25">
      <c r="V388" s="2">
        <v>0</v>
      </c>
      <c r="W388" s="2"/>
    </row>
    <row r="389" spans="22:23" x14ac:dyDescent="0.25">
      <c r="V389" s="2">
        <v>0</v>
      </c>
      <c r="W389" s="2"/>
    </row>
    <row r="390" spans="22:23" x14ac:dyDescent="0.25">
      <c r="V390" s="2">
        <v>0</v>
      </c>
      <c r="W390" s="2"/>
    </row>
    <row r="391" spans="22:23" x14ac:dyDescent="0.25">
      <c r="V391" s="2">
        <v>0</v>
      </c>
      <c r="W391" s="2"/>
    </row>
    <row r="392" spans="22:23" x14ac:dyDescent="0.25">
      <c r="V392" s="2">
        <v>0</v>
      </c>
      <c r="W392" s="2"/>
    </row>
    <row r="393" spans="22:23" x14ac:dyDescent="0.25">
      <c r="V393" s="2">
        <v>0</v>
      </c>
      <c r="W393" s="2"/>
    </row>
    <row r="394" spans="22:23" x14ac:dyDescent="0.25">
      <c r="V394" s="2">
        <v>0</v>
      </c>
      <c r="W394" s="2"/>
    </row>
    <row r="395" spans="22:23" x14ac:dyDescent="0.25">
      <c r="V395" s="2">
        <v>0</v>
      </c>
      <c r="W395" s="2"/>
    </row>
    <row r="396" spans="22:23" x14ac:dyDescent="0.25">
      <c r="V396" s="2">
        <v>0</v>
      </c>
      <c r="W396" s="2"/>
    </row>
    <row r="397" spans="22:23" x14ac:dyDescent="0.25">
      <c r="V397" s="2">
        <v>0</v>
      </c>
      <c r="W397" s="2"/>
    </row>
    <row r="398" spans="22:23" x14ac:dyDescent="0.25">
      <c r="V398" s="2">
        <v>0</v>
      </c>
      <c r="W398" s="2"/>
    </row>
    <row r="399" spans="22:23" x14ac:dyDescent="0.25">
      <c r="V399" s="2">
        <v>0</v>
      </c>
      <c r="W399" s="2"/>
    </row>
    <row r="400" spans="22:23" x14ac:dyDescent="0.25">
      <c r="V400" s="2">
        <v>0</v>
      </c>
      <c r="W400" s="2"/>
    </row>
    <row r="401" spans="22:23" x14ac:dyDescent="0.25">
      <c r="V401" s="2">
        <v>0</v>
      </c>
      <c r="W401" s="2"/>
    </row>
    <row r="402" spans="22:23" x14ac:dyDescent="0.25">
      <c r="V402" s="2">
        <v>0</v>
      </c>
      <c r="W402" s="2"/>
    </row>
    <row r="403" spans="22:23" x14ac:dyDescent="0.25">
      <c r="V403" s="2">
        <v>0</v>
      </c>
      <c r="W403" s="2"/>
    </row>
    <row r="404" spans="22:23" x14ac:dyDescent="0.25">
      <c r="V404" s="2">
        <v>0</v>
      </c>
      <c r="W404" s="2"/>
    </row>
    <row r="405" spans="22:23" x14ac:dyDescent="0.25">
      <c r="V405" s="2">
        <v>0</v>
      </c>
      <c r="W405" s="2"/>
    </row>
    <row r="406" spans="22:23" x14ac:dyDescent="0.25">
      <c r="V406" s="2">
        <v>0</v>
      </c>
      <c r="W406" s="2"/>
    </row>
    <row r="407" spans="22:23" x14ac:dyDescent="0.25">
      <c r="V407" s="2">
        <v>0</v>
      </c>
      <c r="W407" s="2"/>
    </row>
    <row r="408" spans="22:23" x14ac:dyDescent="0.25">
      <c r="V408" s="2">
        <v>0</v>
      </c>
      <c r="W408" s="2"/>
    </row>
    <row r="409" spans="22:23" x14ac:dyDescent="0.25">
      <c r="V409" s="2">
        <v>0</v>
      </c>
      <c r="W409" s="2"/>
    </row>
    <row r="410" spans="22:23" x14ac:dyDescent="0.25">
      <c r="V410" s="2">
        <v>0</v>
      </c>
      <c r="W410" s="2"/>
    </row>
    <row r="411" spans="22:23" x14ac:dyDescent="0.25">
      <c r="V411" s="2">
        <v>0</v>
      </c>
      <c r="W411" s="2"/>
    </row>
    <row r="412" spans="22:23" x14ac:dyDescent="0.25">
      <c r="V412" s="2">
        <v>0</v>
      </c>
      <c r="W412" s="2"/>
    </row>
    <row r="413" spans="22:23" x14ac:dyDescent="0.25">
      <c r="V413" s="2">
        <v>0</v>
      </c>
      <c r="W413" s="2"/>
    </row>
    <row r="414" spans="22:23" x14ac:dyDescent="0.25">
      <c r="V414" s="2">
        <v>0</v>
      </c>
      <c r="W414" s="2"/>
    </row>
    <row r="415" spans="22:23" x14ac:dyDescent="0.25">
      <c r="V415" s="2">
        <v>0</v>
      </c>
      <c r="W415" s="2"/>
    </row>
    <row r="416" spans="22:23" x14ac:dyDescent="0.25">
      <c r="V416" s="2">
        <v>0</v>
      </c>
      <c r="W416" s="2"/>
    </row>
    <row r="417" spans="22:23" x14ac:dyDescent="0.25">
      <c r="V417" s="2">
        <v>0</v>
      </c>
      <c r="W417" s="2"/>
    </row>
    <row r="418" spans="22:23" x14ac:dyDescent="0.25">
      <c r="V418" s="2">
        <v>0</v>
      </c>
      <c r="W418" s="2"/>
    </row>
    <row r="419" spans="22:23" x14ac:dyDescent="0.25">
      <c r="V419" s="2">
        <v>0</v>
      </c>
      <c r="W419" s="2"/>
    </row>
    <row r="420" spans="22:23" x14ac:dyDescent="0.25">
      <c r="V420" s="2">
        <v>0</v>
      </c>
      <c r="W420" s="2"/>
    </row>
    <row r="421" spans="22:23" x14ac:dyDescent="0.25">
      <c r="V421" s="2">
        <v>0</v>
      </c>
      <c r="W421" s="2"/>
    </row>
    <row r="422" spans="22:23" x14ac:dyDescent="0.25">
      <c r="V422" s="2">
        <v>0</v>
      </c>
      <c r="W422" s="2"/>
    </row>
    <row r="423" spans="22:23" x14ac:dyDescent="0.25">
      <c r="V423" s="2">
        <v>0</v>
      </c>
      <c r="W423" s="2"/>
    </row>
    <row r="424" spans="22:23" x14ac:dyDescent="0.25">
      <c r="V424" s="2">
        <v>0</v>
      </c>
      <c r="W424" s="2"/>
    </row>
    <row r="425" spans="22:23" x14ac:dyDescent="0.25">
      <c r="V425" s="2">
        <v>0</v>
      </c>
      <c r="W425" s="2"/>
    </row>
    <row r="426" spans="22:23" x14ac:dyDescent="0.25">
      <c r="V426" s="2">
        <v>0</v>
      </c>
      <c r="W426" s="2"/>
    </row>
    <row r="427" spans="22:23" x14ac:dyDescent="0.25">
      <c r="V427" s="2">
        <v>0</v>
      </c>
      <c r="W427" s="2"/>
    </row>
    <row r="428" spans="22:23" x14ac:dyDescent="0.25">
      <c r="V428" s="2">
        <v>0</v>
      </c>
      <c r="W428" s="2"/>
    </row>
    <row r="429" spans="22:23" x14ac:dyDescent="0.25">
      <c r="V429" s="2">
        <v>0</v>
      </c>
      <c r="W429" s="2"/>
    </row>
    <row r="430" spans="22:23" x14ac:dyDescent="0.25">
      <c r="V430" s="2">
        <v>0</v>
      </c>
      <c r="W430" s="2"/>
    </row>
    <row r="431" spans="22:23" x14ac:dyDescent="0.25">
      <c r="V431" s="2">
        <v>0</v>
      </c>
      <c r="W431" s="2"/>
    </row>
    <row r="432" spans="22:23" x14ac:dyDescent="0.25">
      <c r="V432" s="2">
        <v>0</v>
      </c>
      <c r="W432" s="2"/>
    </row>
    <row r="433" spans="22:23" x14ac:dyDescent="0.25">
      <c r="V433" s="2">
        <v>0</v>
      </c>
      <c r="W433" s="2"/>
    </row>
    <row r="434" spans="22:23" x14ac:dyDescent="0.25">
      <c r="V434" s="2">
        <v>0</v>
      </c>
      <c r="W434" s="2"/>
    </row>
    <row r="435" spans="22:23" x14ac:dyDescent="0.25">
      <c r="V435" s="2">
        <v>0</v>
      </c>
      <c r="W435" s="2"/>
    </row>
    <row r="436" spans="22:23" x14ac:dyDescent="0.25">
      <c r="V436" s="2">
        <v>0</v>
      </c>
      <c r="W436" s="2"/>
    </row>
    <row r="437" spans="22:23" x14ac:dyDescent="0.25">
      <c r="V437" s="2">
        <v>0</v>
      </c>
      <c r="W437" s="2"/>
    </row>
    <row r="438" spans="22:23" x14ac:dyDescent="0.25">
      <c r="V438" s="2">
        <v>0</v>
      </c>
      <c r="W438" s="2"/>
    </row>
    <row r="439" spans="22:23" x14ac:dyDescent="0.25">
      <c r="V439" s="2">
        <v>0</v>
      </c>
      <c r="W439" s="2"/>
    </row>
    <row r="440" spans="22:23" x14ac:dyDescent="0.25">
      <c r="V440" s="2">
        <v>0</v>
      </c>
      <c r="W440" s="2"/>
    </row>
    <row r="441" spans="22:23" x14ac:dyDescent="0.25">
      <c r="V441" s="2">
        <v>0</v>
      </c>
      <c r="W441" s="2"/>
    </row>
    <row r="442" spans="22:23" x14ac:dyDescent="0.25">
      <c r="V442" s="2">
        <v>0</v>
      </c>
      <c r="W442" s="2"/>
    </row>
    <row r="443" spans="22:23" x14ac:dyDescent="0.25">
      <c r="V443" s="2">
        <v>0</v>
      </c>
      <c r="W443" s="2"/>
    </row>
    <row r="444" spans="22:23" x14ac:dyDescent="0.25">
      <c r="V444" s="2">
        <v>0</v>
      </c>
      <c r="W444" s="2"/>
    </row>
    <row r="445" spans="22:23" x14ac:dyDescent="0.25">
      <c r="V445" s="2">
        <v>0</v>
      </c>
      <c r="W445" s="2"/>
    </row>
    <row r="446" spans="22:23" x14ac:dyDescent="0.25">
      <c r="V446" s="2">
        <v>0</v>
      </c>
      <c r="W446" s="2"/>
    </row>
    <row r="447" spans="22:23" x14ac:dyDescent="0.25">
      <c r="V447" s="2">
        <v>0</v>
      </c>
      <c r="W447" s="2"/>
    </row>
    <row r="448" spans="22:23" x14ac:dyDescent="0.25">
      <c r="V448" s="2">
        <v>0</v>
      </c>
      <c r="W448" s="2"/>
    </row>
    <row r="449" spans="22:23" x14ac:dyDescent="0.25">
      <c r="V449" s="2">
        <v>0</v>
      </c>
      <c r="W449" s="2"/>
    </row>
    <row r="450" spans="22:23" x14ac:dyDescent="0.25">
      <c r="V450" s="2">
        <v>0</v>
      </c>
      <c r="W450" s="2"/>
    </row>
    <row r="451" spans="22:23" x14ac:dyDescent="0.25">
      <c r="V451" s="2">
        <v>0</v>
      </c>
      <c r="W451" s="2"/>
    </row>
    <row r="452" spans="22:23" x14ac:dyDescent="0.25">
      <c r="V452" s="2">
        <v>0</v>
      </c>
      <c r="W452" s="2"/>
    </row>
    <row r="453" spans="22:23" x14ac:dyDescent="0.25">
      <c r="V453" s="2">
        <v>0</v>
      </c>
      <c r="W453" s="2"/>
    </row>
    <row r="454" spans="22:23" x14ac:dyDescent="0.25">
      <c r="V454" s="2">
        <v>0</v>
      </c>
      <c r="W454" s="2"/>
    </row>
    <row r="455" spans="22:23" x14ac:dyDescent="0.25">
      <c r="V455" s="2">
        <v>0</v>
      </c>
      <c r="W455" s="2"/>
    </row>
    <row r="456" spans="22:23" x14ac:dyDescent="0.25">
      <c r="V456" s="2">
        <v>0</v>
      </c>
      <c r="W456" s="2"/>
    </row>
    <row r="457" spans="22:23" x14ac:dyDescent="0.25">
      <c r="V457" s="2">
        <v>0</v>
      </c>
      <c r="W457" s="2"/>
    </row>
    <row r="458" spans="22:23" x14ac:dyDescent="0.25">
      <c r="V458" s="2">
        <v>0</v>
      </c>
      <c r="W458" s="2"/>
    </row>
    <row r="459" spans="22:23" x14ac:dyDescent="0.25">
      <c r="V459" s="2">
        <v>0</v>
      </c>
      <c r="W459" s="2"/>
    </row>
    <row r="460" spans="22:23" x14ac:dyDescent="0.25">
      <c r="V460" s="2">
        <v>0</v>
      </c>
      <c r="W460" s="2"/>
    </row>
    <row r="461" spans="22:23" x14ac:dyDescent="0.25">
      <c r="V461" s="2">
        <v>0</v>
      </c>
      <c r="W461" s="2"/>
    </row>
    <row r="462" spans="22:23" x14ac:dyDescent="0.25">
      <c r="V462" s="2">
        <v>0</v>
      </c>
      <c r="W462" s="2"/>
    </row>
    <row r="463" spans="22:23" x14ac:dyDescent="0.25">
      <c r="V463" s="2">
        <v>0</v>
      </c>
      <c r="W463" s="2"/>
    </row>
    <row r="464" spans="22:23" x14ac:dyDescent="0.25">
      <c r="V464" s="2">
        <v>0</v>
      </c>
      <c r="W464" s="2"/>
    </row>
    <row r="465" spans="22:23" x14ac:dyDescent="0.25">
      <c r="V465" s="2">
        <v>0</v>
      </c>
      <c r="W465" s="2"/>
    </row>
    <row r="466" spans="22:23" x14ac:dyDescent="0.25">
      <c r="V466" s="2">
        <v>0</v>
      </c>
      <c r="W466" s="2"/>
    </row>
    <row r="467" spans="22:23" x14ac:dyDescent="0.25">
      <c r="V467" s="2">
        <v>0</v>
      </c>
      <c r="W467" s="2"/>
    </row>
    <row r="468" spans="22:23" x14ac:dyDescent="0.25">
      <c r="V468" s="2">
        <v>0</v>
      </c>
      <c r="W468" s="2"/>
    </row>
    <row r="469" spans="22:23" x14ac:dyDescent="0.25">
      <c r="V469" s="2">
        <v>0</v>
      </c>
      <c r="W469" s="2"/>
    </row>
    <row r="470" spans="22:23" x14ac:dyDescent="0.25">
      <c r="V470" s="2">
        <v>0</v>
      </c>
      <c r="W470" s="2"/>
    </row>
    <row r="471" spans="22:23" x14ac:dyDescent="0.25">
      <c r="V471" s="2">
        <v>0</v>
      </c>
      <c r="W471" s="2"/>
    </row>
    <row r="472" spans="22:23" x14ac:dyDescent="0.25">
      <c r="V472" s="2">
        <v>0</v>
      </c>
      <c r="W472" s="2"/>
    </row>
    <row r="473" spans="22:23" x14ac:dyDescent="0.25">
      <c r="V473" s="2">
        <v>0</v>
      </c>
      <c r="W473" s="2"/>
    </row>
    <row r="474" spans="22:23" x14ac:dyDescent="0.25">
      <c r="V474" s="2">
        <v>0</v>
      </c>
      <c r="W474" s="2"/>
    </row>
    <row r="475" spans="22:23" x14ac:dyDescent="0.25">
      <c r="V475" s="2">
        <v>0</v>
      </c>
      <c r="W475" s="2"/>
    </row>
    <row r="476" spans="22:23" x14ac:dyDescent="0.25">
      <c r="V476" s="2">
        <v>0</v>
      </c>
      <c r="W476" s="2"/>
    </row>
    <row r="477" spans="22:23" x14ac:dyDescent="0.25">
      <c r="V477" s="2">
        <v>0</v>
      </c>
      <c r="W477" s="2"/>
    </row>
    <row r="478" spans="22:23" x14ac:dyDescent="0.25">
      <c r="V478" s="2">
        <v>0</v>
      </c>
      <c r="W478" s="2"/>
    </row>
    <row r="479" spans="22:23" x14ac:dyDescent="0.25">
      <c r="V479" s="2">
        <v>0</v>
      </c>
      <c r="W479" s="2"/>
    </row>
    <row r="480" spans="22:23" x14ac:dyDescent="0.25">
      <c r="V480" s="2">
        <v>0</v>
      </c>
      <c r="W480" s="2"/>
    </row>
    <row r="481" spans="22:23" x14ac:dyDescent="0.25">
      <c r="V481" s="2">
        <v>0</v>
      </c>
      <c r="W481" s="2"/>
    </row>
    <row r="482" spans="22:23" x14ac:dyDescent="0.25">
      <c r="V482" s="2">
        <v>0</v>
      </c>
      <c r="W482" s="2"/>
    </row>
    <row r="483" spans="22:23" x14ac:dyDescent="0.25">
      <c r="V483" s="2">
        <v>0</v>
      </c>
      <c r="W483" s="2"/>
    </row>
    <row r="484" spans="22:23" x14ac:dyDescent="0.25">
      <c r="V484" s="2">
        <v>0</v>
      </c>
      <c r="W484" s="2"/>
    </row>
    <row r="485" spans="22:23" x14ac:dyDescent="0.25">
      <c r="V485" s="2">
        <v>0</v>
      </c>
      <c r="W485" s="2"/>
    </row>
    <row r="486" spans="22:23" x14ac:dyDescent="0.25">
      <c r="V486" s="2">
        <v>0</v>
      </c>
      <c r="W486" s="2"/>
    </row>
    <row r="487" spans="22:23" x14ac:dyDescent="0.25">
      <c r="V487" s="2">
        <v>0</v>
      </c>
      <c r="W487" s="2"/>
    </row>
    <row r="488" spans="22:23" x14ac:dyDescent="0.25">
      <c r="V488" s="2">
        <v>0</v>
      </c>
      <c r="W488" s="2"/>
    </row>
    <row r="489" spans="22:23" x14ac:dyDescent="0.25">
      <c r="V489" s="2">
        <v>0</v>
      </c>
      <c r="W489" s="2"/>
    </row>
    <row r="490" spans="22:23" x14ac:dyDescent="0.25">
      <c r="V490" s="2">
        <v>0</v>
      </c>
      <c r="W490" s="2"/>
    </row>
    <row r="491" spans="22:23" x14ac:dyDescent="0.25">
      <c r="V491" s="2">
        <v>0</v>
      </c>
      <c r="W491" s="2"/>
    </row>
    <row r="492" spans="22:23" x14ac:dyDescent="0.25">
      <c r="V492" s="2">
        <v>0</v>
      </c>
      <c r="W492" s="2"/>
    </row>
    <row r="493" spans="22:23" x14ac:dyDescent="0.25">
      <c r="V493" s="2">
        <v>0</v>
      </c>
      <c r="W493" s="2"/>
    </row>
    <row r="494" spans="22:23" x14ac:dyDescent="0.25">
      <c r="V494" s="2">
        <v>0</v>
      </c>
      <c r="W494" s="2"/>
    </row>
    <row r="495" spans="22:23" x14ac:dyDescent="0.25">
      <c r="V495" s="2">
        <v>0</v>
      </c>
      <c r="W495" s="2"/>
    </row>
    <row r="496" spans="22:23" x14ac:dyDescent="0.25">
      <c r="V496" s="2">
        <v>0</v>
      </c>
      <c r="W496" s="2"/>
    </row>
    <row r="497" spans="22:23" x14ac:dyDescent="0.25">
      <c r="V497" s="2">
        <v>0</v>
      </c>
      <c r="W497" s="2"/>
    </row>
    <row r="498" spans="22:23" x14ac:dyDescent="0.25">
      <c r="V498" s="2">
        <v>0</v>
      </c>
      <c r="W498" s="2"/>
    </row>
    <row r="499" spans="22:23" x14ac:dyDescent="0.25">
      <c r="V499" s="2">
        <v>0</v>
      </c>
      <c r="W499" s="2"/>
    </row>
    <row r="500" spans="22:23" x14ac:dyDescent="0.25">
      <c r="V500" s="2">
        <v>0</v>
      </c>
      <c r="W500" s="2"/>
    </row>
    <row r="501" spans="22:23" x14ac:dyDescent="0.25">
      <c r="V501" s="2">
        <v>0</v>
      </c>
      <c r="W501" s="2"/>
    </row>
    <row r="502" spans="22:23" x14ac:dyDescent="0.25">
      <c r="V502" s="2">
        <v>0</v>
      </c>
      <c r="W502" s="2"/>
    </row>
    <row r="503" spans="22:23" x14ac:dyDescent="0.25">
      <c r="V503" s="2">
        <v>0</v>
      </c>
      <c r="W503" s="2"/>
    </row>
    <row r="504" spans="22:23" x14ac:dyDescent="0.25">
      <c r="V504" s="2">
        <v>0</v>
      </c>
      <c r="W504" s="2"/>
    </row>
    <row r="505" spans="22:23" x14ac:dyDescent="0.25">
      <c r="V505" s="2">
        <v>0</v>
      </c>
      <c r="W505" s="2"/>
    </row>
    <row r="506" spans="22:23" x14ac:dyDescent="0.25">
      <c r="V506" s="2">
        <v>0</v>
      </c>
      <c r="W506" s="2"/>
    </row>
    <row r="507" spans="22:23" x14ac:dyDescent="0.25">
      <c r="V507" s="2">
        <v>0</v>
      </c>
      <c r="W507" s="2"/>
    </row>
    <row r="508" spans="22:23" x14ac:dyDescent="0.25">
      <c r="V508" s="2">
        <v>0</v>
      </c>
      <c r="W508" s="2"/>
    </row>
    <row r="509" spans="22:23" x14ac:dyDescent="0.25">
      <c r="V509" s="2">
        <v>0</v>
      </c>
      <c r="W509" s="2"/>
    </row>
    <row r="510" spans="22:23" x14ac:dyDescent="0.25">
      <c r="V510" s="2">
        <v>0</v>
      </c>
      <c r="W510" s="2"/>
    </row>
    <row r="511" spans="22:23" x14ac:dyDescent="0.25">
      <c r="V511" s="2">
        <v>0</v>
      </c>
      <c r="W511" s="2"/>
    </row>
    <row r="512" spans="22:23" x14ac:dyDescent="0.25">
      <c r="V512" s="2">
        <v>0</v>
      </c>
      <c r="W512" s="2"/>
    </row>
    <row r="513" spans="22:23" x14ac:dyDescent="0.25">
      <c r="V513" s="2">
        <v>0</v>
      </c>
      <c r="W513" s="2"/>
    </row>
    <row r="514" spans="22:23" x14ac:dyDescent="0.25">
      <c r="V514" s="2">
        <v>0</v>
      </c>
      <c r="W514" s="2"/>
    </row>
    <row r="515" spans="22:23" x14ac:dyDescent="0.25">
      <c r="V515" s="2">
        <v>0</v>
      </c>
      <c r="W515" s="2"/>
    </row>
    <row r="516" spans="22:23" x14ac:dyDescent="0.25">
      <c r="V516" s="2">
        <v>0</v>
      </c>
      <c r="W516" s="2"/>
    </row>
    <row r="517" spans="22:23" x14ac:dyDescent="0.25">
      <c r="V517" s="2">
        <v>0</v>
      </c>
      <c r="W517" s="2"/>
    </row>
    <row r="518" spans="22:23" x14ac:dyDescent="0.25">
      <c r="V518" s="2">
        <v>0</v>
      </c>
      <c r="W518" s="2"/>
    </row>
    <row r="519" spans="22:23" x14ac:dyDescent="0.25">
      <c r="V519" s="2">
        <v>0</v>
      </c>
      <c r="W519" s="2"/>
    </row>
    <row r="520" spans="22:23" x14ac:dyDescent="0.25">
      <c r="V520" s="2">
        <v>0</v>
      </c>
      <c r="W520" s="2"/>
    </row>
    <row r="521" spans="22:23" x14ac:dyDescent="0.25">
      <c r="V521" s="2">
        <v>0</v>
      </c>
      <c r="W521" s="2"/>
    </row>
    <row r="522" spans="22:23" x14ac:dyDescent="0.25">
      <c r="V522" s="2">
        <v>0</v>
      </c>
      <c r="W522" s="2"/>
    </row>
    <row r="523" spans="22:23" x14ac:dyDescent="0.25">
      <c r="V523" s="2">
        <v>0</v>
      </c>
      <c r="W523" s="2"/>
    </row>
    <row r="524" spans="22:23" x14ac:dyDescent="0.25">
      <c r="V524" s="2">
        <v>0</v>
      </c>
      <c r="W524" s="2"/>
    </row>
    <row r="525" spans="22:23" x14ac:dyDescent="0.25">
      <c r="V525" s="2">
        <v>0</v>
      </c>
      <c r="W525" s="2"/>
    </row>
    <row r="526" spans="22:23" x14ac:dyDescent="0.25">
      <c r="V526" s="2">
        <v>0</v>
      </c>
      <c r="W526" s="2"/>
    </row>
    <row r="527" spans="22:23" x14ac:dyDescent="0.25">
      <c r="V527" s="2">
        <v>0</v>
      </c>
      <c r="W527" s="2"/>
    </row>
    <row r="528" spans="22:23" x14ac:dyDescent="0.25">
      <c r="V528" s="2">
        <v>0</v>
      </c>
      <c r="W528" s="2"/>
    </row>
    <row r="529" spans="22:23" x14ac:dyDescent="0.25">
      <c r="V529" s="2">
        <v>0</v>
      </c>
      <c r="W529" s="2"/>
    </row>
    <row r="530" spans="22:23" x14ac:dyDescent="0.25">
      <c r="V530" s="2">
        <v>0</v>
      </c>
      <c r="W530" s="2"/>
    </row>
    <row r="531" spans="22:23" x14ac:dyDescent="0.25">
      <c r="V531" s="2">
        <v>0</v>
      </c>
      <c r="W531" s="2"/>
    </row>
    <row r="532" spans="22:23" x14ac:dyDescent="0.25">
      <c r="V532" s="2">
        <v>0</v>
      </c>
      <c r="W532" s="2"/>
    </row>
    <row r="533" spans="22:23" x14ac:dyDescent="0.25">
      <c r="V533" s="2">
        <v>0</v>
      </c>
      <c r="W533" s="2"/>
    </row>
    <row r="534" spans="22:23" x14ac:dyDescent="0.25">
      <c r="V534" s="2">
        <v>0</v>
      </c>
      <c r="W534" s="2"/>
    </row>
    <row r="535" spans="22:23" x14ac:dyDescent="0.25">
      <c r="V535" s="2">
        <v>0</v>
      </c>
      <c r="W535" s="2"/>
    </row>
    <row r="536" spans="22:23" x14ac:dyDescent="0.25">
      <c r="V536" s="2">
        <v>0</v>
      </c>
      <c r="W536" s="2"/>
    </row>
    <row r="537" spans="22:23" x14ac:dyDescent="0.25">
      <c r="V537" s="2">
        <v>0</v>
      </c>
      <c r="W537" s="2"/>
    </row>
    <row r="538" spans="22:23" x14ac:dyDescent="0.25">
      <c r="V538" s="2">
        <v>0</v>
      </c>
      <c r="W538" s="2"/>
    </row>
    <row r="539" spans="22:23" x14ac:dyDescent="0.25">
      <c r="V539" s="2">
        <v>0</v>
      </c>
      <c r="W539" s="2"/>
    </row>
    <row r="540" spans="22:23" x14ac:dyDescent="0.25">
      <c r="V540" s="2">
        <v>0</v>
      </c>
      <c r="W540" s="2"/>
    </row>
    <row r="541" spans="22:23" x14ac:dyDescent="0.25">
      <c r="V541" s="2">
        <v>0</v>
      </c>
      <c r="W541" s="2"/>
    </row>
    <row r="542" spans="22:23" x14ac:dyDescent="0.25">
      <c r="V542" s="2">
        <v>0</v>
      </c>
      <c r="W542" s="2"/>
    </row>
    <row r="543" spans="22:23" x14ac:dyDescent="0.25">
      <c r="V543" s="2">
        <v>0</v>
      </c>
      <c r="W543" s="2"/>
    </row>
    <row r="544" spans="22:23" x14ac:dyDescent="0.25">
      <c r="V544" s="2">
        <v>0</v>
      </c>
      <c r="W544" s="2"/>
    </row>
    <row r="545" spans="22:23" x14ac:dyDescent="0.25">
      <c r="V545" s="2">
        <v>0</v>
      </c>
      <c r="W545" s="2"/>
    </row>
    <row r="546" spans="22:23" x14ac:dyDescent="0.25">
      <c r="V546" s="2">
        <v>0</v>
      </c>
      <c r="W546" s="2"/>
    </row>
    <row r="547" spans="22:23" x14ac:dyDescent="0.25">
      <c r="V547" s="2">
        <v>0</v>
      </c>
      <c r="W547" s="2"/>
    </row>
    <row r="548" spans="22:23" x14ac:dyDescent="0.25">
      <c r="V548" s="2">
        <v>0</v>
      </c>
      <c r="W548" s="2"/>
    </row>
    <row r="549" spans="22:23" x14ac:dyDescent="0.25">
      <c r="V549" s="2">
        <v>0</v>
      </c>
      <c r="W549" s="2"/>
    </row>
    <row r="550" spans="22:23" x14ac:dyDescent="0.25">
      <c r="V550" s="2">
        <v>0</v>
      </c>
      <c r="W550" s="2"/>
    </row>
    <row r="551" spans="22:23" x14ac:dyDescent="0.25">
      <c r="V551" s="2">
        <v>0</v>
      </c>
      <c r="W551" s="2"/>
    </row>
    <row r="552" spans="22:23" x14ac:dyDescent="0.25">
      <c r="V552" s="2">
        <v>0</v>
      </c>
      <c r="W552" s="2"/>
    </row>
    <row r="553" spans="22:23" x14ac:dyDescent="0.25">
      <c r="V553" s="2">
        <v>0</v>
      </c>
      <c r="W553" s="2"/>
    </row>
    <row r="554" spans="22:23" x14ac:dyDescent="0.25">
      <c r="V554" s="2">
        <v>0</v>
      </c>
      <c r="W554" s="2"/>
    </row>
    <row r="555" spans="22:23" x14ac:dyDescent="0.25">
      <c r="V555" s="2">
        <v>0</v>
      </c>
      <c r="W555" s="2"/>
    </row>
    <row r="556" spans="22:23" x14ac:dyDescent="0.25">
      <c r="V556" s="2">
        <v>0</v>
      </c>
      <c r="W556" s="2"/>
    </row>
    <row r="557" spans="22:23" x14ac:dyDescent="0.25">
      <c r="V557" s="2">
        <v>0</v>
      </c>
      <c r="W557" s="2"/>
    </row>
    <row r="558" spans="22:23" x14ac:dyDescent="0.25">
      <c r="V558" s="2">
        <v>0</v>
      </c>
      <c r="W558" s="2"/>
    </row>
    <row r="559" spans="22:23" x14ac:dyDescent="0.25">
      <c r="V559" s="2">
        <v>0</v>
      </c>
      <c r="W559" s="2"/>
    </row>
    <row r="560" spans="22:23" x14ac:dyDescent="0.25">
      <c r="V560" s="2">
        <v>0</v>
      </c>
      <c r="W560" s="2"/>
    </row>
    <row r="561" spans="22:23" x14ac:dyDescent="0.25">
      <c r="V561" s="2">
        <v>0</v>
      </c>
      <c r="W561" s="2"/>
    </row>
    <row r="562" spans="22:23" x14ac:dyDescent="0.25">
      <c r="V562" s="2">
        <v>0</v>
      </c>
      <c r="W562" s="2"/>
    </row>
    <row r="563" spans="22:23" x14ac:dyDescent="0.25">
      <c r="V563" s="2">
        <v>0</v>
      </c>
      <c r="W563" s="2"/>
    </row>
    <row r="564" spans="22:23" x14ac:dyDescent="0.25">
      <c r="V564" s="2">
        <v>0</v>
      </c>
      <c r="W564" s="2"/>
    </row>
    <row r="565" spans="22:23" x14ac:dyDescent="0.25">
      <c r="V565" s="2">
        <v>0</v>
      </c>
      <c r="W565" s="2"/>
    </row>
    <row r="566" spans="22:23" x14ac:dyDescent="0.25">
      <c r="V566" s="2">
        <v>0</v>
      </c>
      <c r="W566" s="2"/>
    </row>
    <row r="567" spans="22:23" x14ac:dyDescent="0.25">
      <c r="V567" s="2">
        <v>0</v>
      </c>
      <c r="W567" s="2"/>
    </row>
    <row r="568" spans="22:23" x14ac:dyDescent="0.25">
      <c r="V568" s="2">
        <v>0</v>
      </c>
      <c r="W568" s="2"/>
    </row>
    <row r="569" spans="22:23" x14ac:dyDescent="0.25">
      <c r="V569" s="2">
        <v>0</v>
      </c>
      <c r="W569" s="2"/>
    </row>
    <row r="570" spans="22:23" x14ac:dyDescent="0.25">
      <c r="V570" s="2">
        <v>0</v>
      </c>
      <c r="W570" s="2"/>
    </row>
    <row r="571" spans="22:23" x14ac:dyDescent="0.25">
      <c r="V571" s="2">
        <v>0</v>
      </c>
      <c r="W571" s="2"/>
    </row>
    <row r="572" spans="22:23" x14ac:dyDescent="0.25">
      <c r="V572" s="2">
        <v>0</v>
      </c>
      <c r="W572" s="2"/>
    </row>
    <row r="573" spans="22:23" x14ac:dyDescent="0.25">
      <c r="V573" s="2">
        <v>0</v>
      </c>
      <c r="W573" s="2"/>
    </row>
    <row r="574" spans="22:23" x14ac:dyDescent="0.25">
      <c r="V574" s="2">
        <v>0</v>
      </c>
      <c r="W574" s="2"/>
    </row>
    <row r="575" spans="22:23" x14ac:dyDescent="0.25">
      <c r="V575" s="2">
        <v>0</v>
      </c>
      <c r="W575" s="2"/>
    </row>
    <row r="576" spans="22:23" x14ac:dyDescent="0.25">
      <c r="V576" s="2">
        <v>0</v>
      </c>
      <c r="W576" s="2"/>
    </row>
    <row r="577" spans="22:23" x14ac:dyDescent="0.25">
      <c r="V577" s="2">
        <v>0</v>
      </c>
      <c r="W577" s="2"/>
    </row>
    <row r="578" spans="22:23" x14ac:dyDescent="0.25">
      <c r="V578" s="2">
        <v>0</v>
      </c>
      <c r="W578" s="2"/>
    </row>
    <row r="579" spans="22:23" x14ac:dyDescent="0.25">
      <c r="V579" s="2">
        <v>0</v>
      </c>
      <c r="W579" s="2"/>
    </row>
    <row r="580" spans="22:23" x14ac:dyDescent="0.25">
      <c r="V580" s="2">
        <v>0</v>
      </c>
      <c r="W580" s="2"/>
    </row>
    <row r="581" spans="22:23" x14ac:dyDescent="0.25">
      <c r="V581" s="2">
        <v>0</v>
      </c>
      <c r="W581" s="2"/>
    </row>
    <row r="582" spans="22:23" x14ac:dyDescent="0.25">
      <c r="V582" s="2">
        <v>0</v>
      </c>
      <c r="W582" s="2"/>
    </row>
    <row r="583" spans="22:23" x14ac:dyDescent="0.25">
      <c r="V583" s="2">
        <v>0</v>
      </c>
      <c r="W583" s="2"/>
    </row>
    <row r="584" spans="22:23" x14ac:dyDescent="0.25">
      <c r="V584" s="2">
        <v>0</v>
      </c>
      <c r="W584" s="2"/>
    </row>
    <row r="585" spans="22:23" x14ac:dyDescent="0.25">
      <c r="V585" s="2">
        <v>0</v>
      </c>
      <c r="W585" s="2"/>
    </row>
    <row r="586" spans="22:23" x14ac:dyDescent="0.25">
      <c r="V586" s="2">
        <v>0</v>
      </c>
      <c r="W586" s="2"/>
    </row>
    <row r="587" spans="22:23" x14ac:dyDescent="0.25">
      <c r="V587" s="2">
        <v>0</v>
      </c>
      <c r="W587" s="2"/>
    </row>
    <row r="588" spans="22:23" x14ac:dyDescent="0.25">
      <c r="V588" s="2">
        <v>0</v>
      </c>
      <c r="W588" s="2"/>
    </row>
    <row r="589" spans="22:23" x14ac:dyDescent="0.25">
      <c r="V589" s="2">
        <v>0</v>
      </c>
      <c r="W589" s="2"/>
    </row>
    <row r="590" spans="22:23" x14ac:dyDescent="0.25">
      <c r="V590" s="2">
        <v>0</v>
      </c>
      <c r="W590" s="2"/>
    </row>
    <row r="591" spans="22:23" x14ac:dyDescent="0.25">
      <c r="V591" s="2">
        <v>0</v>
      </c>
      <c r="W591" s="2"/>
    </row>
    <row r="592" spans="22:23" x14ac:dyDescent="0.25">
      <c r="V592" s="2">
        <v>0</v>
      </c>
      <c r="W592" s="2"/>
    </row>
    <row r="593" spans="22:23" x14ac:dyDescent="0.25">
      <c r="V593" s="2">
        <v>0</v>
      </c>
      <c r="W593" s="2"/>
    </row>
    <row r="594" spans="22:23" x14ac:dyDescent="0.25">
      <c r="V594" s="2">
        <v>0</v>
      </c>
      <c r="W594" s="2"/>
    </row>
    <row r="595" spans="22:23" x14ac:dyDescent="0.25">
      <c r="V595" s="2">
        <v>0</v>
      </c>
      <c r="W595" s="2"/>
    </row>
    <row r="596" spans="22:23" x14ac:dyDescent="0.25">
      <c r="V596" s="2">
        <v>0</v>
      </c>
      <c r="W596" s="2"/>
    </row>
    <row r="597" spans="22:23" x14ac:dyDescent="0.25">
      <c r="V597" s="2">
        <v>0</v>
      </c>
      <c r="W597" s="2"/>
    </row>
    <row r="598" spans="22:23" x14ac:dyDescent="0.25">
      <c r="V598" s="2">
        <v>0</v>
      </c>
      <c r="W598" s="2"/>
    </row>
    <row r="599" spans="22:23" x14ac:dyDescent="0.25">
      <c r="V599" s="2">
        <v>0</v>
      </c>
      <c r="W599" s="2"/>
    </row>
    <row r="600" spans="22:23" x14ac:dyDescent="0.25">
      <c r="V600" s="2">
        <v>0</v>
      </c>
      <c r="W600" s="2"/>
    </row>
    <row r="601" spans="22:23" x14ac:dyDescent="0.25">
      <c r="V601" s="2">
        <v>0</v>
      </c>
      <c r="W601" s="2"/>
    </row>
    <row r="602" spans="22:23" x14ac:dyDescent="0.25">
      <c r="V602" s="2">
        <v>0</v>
      </c>
      <c r="W602" s="2"/>
    </row>
    <row r="603" spans="22:23" x14ac:dyDescent="0.25">
      <c r="V603" s="2">
        <v>0</v>
      </c>
      <c r="W603" s="2"/>
    </row>
    <row r="604" spans="22:23" x14ac:dyDescent="0.25">
      <c r="V604" s="2">
        <v>0</v>
      </c>
      <c r="W604" s="2"/>
    </row>
    <row r="605" spans="22:23" x14ac:dyDescent="0.25">
      <c r="V605" s="2">
        <v>0</v>
      </c>
      <c r="W605" s="2"/>
    </row>
    <row r="606" spans="22:23" x14ac:dyDescent="0.25">
      <c r="V606" s="2">
        <v>0</v>
      </c>
      <c r="W606" s="2"/>
    </row>
    <row r="607" spans="22:23" x14ac:dyDescent="0.25">
      <c r="V607" s="2">
        <v>0</v>
      </c>
      <c r="W607" s="2"/>
    </row>
    <row r="608" spans="22:23" x14ac:dyDescent="0.25">
      <c r="V608" s="2">
        <v>0</v>
      </c>
      <c r="W608" s="2"/>
    </row>
    <row r="609" spans="22:23" x14ac:dyDescent="0.25">
      <c r="V609" s="2">
        <v>0</v>
      </c>
      <c r="W609" s="2"/>
    </row>
    <row r="610" spans="22:23" x14ac:dyDescent="0.25">
      <c r="V610" s="2">
        <v>0</v>
      </c>
      <c r="W610" s="2"/>
    </row>
    <row r="611" spans="22:23" x14ac:dyDescent="0.25">
      <c r="V611" s="2">
        <v>0</v>
      </c>
      <c r="W611" s="2"/>
    </row>
    <row r="612" spans="22:23" x14ac:dyDescent="0.25">
      <c r="V612" s="2">
        <v>0</v>
      </c>
      <c r="W612" s="2"/>
    </row>
    <row r="613" spans="22:23" x14ac:dyDescent="0.25">
      <c r="V613" s="2">
        <v>0</v>
      </c>
      <c r="W613" s="2"/>
    </row>
    <row r="614" spans="22:23" x14ac:dyDescent="0.25">
      <c r="V614" s="2">
        <v>0</v>
      </c>
      <c r="W614" s="2"/>
    </row>
    <row r="615" spans="22:23" x14ac:dyDescent="0.25">
      <c r="V615" s="2">
        <v>0</v>
      </c>
      <c r="W615" s="2"/>
    </row>
    <row r="616" spans="22:23" x14ac:dyDescent="0.25">
      <c r="V616" s="2">
        <v>0</v>
      </c>
      <c r="W616" s="2"/>
    </row>
    <row r="617" spans="22:23" x14ac:dyDescent="0.25">
      <c r="V617" s="2">
        <v>0</v>
      </c>
      <c r="W617" s="2"/>
    </row>
    <row r="618" spans="22:23" x14ac:dyDescent="0.25">
      <c r="V618" s="2">
        <v>0</v>
      </c>
      <c r="W618" s="2"/>
    </row>
    <row r="619" spans="22:23" x14ac:dyDescent="0.25">
      <c r="V619" s="2">
        <v>0</v>
      </c>
      <c r="W619" s="2"/>
    </row>
    <row r="620" spans="22:23" x14ac:dyDescent="0.25">
      <c r="V620" s="2">
        <v>0</v>
      </c>
      <c r="W620" s="2"/>
    </row>
    <row r="621" spans="22:23" x14ac:dyDescent="0.25">
      <c r="V621" s="2">
        <v>0</v>
      </c>
      <c r="W621" s="2"/>
    </row>
    <row r="622" spans="22:23" x14ac:dyDescent="0.25">
      <c r="V622" s="2">
        <v>0</v>
      </c>
      <c r="W622" s="2"/>
    </row>
    <row r="623" spans="22:23" x14ac:dyDescent="0.25">
      <c r="V623" s="2">
        <v>0</v>
      </c>
      <c r="W623" s="2"/>
    </row>
    <row r="624" spans="22:23" x14ac:dyDescent="0.25">
      <c r="V624" s="2">
        <v>0</v>
      </c>
      <c r="W624" s="2"/>
    </row>
    <row r="625" spans="22:23" x14ac:dyDescent="0.25">
      <c r="V625" s="2">
        <v>0</v>
      </c>
      <c r="W625" s="2"/>
    </row>
    <row r="626" spans="22:23" x14ac:dyDescent="0.25">
      <c r="V626" s="2">
        <v>0</v>
      </c>
      <c r="W626" s="2"/>
    </row>
    <row r="627" spans="22:23" x14ac:dyDescent="0.25">
      <c r="V627" s="2">
        <v>0</v>
      </c>
      <c r="W627" s="2"/>
    </row>
    <row r="628" spans="22:23" x14ac:dyDescent="0.25">
      <c r="V628" s="2">
        <v>0</v>
      </c>
      <c r="W628" s="2"/>
    </row>
    <row r="629" spans="22:23" x14ac:dyDescent="0.25">
      <c r="V629" s="2">
        <v>0</v>
      </c>
      <c r="W629" s="2"/>
    </row>
    <row r="630" spans="22:23" x14ac:dyDescent="0.25">
      <c r="V630" s="2">
        <v>0</v>
      </c>
      <c r="W630" s="2"/>
    </row>
    <row r="631" spans="22:23" x14ac:dyDescent="0.25">
      <c r="V631" s="2">
        <v>0</v>
      </c>
      <c r="W631" s="2"/>
    </row>
    <row r="632" spans="22:23" x14ac:dyDescent="0.25">
      <c r="V632" s="2">
        <v>0</v>
      </c>
      <c r="W632" s="2"/>
    </row>
    <row r="633" spans="22:23" x14ac:dyDescent="0.25">
      <c r="V633" s="2">
        <v>0</v>
      </c>
      <c r="W633" s="2"/>
    </row>
    <row r="634" spans="22:23" x14ac:dyDescent="0.25">
      <c r="V634" s="2">
        <v>0</v>
      </c>
      <c r="W634" s="2"/>
    </row>
    <row r="635" spans="22:23" x14ac:dyDescent="0.25">
      <c r="V635" s="2">
        <v>0</v>
      </c>
      <c r="W635" s="2"/>
    </row>
    <row r="636" spans="22:23" x14ac:dyDescent="0.25">
      <c r="V636" s="2">
        <v>0</v>
      </c>
      <c r="W636" s="2"/>
    </row>
    <row r="637" spans="22:23" x14ac:dyDescent="0.25">
      <c r="V637" s="2">
        <v>0</v>
      </c>
      <c r="W637" s="2"/>
    </row>
    <row r="638" spans="22:23" x14ac:dyDescent="0.25">
      <c r="V638" s="2">
        <v>0</v>
      </c>
      <c r="W638" s="2"/>
    </row>
    <row r="639" spans="22:23" x14ac:dyDescent="0.25">
      <c r="V639" s="2">
        <v>0</v>
      </c>
      <c r="W639" s="2"/>
    </row>
    <row r="640" spans="22:23" x14ac:dyDescent="0.25">
      <c r="V640" s="2">
        <v>0</v>
      </c>
      <c r="W640" s="2"/>
    </row>
    <row r="641" spans="22:23" x14ac:dyDescent="0.25">
      <c r="V641" s="2">
        <v>0</v>
      </c>
      <c r="W641" s="2"/>
    </row>
    <row r="642" spans="22:23" x14ac:dyDescent="0.25">
      <c r="V642" s="2">
        <v>0</v>
      </c>
      <c r="W642" s="2"/>
    </row>
    <row r="643" spans="22:23" x14ac:dyDescent="0.25">
      <c r="V643" s="2">
        <v>0</v>
      </c>
      <c r="W643" s="2"/>
    </row>
    <row r="644" spans="22:23" x14ac:dyDescent="0.25">
      <c r="V644" s="2">
        <v>0</v>
      </c>
      <c r="W644" s="2"/>
    </row>
    <row r="645" spans="22:23" x14ac:dyDescent="0.25">
      <c r="V645" s="2">
        <v>0</v>
      </c>
      <c r="W645" s="2"/>
    </row>
  </sheetData>
  <mergeCells count="1">
    <mergeCell ref="A65:O65"/>
  </mergeCells>
  <printOptions horizontalCentered="1" verticalCentered="1"/>
  <pageMargins left="0.75" right="0.75" top="1" bottom="1" header="0.5" footer="0.5"/>
  <pageSetup scale="63"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E7D9-D45D-4E91-8E70-C348FB1D99D1}">
  <sheetPr>
    <pageSetUpPr fitToPage="1"/>
  </sheetPr>
  <dimension ref="A1:AA645"/>
  <sheetViews>
    <sheetView tabSelected="1" topLeftCell="A5" zoomScale="55" zoomScaleNormal="55" workbookViewId="0">
      <selection activeCell="R36" sqref="R36:R43"/>
    </sheetView>
  </sheetViews>
  <sheetFormatPr defaultRowHeight="13.2" x14ac:dyDescent="0.25"/>
  <cols>
    <col min="3" max="3" width="15.5546875" customWidth="1"/>
    <col min="24" max="25" width="20.5546875" customWidth="1"/>
  </cols>
  <sheetData>
    <row r="1" spans="17:27" ht="38.25" customHeight="1" x14ac:dyDescent="0.25">
      <c r="R1" t="s">
        <v>259</v>
      </c>
      <c r="S1" s="37" t="s">
        <v>227</v>
      </c>
      <c r="T1" t="s">
        <v>50</v>
      </c>
      <c r="U1" t="s">
        <v>92</v>
      </c>
      <c r="V1" t="s">
        <v>111</v>
      </c>
      <c r="X1" s="44" t="s">
        <v>36</v>
      </c>
      <c r="Y1" s="44"/>
    </row>
    <row r="2" spans="17:27" ht="13.5" customHeight="1" x14ac:dyDescent="0.25">
      <c r="Q2" t="s">
        <v>0</v>
      </c>
      <c r="S2" t="s">
        <v>186</v>
      </c>
      <c r="X2" s="44"/>
      <c r="Y2" s="44"/>
    </row>
    <row r="3" spans="17:27" ht="13.5" customHeight="1" x14ac:dyDescent="0.25">
      <c r="Q3" s="4">
        <v>2015</v>
      </c>
      <c r="R3">
        <v>0.13498474657535553</v>
      </c>
      <c r="S3">
        <v>0.13499003648757935</v>
      </c>
      <c r="T3">
        <v>0.13497227430343628</v>
      </c>
      <c r="U3">
        <v>0.14499999999999999</v>
      </c>
      <c r="V3">
        <v>0.13499017059803009</v>
      </c>
    </row>
    <row r="4" spans="17:27" ht="13.5" customHeight="1" x14ac:dyDescent="0.25">
      <c r="Q4" s="4">
        <f>Q3+1</f>
        <v>2016</v>
      </c>
      <c r="R4">
        <v>0.12370704114437103</v>
      </c>
      <c r="S4">
        <v>0.12571367621421814</v>
      </c>
      <c r="T4">
        <v>0.12762996554374695</v>
      </c>
      <c r="U4">
        <v>0.14000000000000001</v>
      </c>
      <c r="V4">
        <v>0.1266273707151413</v>
      </c>
    </row>
    <row r="5" spans="17:27" ht="13.5" customHeight="1" x14ac:dyDescent="0.25">
      <c r="Q5" s="4">
        <f>Q4+1</f>
        <v>2017</v>
      </c>
      <c r="R5">
        <v>0.11898282170295715</v>
      </c>
      <c r="S5">
        <v>0.12249016761779785</v>
      </c>
      <c r="T5">
        <v>0.12051744014024734</v>
      </c>
      <c r="U5">
        <v>0.13</v>
      </c>
      <c r="V5">
        <v>0.12453066557645798</v>
      </c>
    </row>
    <row r="6" spans="17:27" ht="13.5" customHeight="1" x14ac:dyDescent="0.25">
      <c r="Q6" s="4">
        <f>Q5+1</f>
        <v>2018</v>
      </c>
      <c r="R6">
        <v>0.10987701267004013</v>
      </c>
      <c r="S6">
        <v>0.11397718638181686</v>
      </c>
      <c r="T6">
        <v>0.1081540659070015</v>
      </c>
      <c r="U6">
        <v>0.128</v>
      </c>
      <c r="V6">
        <v>0.12207114696502686</v>
      </c>
    </row>
    <row r="7" spans="17:27" ht="13.5" customHeight="1" x14ac:dyDescent="0.25">
      <c r="Q7" s="4">
        <v>2019</v>
      </c>
      <c r="R7">
        <v>0.10130201280117035</v>
      </c>
      <c r="S7">
        <v>9.8909489810466766E-2</v>
      </c>
      <c r="T7">
        <v>9.8137892782688141E-2</v>
      </c>
      <c r="U7">
        <v>0.11800000000000001</v>
      </c>
      <c r="V7">
        <v>0.11118321120738983</v>
      </c>
    </row>
    <row r="8" spans="17:27" ht="13.5" customHeight="1" x14ac:dyDescent="0.25">
      <c r="Q8" s="4">
        <v>2020</v>
      </c>
      <c r="R8">
        <v>8.2804322242736816E-2</v>
      </c>
      <c r="S8">
        <v>8.2376167178153992E-2</v>
      </c>
      <c r="T8">
        <v>8.137965202331543E-2</v>
      </c>
      <c r="U8">
        <v>9.1999999999999998E-2</v>
      </c>
      <c r="V8">
        <v>0.10287239402532578</v>
      </c>
      <c r="X8" t="s">
        <v>115</v>
      </c>
      <c r="Z8" t="s">
        <v>116</v>
      </c>
    </row>
    <row r="9" spans="17:27" ht="13.5" customHeight="1" x14ac:dyDescent="0.25">
      <c r="Q9" s="4">
        <v>2021</v>
      </c>
      <c r="R9">
        <v>8.2420378923416138E-2</v>
      </c>
      <c r="S9">
        <v>6.1413608491420746E-2</v>
      </c>
      <c r="T9">
        <v>7.4362434446811676E-2</v>
      </c>
      <c r="U9">
        <v>7.8E-2</v>
      </c>
      <c r="V9">
        <v>0.10840684920549393</v>
      </c>
      <c r="X9">
        <f>+S9-S8</f>
        <v>-2.0962558686733246E-2</v>
      </c>
      <c r="Y9">
        <f>+T9-T8</f>
        <v>-7.0172175765037537E-3</v>
      </c>
      <c r="Z9">
        <f>+X9/S8</f>
        <v>-0.25447358629101741</v>
      </c>
      <c r="AA9">
        <f>+T9/T8-1</f>
        <v>-8.6228159030383944E-2</v>
      </c>
    </row>
    <row r="10" spans="17:27" ht="13.5" customHeight="1" x14ac:dyDescent="0.25">
      <c r="Q10" s="4">
        <v>2022</v>
      </c>
      <c r="R10">
        <v>7.1318335831165314E-2</v>
      </c>
      <c r="S10">
        <v>0.10336925834417343</v>
      </c>
      <c r="T10">
        <v>6.0355763882398605E-2</v>
      </c>
      <c r="U10">
        <v>0.124</v>
      </c>
      <c r="V10">
        <v>0.10786361992359161</v>
      </c>
      <c r="X10">
        <f>+S10-S9</f>
        <v>4.1955649852752686E-2</v>
      </c>
      <c r="Y10">
        <f>+T10-T9</f>
        <v>-1.4006670564413071E-2</v>
      </c>
      <c r="Z10">
        <f>+X10/S9</f>
        <v>0.68316535835235503</v>
      </c>
      <c r="AA10">
        <f>+T10/T9-1</f>
        <v>-0.18835680499986118</v>
      </c>
    </row>
    <row r="11" spans="17:27" ht="13.5" customHeight="1" x14ac:dyDescent="0.25">
      <c r="Q11" s="4"/>
      <c r="R11" s="7"/>
      <c r="V11" s="53"/>
      <c r="W11" s="57"/>
    </row>
    <row r="12" spans="17:27" ht="13.5" customHeight="1" x14ac:dyDescent="0.25">
      <c r="Q12" s="4" t="s">
        <v>112</v>
      </c>
      <c r="R12" s="58">
        <f>+R7-R3</f>
        <v>-3.3682733774185181E-2</v>
      </c>
      <c r="S12" s="58">
        <f>+S7-S3</f>
        <v>-3.6080546677112579E-2</v>
      </c>
      <c r="T12" s="58">
        <f>+T7-T3</f>
        <v>-3.6834381520748138E-2</v>
      </c>
      <c r="U12" s="58">
        <f>+U7-U3</f>
        <v>-2.6999999999999982E-2</v>
      </c>
      <c r="V12" s="58">
        <f>+V7-V3</f>
        <v>-2.3806959390640259E-2</v>
      </c>
      <c r="W12" s="57"/>
    </row>
    <row r="13" spans="17:27" ht="13.5" customHeight="1" x14ac:dyDescent="0.25">
      <c r="Q13" s="4" t="s">
        <v>113</v>
      </c>
      <c r="R13" s="58">
        <f>+R10-R8</f>
        <v>-1.1485986411571503E-2</v>
      </c>
      <c r="S13" s="58">
        <f>+S10-S8</f>
        <v>2.099309116601944E-2</v>
      </c>
      <c r="T13" s="58">
        <f>+T10-T8</f>
        <v>-2.1023888140916824E-2</v>
      </c>
      <c r="U13" s="58">
        <f>+U10-U8</f>
        <v>3.2000000000000001E-2</v>
      </c>
      <c r="V13" s="58">
        <f>+V10-V8</f>
        <v>4.9912258982658386E-3</v>
      </c>
      <c r="W13" s="57"/>
    </row>
    <row r="14" spans="17:27" ht="13.5" customHeight="1" x14ac:dyDescent="0.25">
      <c r="Q14" s="4"/>
      <c r="R14" s="7"/>
      <c r="V14" s="53"/>
      <c r="W14" s="57"/>
    </row>
    <row r="15" spans="17:27" ht="13.5" customHeight="1" x14ac:dyDescent="0.25">
      <c r="Q15" s="4"/>
      <c r="R15" s="7"/>
      <c r="V15" s="53"/>
      <c r="W15" s="57"/>
    </row>
    <row r="16" spans="17:27" ht="13.5" customHeight="1" x14ac:dyDescent="0.25">
      <c r="Q16" s="4"/>
      <c r="R16" s="45"/>
      <c r="V16" s="53"/>
      <c r="W16" s="57"/>
    </row>
    <row r="17" spans="17:25" ht="13.5" customHeight="1" x14ac:dyDescent="0.25">
      <c r="Q17" s="4" t="s">
        <v>114</v>
      </c>
      <c r="R17" s="45"/>
      <c r="V17" s="53"/>
      <c r="W17" s="57"/>
    </row>
    <row r="18" spans="17:25" ht="13.5" customHeight="1" x14ac:dyDescent="0.25">
      <c r="Q18" s="4" t="s">
        <v>112</v>
      </c>
      <c r="R18" s="58">
        <f>+R7/R3-1</f>
        <v>-0.24952992563038756</v>
      </c>
      <c r="S18" s="58">
        <f>+S7/S3-1</f>
        <v>-0.26728303522188035</v>
      </c>
      <c r="T18" s="58">
        <f>+T7/T3-1</f>
        <v>-0.27290331818769953</v>
      </c>
      <c r="U18" s="58">
        <f>+U7/U3-1</f>
        <v>-0.18620689655172407</v>
      </c>
      <c r="V18" s="58">
        <f>+V7/V3-1</f>
        <v>-0.17636068822767803</v>
      </c>
      <c r="W18" s="57"/>
    </row>
    <row r="19" spans="17:25" ht="13.5" customHeight="1" x14ac:dyDescent="0.25">
      <c r="Q19" s="4" t="s">
        <v>113</v>
      </c>
      <c r="R19" s="58">
        <f>+R10/R8-1</f>
        <v>-0.13871240172585309</v>
      </c>
      <c r="S19" s="58">
        <f>+S10/S8-1</f>
        <v>0.25484423329162564</v>
      </c>
      <c r="T19" s="58">
        <f>+T10/T8-1</f>
        <v>-0.25834330349426216</v>
      </c>
      <c r="U19" s="58">
        <f>+U10/U8-1</f>
        <v>0.34782608695652173</v>
      </c>
      <c r="V19" s="58">
        <f>+V10/V8-1</f>
        <v>4.8518613234927344E-2</v>
      </c>
      <c r="W19" s="53"/>
      <c r="X19" s="53"/>
      <c r="Y19" s="57"/>
    </row>
    <row r="20" spans="17:25" ht="13.5" customHeight="1" x14ac:dyDescent="0.25">
      <c r="Q20" s="4"/>
      <c r="R20" s="45"/>
    </row>
    <row r="21" spans="17:25" ht="13.5" customHeight="1" x14ac:dyDescent="0.25">
      <c r="Q21" s="4"/>
      <c r="R21" s="45"/>
    </row>
    <row r="22" spans="17:25" ht="13.5" customHeight="1" x14ac:dyDescent="0.25">
      <c r="Q22" s="4"/>
      <c r="R22" s="45"/>
    </row>
    <row r="23" spans="17:25" ht="13.5" customHeight="1" x14ac:dyDescent="0.25">
      <c r="Q23" s="4"/>
      <c r="R23" s="45"/>
    </row>
    <row r="24" spans="17:25" ht="13.5" customHeight="1" x14ac:dyDescent="0.25">
      <c r="Q24" s="4"/>
      <c r="R24" s="7"/>
    </row>
    <row r="25" spans="17:25" ht="13.5" customHeight="1" x14ac:dyDescent="0.25">
      <c r="Q25" s="4"/>
      <c r="R25" s="7"/>
    </row>
    <row r="26" spans="17:25" ht="13.5" customHeight="1" x14ac:dyDescent="0.25">
      <c r="Q26" s="4"/>
      <c r="R26" s="7"/>
    </row>
    <row r="27" spans="17:25" ht="13.5" customHeight="1" x14ac:dyDescent="0.25">
      <c r="Q27" s="4"/>
      <c r="R27" s="7"/>
    </row>
    <row r="28" spans="17:25" ht="13.5" customHeight="1" x14ac:dyDescent="0.25">
      <c r="Q28" s="4"/>
      <c r="R28" s="7"/>
    </row>
    <row r="29" spans="17:25" ht="13.5" customHeight="1" x14ac:dyDescent="0.25">
      <c r="Q29" s="4"/>
      <c r="R29" s="7"/>
    </row>
    <row r="30" spans="17:25" ht="13.5" customHeight="1" x14ac:dyDescent="0.25">
      <c r="Q30" s="4"/>
      <c r="R30" s="7"/>
    </row>
    <row r="31" spans="17:25" ht="13.5" customHeight="1" x14ac:dyDescent="0.25">
      <c r="Q31" s="4"/>
      <c r="R31" s="7"/>
    </row>
    <row r="32" spans="17:25" ht="13.5" customHeight="1" x14ac:dyDescent="0.25">
      <c r="Q32" s="4"/>
      <c r="R32" s="7"/>
    </row>
    <row r="33" spans="17:27" ht="13.5" customHeight="1" x14ac:dyDescent="0.25">
      <c r="Q33" s="4"/>
      <c r="R33" s="7"/>
      <c r="S33" t="s">
        <v>178</v>
      </c>
    </row>
    <row r="34" spans="17:27" ht="16.5" customHeight="1" x14ac:dyDescent="0.25">
      <c r="R34" t="s">
        <v>259</v>
      </c>
      <c r="S34" s="37" t="s">
        <v>227</v>
      </c>
      <c r="T34" t="s">
        <v>50</v>
      </c>
      <c r="U34" t="s">
        <v>92</v>
      </c>
    </row>
    <row r="35" spans="17:27" x14ac:dyDescent="0.25">
      <c r="Q35" t="s">
        <v>0</v>
      </c>
    </row>
    <row r="36" spans="17:27" x14ac:dyDescent="0.25">
      <c r="Q36" s="4">
        <v>2015</v>
      </c>
      <c r="R36">
        <v>0.17838621139526367</v>
      </c>
      <c r="S36">
        <v>0.16450163722038269</v>
      </c>
      <c r="T36">
        <v>0.19632710516452789</v>
      </c>
      <c r="U36">
        <v>0.16200000000000001</v>
      </c>
    </row>
    <row r="37" spans="17:27" x14ac:dyDescent="0.25">
      <c r="Q37" s="4">
        <f>Q36+1</f>
        <v>2016</v>
      </c>
      <c r="R37">
        <v>0.16565340757369995</v>
      </c>
      <c r="S37">
        <v>0.15018686652183533</v>
      </c>
      <c r="T37">
        <v>0.18557238578796387</v>
      </c>
      <c r="U37">
        <v>0.152</v>
      </c>
    </row>
    <row r="38" spans="17:27" x14ac:dyDescent="0.25">
      <c r="Q38" s="4">
        <f>Q37+1</f>
        <v>2017</v>
      </c>
      <c r="R38">
        <v>0.1564958393573761</v>
      </c>
      <c r="S38">
        <v>0.14755618572235107</v>
      </c>
      <c r="T38">
        <v>0.17667238414287567</v>
      </c>
      <c r="U38">
        <v>0.14199999999999999</v>
      </c>
    </row>
    <row r="39" spans="17:27" x14ac:dyDescent="0.25">
      <c r="Q39" s="4">
        <f>Q38+1</f>
        <v>2018</v>
      </c>
      <c r="R39">
        <v>0.15112204849720001</v>
      </c>
      <c r="S39">
        <v>0.13305707275867462</v>
      </c>
      <c r="T39">
        <v>0.16292569041252136</v>
      </c>
      <c r="U39">
        <v>0.13699999999999998</v>
      </c>
    </row>
    <row r="40" spans="17:27" x14ac:dyDescent="0.25">
      <c r="Q40" s="4">
        <v>2019</v>
      </c>
      <c r="R40">
        <v>0.13583560287952423</v>
      </c>
      <c r="S40">
        <v>0.11266162246465683</v>
      </c>
      <c r="T40">
        <v>0.14649122953414917</v>
      </c>
      <c r="U40">
        <v>0.126</v>
      </c>
      <c r="X40" t="s">
        <v>117</v>
      </c>
      <c r="Z40" t="s">
        <v>118</v>
      </c>
    </row>
    <row r="41" spans="17:27" x14ac:dyDescent="0.25">
      <c r="Q41" s="4">
        <v>2020</v>
      </c>
      <c r="R41">
        <v>0.10790304839611053</v>
      </c>
      <c r="S41">
        <v>9.5537714660167694E-2</v>
      </c>
      <c r="T41">
        <v>0.11599357426166534</v>
      </c>
      <c r="U41">
        <v>9.6999999999999989E-2</v>
      </c>
      <c r="X41" t="s">
        <v>115</v>
      </c>
      <c r="Y41" t="s">
        <v>116</v>
      </c>
    </row>
    <row r="42" spans="17:27" x14ac:dyDescent="0.25">
      <c r="Q42" s="4">
        <v>2021</v>
      </c>
      <c r="R42">
        <v>0.10453437268733978</v>
      </c>
      <c r="S42">
        <v>5.4682821035385132E-2</v>
      </c>
      <c r="T42">
        <v>0.11006379127502441</v>
      </c>
      <c r="U42">
        <v>5.2000000000000005E-2</v>
      </c>
      <c r="X42">
        <f>+S42-S41</f>
        <v>-4.0854893624782562E-2</v>
      </c>
      <c r="Y42">
        <f>+X42/S41</f>
        <v>-0.42763105408272961</v>
      </c>
      <c r="Z42">
        <f>+T42-T41</f>
        <v>-5.9297829866409302E-3</v>
      </c>
      <c r="AA42">
        <f>+Z42/T41</f>
        <v>-5.1121650698203042E-2</v>
      </c>
    </row>
    <row r="43" spans="17:27" x14ac:dyDescent="0.25">
      <c r="Q43" s="4">
        <v>2022</v>
      </c>
      <c r="R43">
        <v>9.4508059322834015E-2</v>
      </c>
      <c r="S43">
        <v>0.10762642323970795</v>
      </c>
      <c r="T43">
        <v>8.5189618170261383E-2</v>
      </c>
      <c r="U43">
        <v>0.124</v>
      </c>
      <c r="X43">
        <f>+S43-S42</f>
        <v>5.2943602204322815E-2</v>
      </c>
      <c r="Y43">
        <f>+X43/S42</f>
        <v>0.96819442014637702</v>
      </c>
      <c r="Z43">
        <f>+T43-T42</f>
        <v>-2.4874173104763031E-2</v>
      </c>
      <c r="AA43">
        <f>+Z43/T42</f>
        <v>-0.2259977856169621</v>
      </c>
    </row>
    <row r="44" spans="17:27" ht="15.6" x14ac:dyDescent="0.25">
      <c r="Q44" s="4"/>
      <c r="R44" s="7"/>
    </row>
    <row r="45" spans="17:27" ht="15.6" x14ac:dyDescent="0.25">
      <c r="Q45" s="4" t="s">
        <v>112</v>
      </c>
      <c r="R45" s="58">
        <f>+R40-R36</f>
        <v>-4.2550608515739441E-2</v>
      </c>
      <c r="S45" s="58">
        <f>+S40-S36</f>
        <v>-5.1840014755725861E-2</v>
      </c>
      <c r="T45" s="58">
        <f>+T40-T36</f>
        <v>-4.9835875630378723E-2</v>
      </c>
      <c r="U45" s="58">
        <f>+U40-U36</f>
        <v>-3.6000000000000004E-2</v>
      </c>
      <c r="V45" s="58">
        <f>+V40-V36</f>
        <v>0</v>
      </c>
    </row>
    <row r="46" spans="17:27" ht="15.6" x14ac:dyDescent="0.25">
      <c r="Q46" s="4" t="s">
        <v>113</v>
      </c>
      <c r="R46" s="58">
        <f>+R43-R41</f>
        <v>-1.339498907327652E-2</v>
      </c>
      <c r="S46" s="58">
        <f>+S43-S41</f>
        <v>1.2088708579540253E-2</v>
      </c>
      <c r="T46" s="58">
        <f>+T43-T41</f>
        <v>-3.0803956091403961E-2</v>
      </c>
      <c r="U46" s="58">
        <f>+U43-U41</f>
        <v>2.700000000000001E-2</v>
      </c>
      <c r="V46" s="58">
        <f>+V43-V41</f>
        <v>0</v>
      </c>
      <c r="W46" s="57"/>
    </row>
    <row r="47" spans="17:27" ht="15.6" x14ac:dyDescent="0.25">
      <c r="Q47" s="4"/>
      <c r="R47" s="7"/>
      <c r="S47">
        <f>+S42-S41</f>
        <v>-4.0854893624782562E-2</v>
      </c>
      <c r="V47" s="53"/>
      <c r="W47" s="57"/>
    </row>
    <row r="48" spans="17:27" ht="15.6" x14ac:dyDescent="0.25">
      <c r="Q48" s="4"/>
      <c r="R48" s="7"/>
      <c r="S48">
        <f>+S43-S42</f>
        <v>5.2943602204322815E-2</v>
      </c>
      <c r="V48" s="53"/>
      <c r="W48" s="57"/>
    </row>
    <row r="49" spans="17:23" ht="15.6" x14ac:dyDescent="0.25">
      <c r="Q49" s="4"/>
      <c r="R49" s="7"/>
      <c r="S49">
        <f>+S48/S42</f>
        <v>0.96819442014637702</v>
      </c>
      <c r="V49" s="53"/>
      <c r="W49" s="57"/>
    </row>
    <row r="50" spans="17:23" x14ac:dyDescent="0.25">
      <c r="Q50" s="4" t="s">
        <v>114</v>
      </c>
      <c r="R50" s="45"/>
      <c r="V50" s="53"/>
      <c r="W50" s="57"/>
    </row>
    <row r="51" spans="17:23" ht="15.6" x14ac:dyDescent="0.25">
      <c r="Q51" s="4" t="s">
        <v>112</v>
      </c>
      <c r="R51" s="58">
        <f>+R40/R36-1</f>
        <v>-0.23853081571118118</v>
      </c>
      <c r="S51" s="58">
        <f>+S40/S36-1</f>
        <v>-0.31513373138211287</v>
      </c>
      <c r="T51" s="58">
        <f>+T40/T36-1</f>
        <v>-0.25384103528962443</v>
      </c>
      <c r="U51" s="58">
        <f>+U40/U36-1</f>
        <v>-0.22222222222222221</v>
      </c>
      <c r="V51" s="58" t="e">
        <f>+V40/V36-1</f>
        <v>#DIV/0!</v>
      </c>
      <c r="W51" s="57"/>
    </row>
    <row r="52" spans="17:23" ht="15.6" x14ac:dyDescent="0.25">
      <c r="Q52" s="4" t="s">
        <v>113</v>
      </c>
      <c r="R52" s="58">
        <f>+R43/R41-1</f>
        <v>-0.12413911629357965</v>
      </c>
      <c r="S52" s="58">
        <f>+S43/S41-1</f>
        <v>0.12653336561943496</v>
      </c>
      <c r="T52" s="58">
        <f>+T43/T41-1</f>
        <v>-0.26556605646028741</v>
      </c>
      <c r="U52" s="58">
        <f>+U43/U41-1</f>
        <v>0.27835051546391765</v>
      </c>
      <c r="V52" s="58" t="e">
        <f>+V43/V41-1</f>
        <v>#DIV/0!</v>
      </c>
      <c r="W52" s="57"/>
    </row>
    <row r="53" spans="17:23" ht="15.6" x14ac:dyDescent="0.25">
      <c r="Q53" s="4"/>
      <c r="R53" s="7"/>
      <c r="V53" s="53"/>
      <c r="W53" s="57"/>
    </row>
    <row r="54" spans="17:23" ht="15.6" x14ac:dyDescent="0.25">
      <c r="Q54" s="4"/>
      <c r="R54" s="7"/>
    </row>
    <row r="65" spans="1:20" ht="49.5" customHeight="1" x14ac:dyDescent="0.25">
      <c r="A65" s="152" t="s">
        <v>271</v>
      </c>
      <c r="B65" s="153"/>
      <c r="C65" s="153"/>
      <c r="D65" s="153"/>
      <c r="E65" s="153"/>
      <c r="F65" s="153"/>
      <c r="G65" s="153"/>
      <c r="H65" s="153"/>
      <c r="I65" s="153"/>
      <c r="J65" s="153"/>
      <c r="K65" s="153"/>
      <c r="L65" s="153"/>
      <c r="M65" s="153"/>
      <c r="N65" s="153"/>
      <c r="O65" s="153"/>
    </row>
    <row r="66" spans="1:20" x14ac:dyDescent="0.25">
      <c r="A66" s="56"/>
      <c r="B66" s="56"/>
      <c r="C66" s="56"/>
      <c r="D66" s="56"/>
      <c r="E66" s="56"/>
      <c r="F66" s="56"/>
      <c r="G66" s="56"/>
      <c r="H66" s="56"/>
      <c r="I66" s="56"/>
      <c r="J66" s="56"/>
      <c r="K66" s="56"/>
      <c r="L66" s="56"/>
      <c r="M66" s="56"/>
      <c r="N66" s="56"/>
      <c r="O66" s="56"/>
    </row>
    <row r="68" spans="1:20" x14ac:dyDescent="0.25">
      <c r="R68" s="13"/>
      <c r="S68" s="13"/>
      <c r="T68" s="13"/>
    </row>
    <row r="180" spans="22:23" x14ac:dyDescent="0.25">
      <c r="V180" s="2">
        <v>0</v>
      </c>
      <c r="W180" s="2"/>
    </row>
    <row r="181" spans="22:23" x14ac:dyDescent="0.25">
      <c r="V181" s="2">
        <v>0</v>
      </c>
      <c r="W181" s="2"/>
    </row>
    <row r="182" spans="22:23" x14ac:dyDescent="0.25">
      <c r="V182" s="2">
        <v>0</v>
      </c>
      <c r="W182" s="2"/>
    </row>
    <row r="183" spans="22:23" x14ac:dyDescent="0.25">
      <c r="V183" s="2">
        <v>0</v>
      </c>
      <c r="W183" s="2"/>
    </row>
    <row r="184" spans="22:23" x14ac:dyDescent="0.25">
      <c r="V184" s="2">
        <v>0</v>
      </c>
      <c r="W184" s="2"/>
    </row>
    <row r="185" spans="22:23" x14ac:dyDescent="0.25">
      <c r="V185" s="2">
        <v>0</v>
      </c>
      <c r="W185" s="2"/>
    </row>
    <row r="186" spans="22:23" x14ac:dyDescent="0.25">
      <c r="V186" s="2">
        <v>0</v>
      </c>
      <c r="W186" s="2"/>
    </row>
    <row r="187" spans="22:23" x14ac:dyDescent="0.25">
      <c r="V187" s="2">
        <v>0</v>
      </c>
      <c r="W187" s="2"/>
    </row>
    <row r="188" spans="22:23" x14ac:dyDescent="0.25">
      <c r="V188" s="2">
        <v>0</v>
      </c>
      <c r="W188" s="2"/>
    </row>
    <row r="189" spans="22:23" x14ac:dyDescent="0.25">
      <c r="V189" s="2">
        <v>0</v>
      </c>
      <c r="W189" s="2"/>
    </row>
    <row r="190" spans="22:23" x14ac:dyDescent="0.25">
      <c r="V190" s="2">
        <v>0</v>
      </c>
      <c r="W190" s="2"/>
    </row>
    <row r="191" spans="22:23" x14ac:dyDescent="0.25">
      <c r="V191" s="2">
        <v>0</v>
      </c>
      <c r="W191" s="2"/>
    </row>
    <row r="192" spans="22:23" x14ac:dyDescent="0.25">
      <c r="V192" s="2">
        <v>0</v>
      </c>
      <c r="W192" s="2"/>
    </row>
    <row r="193" spans="22:23" x14ac:dyDescent="0.25">
      <c r="V193" s="2">
        <v>0</v>
      </c>
      <c r="W193" s="2"/>
    </row>
    <row r="194" spans="22:23" x14ac:dyDescent="0.25">
      <c r="V194" s="2">
        <v>0</v>
      </c>
      <c r="W194" s="2"/>
    </row>
    <row r="195" spans="22:23" x14ac:dyDescent="0.25">
      <c r="V195" s="2">
        <v>0</v>
      </c>
      <c r="W195" s="2"/>
    </row>
    <row r="196" spans="22:23" x14ac:dyDescent="0.25">
      <c r="V196" s="2">
        <v>0</v>
      </c>
      <c r="W196" s="2"/>
    </row>
    <row r="197" spans="22:23" x14ac:dyDescent="0.25">
      <c r="V197" s="2">
        <v>0</v>
      </c>
      <c r="W197" s="2"/>
    </row>
    <row r="198" spans="22:23" x14ac:dyDescent="0.25">
      <c r="V198" s="2">
        <v>0</v>
      </c>
      <c r="W198" s="2"/>
    </row>
    <row r="199" spans="22:23" x14ac:dyDescent="0.25">
      <c r="V199" s="2">
        <v>0</v>
      </c>
      <c r="W199" s="2"/>
    </row>
    <row r="200" spans="22:23" x14ac:dyDescent="0.25">
      <c r="V200" s="2">
        <v>0</v>
      </c>
      <c r="W200" s="2"/>
    </row>
    <row r="201" spans="22:23" x14ac:dyDescent="0.25">
      <c r="V201" s="2">
        <v>0</v>
      </c>
      <c r="W201" s="2"/>
    </row>
    <row r="202" spans="22:23" x14ac:dyDescent="0.25">
      <c r="V202" s="2">
        <v>0</v>
      </c>
      <c r="W202" s="2"/>
    </row>
    <row r="203" spans="22:23" x14ac:dyDescent="0.25">
      <c r="V203" s="2">
        <v>0</v>
      </c>
      <c r="W203" s="2"/>
    </row>
    <row r="204" spans="22:23" x14ac:dyDescent="0.25">
      <c r="V204" s="2">
        <v>0</v>
      </c>
      <c r="W204" s="2"/>
    </row>
    <row r="205" spans="22:23" x14ac:dyDescent="0.25">
      <c r="V205" s="2">
        <v>0</v>
      </c>
      <c r="W205" s="2"/>
    </row>
    <row r="206" spans="22:23" x14ac:dyDescent="0.25">
      <c r="V206" s="2">
        <v>0</v>
      </c>
      <c r="W206" s="2"/>
    </row>
    <row r="207" spans="22:23" x14ac:dyDescent="0.25">
      <c r="V207" s="2">
        <v>0</v>
      </c>
      <c r="W207" s="2"/>
    </row>
    <row r="208" spans="22:23" x14ac:dyDescent="0.25">
      <c r="V208" s="2">
        <v>0</v>
      </c>
      <c r="W208" s="2"/>
    </row>
    <row r="209" spans="22:23" x14ac:dyDescent="0.25">
      <c r="V209" s="2">
        <v>0</v>
      </c>
      <c r="W209" s="2"/>
    </row>
    <row r="210" spans="22:23" x14ac:dyDescent="0.25">
      <c r="V210" s="2">
        <v>0</v>
      </c>
      <c r="W210" s="2"/>
    </row>
    <row r="211" spans="22:23" x14ac:dyDescent="0.25">
      <c r="V211" s="2">
        <v>0</v>
      </c>
      <c r="W211" s="2"/>
    </row>
    <row r="212" spans="22:23" x14ac:dyDescent="0.25">
      <c r="V212" s="2">
        <v>0</v>
      </c>
      <c r="W212" s="2"/>
    </row>
    <row r="213" spans="22:23" x14ac:dyDescent="0.25">
      <c r="V213" s="2">
        <v>0</v>
      </c>
      <c r="W213" s="2"/>
    </row>
    <row r="214" spans="22:23" x14ac:dyDescent="0.25">
      <c r="V214" s="2">
        <v>0</v>
      </c>
      <c r="W214" s="2"/>
    </row>
    <row r="215" spans="22:23" x14ac:dyDescent="0.25">
      <c r="V215" s="2">
        <v>0</v>
      </c>
      <c r="W215" s="2"/>
    </row>
    <row r="216" spans="22:23" x14ac:dyDescent="0.25">
      <c r="V216" s="2">
        <v>0</v>
      </c>
      <c r="W216" s="2"/>
    </row>
    <row r="217" spans="22:23" x14ac:dyDescent="0.25">
      <c r="V217" s="2">
        <v>0</v>
      </c>
      <c r="W217" s="2"/>
    </row>
    <row r="218" spans="22:23" x14ac:dyDescent="0.25">
      <c r="V218" s="2">
        <v>0</v>
      </c>
      <c r="W218" s="2"/>
    </row>
    <row r="219" spans="22:23" x14ac:dyDescent="0.25">
      <c r="V219" s="2">
        <v>0</v>
      </c>
      <c r="W219" s="2"/>
    </row>
    <row r="220" spans="22:23" x14ac:dyDescent="0.25">
      <c r="V220" s="2">
        <v>0</v>
      </c>
      <c r="W220" s="2"/>
    </row>
    <row r="221" spans="22:23" x14ac:dyDescent="0.25">
      <c r="V221" s="2">
        <v>0</v>
      </c>
      <c r="W221" s="2"/>
    </row>
    <row r="222" spans="22:23" x14ac:dyDescent="0.25">
      <c r="V222" s="2">
        <v>0</v>
      </c>
      <c r="W222" s="2"/>
    </row>
    <row r="223" spans="22:23" x14ac:dyDescent="0.25">
      <c r="V223" s="2">
        <v>0</v>
      </c>
      <c r="W223" s="2"/>
    </row>
    <row r="224" spans="22:23" x14ac:dyDescent="0.25">
      <c r="V224" s="2">
        <v>0</v>
      </c>
      <c r="W224" s="2"/>
    </row>
    <row r="225" spans="22:23" x14ac:dyDescent="0.25">
      <c r="V225" s="2">
        <v>0</v>
      </c>
      <c r="W225" s="2"/>
    </row>
    <row r="226" spans="22:23" x14ac:dyDescent="0.25">
      <c r="V226" s="2">
        <v>0</v>
      </c>
      <c r="W226" s="2"/>
    </row>
    <row r="227" spans="22:23" x14ac:dyDescent="0.25">
      <c r="V227" s="2">
        <v>0</v>
      </c>
      <c r="W227" s="2"/>
    </row>
    <row r="228" spans="22:23" x14ac:dyDescent="0.25">
      <c r="V228" s="2">
        <v>0</v>
      </c>
      <c r="W228" s="2"/>
    </row>
    <row r="229" spans="22:23" x14ac:dyDescent="0.25">
      <c r="V229" s="2">
        <v>0</v>
      </c>
      <c r="W229" s="2"/>
    </row>
    <row r="230" spans="22:23" x14ac:dyDescent="0.25">
      <c r="V230" s="2">
        <v>0</v>
      </c>
      <c r="W230" s="2"/>
    </row>
    <row r="231" spans="22:23" x14ac:dyDescent="0.25">
      <c r="V231" s="2">
        <v>0</v>
      </c>
      <c r="W231" s="2"/>
    </row>
    <row r="232" spans="22:23" x14ac:dyDescent="0.25">
      <c r="V232" s="2">
        <v>0</v>
      </c>
      <c r="W232" s="2"/>
    </row>
    <row r="233" spans="22:23" x14ac:dyDescent="0.25">
      <c r="V233" s="2">
        <v>0</v>
      </c>
      <c r="W233" s="2"/>
    </row>
    <row r="234" spans="22:23" x14ac:dyDescent="0.25">
      <c r="V234" s="2">
        <v>0</v>
      </c>
      <c r="W234" s="2"/>
    </row>
    <row r="235" spans="22:23" x14ac:dyDescent="0.25">
      <c r="V235" s="2">
        <v>0</v>
      </c>
      <c r="W235" s="2"/>
    </row>
    <row r="236" spans="22:23" x14ac:dyDescent="0.25">
      <c r="V236" s="2">
        <v>0</v>
      </c>
      <c r="W236" s="2"/>
    </row>
    <row r="237" spans="22:23" x14ac:dyDescent="0.25">
      <c r="V237" s="2">
        <v>0</v>
      </c>
      <c r="W237" s="2"/>
    </row>
    <row r="238" spans="22:23" x14ac:dyDescent="0.25">
      <c r="V238" s="2">
        <v>0</v>
      </c>
      <c r="W238" s="2"/>
    </row>
    <row r="239" spans="22:23" x14ac:dyDescent="0.25">
      <c r="V239" s="2">
        <v>0</v>
      </c>
      <c r="W239" s="2"/>
    </row>
    <row r="240" spans="22:23" x14ac:dyDescent="0.25">
      <c r="V240" s="2">
        <v>0</v>
      </c>
      <c r="W240" s="2"/>
    </row>
    <row r="241" spans="22:23" x14ac:dyDescent="0.25">
      <c r="V241" s="2">
        <v>0</v>
      </c>
      <c r="W241" s="2"/>
    </row>
    <row r="242" spans="22:23" x14ac:dyDescent="0.25">
      <c r="V242" s="2">
        <v>0</v>
      </c>
      <c r="W242" s="2"/>
    </row>
    <row r="243" spans="22:23" x14ac:dyDescent="0.25">
      <c r="V243" s="2">
        <v>0</v>
      </c>
      <c r="W243" s="2"/>
    </row>
    <row r="244" spans="22:23" x14ac:dyDescent="0.25">
      <c r="V244" s="2">
        <v>0</v>
      </c>
      <c r="W244" s="2"/>
    </row>
    <row r="245" spans="22:23" x14ac:dyDescent="0.25">
      <c r="V245" s="2">
        <v>0</v>
      </c>
      <c r="W245" s="2"/>
    </row>
    <row r="246" spans="22:23" x14ac:dyDescent="0.25">
      <c r="V246" s="2">
        <v>0</v>
      </c>
      <c r="W246" s="2"/>
    </row>
    <row r="247" spans="22:23" x14ac:dyDescent="0.25">
      <c r="V247" s="2">
        <v>0</v>
      </c>
      <c r="W247" s="2"/>
    </row>
    <row r="248" spans="22:23" x14ac:dyDescent="0.25">
      <c r="V248" s="2">
        <v>0</v>
      </c>
      <c r="W248" s="2"/>
    </row>
    <row r="249" spans="22:23" x14ac:dyDescent="0.25">
      <c r="V249" s="2">
        <v>0</v>
      </c>
      <c r="W249" s="2"/>
    </row>
    <row r="250" spans="22:23" x14ac:dyDescent="0.25">
      <c r="V250" s="2">
        <v>0</v>
      </c>
      <c r="W250" s="2"/>
    </row>
    <row r="251" spans="22:23" x14ac:dyDescent="0.25">
      <c r="V251" s="2">
        <v>0</v>
      </c>
      <c r="W251" s="2"/>
    </row>
    <row r="252" spans="22:23" x14ac:dyDescent="0.25">
      <c r="V252" s="2">
        <v>0</v>
      </c>
      <c r="W252" s="2"/>
    </row>
    <row r="253" spans="22:23" x14ac:dyDescent="0.25">
      <c r="V253" s="2">
        <v>0</v>
      </c>
      <c r="W253" s="2"/>
    </row>
    <row r="254" spans="22:23" x14ac:dyDescent="0.25">
      <c r="V254" s="2">
        <v>0</v>
      </c>
      <c r="W254" s="2"/>
    </row>
    <row r="255" spans="22:23" x14ac:dyDescent="0.25">
      <c r="V255" s="2">
        <v>0</v>
      </c>
      <c r="W255" s="2"/>
    </row>
    <row r="256" spans="22:23" x14ac:dyDescent="0.25">
      <c r="V256" s="2">
        <v>0</v>
      </c>
      <c r="W256" s="2"/>
    </row>
    <row r="257" spans="22:23" x14ac:dyDescent="0.25">
      <c r="V257" s="2">
        <v>0</v>
      </c>
      <c r="W257" s="2"/>
    </row>
    <row r="258" spans="22:23" x14ac:dyDescent="0.25">
      <c r="V258" s="2">
        <v>0</v>
      </c>
      <c r="W258" s="2"/>
    </row>
    <row r="259" spans="22:23" x14ac:dyDescent="0.25">
      <c r="V259" s="2">
        <v>0</v>
      </c>
      <c r="W259" s="2"/>
    </row>
    <row r="260" spans="22:23" x14ac:dyDescent="0.25">
      <c r="V260" s="2">
        <v>0</v>
      </c>
      <c r="W260" s="2"/>
    </row>
    <row r="261" spans="22:23" x14ac:dyDescent="0.25">
      <c r="V261" s="2">
        <v>0</v>
      </c>
      <c r="W261" s="2"/>
    </row>
    <row r="262" spans="22:23" x14ac:dyDescent="0.25">
      <c r="V262" s="2">
        <v>0</v>
      </c>
      <c r="W262" s="2"/>
    </row>
    <row r="263" spans="22:23" x14ac:dyDescent="0.25">
      <c r="V263" s="2">
        <v>0</v>
      </c>
      <c r="W263" s="2"/>
    </row>
    <row r="264" spans="22:23" x14ac:dyDescent="0.25">
      <c r="V264" s="2">
        <v>0</v>
      </c>
      <c r="W264" s="2"/>
    </row>
    <row r="265" spans="22:23" x14ac:dyDescent="0.25">
      <c r="V265" s="2">
        <v>0</v>
      </c>
      <c r="W265" s="2"/>
    </row>
    <row r="266" spans="22:23" x14ac:dyDescent="0.25">
      <c r="V266" s="2">
        <v>0</v>
      </c>
      <c r="W266" s="2"/>
    </row>
    <row r="267" spans="22:23" x14ac:dyDescent="0.25">
      <c r="V267" s="2">
        <v>0</v>
      </c>
      <c r="W267" s="2"/>
    </row>
    <row r="268" spans="22:23" x14ac:dyDescent="0.25">
      <c r="V268" s="2">
        <v>0</v>
      </c>
      <c r="W268" s="2"/>
    </row>
    <row r="269" spans="22:23" x14ac:dyDescent="0.25">
      <c r="V269" s="2">
        <v>0</v>
      </c>
      <c r="W269" s="2"/>
    </row>
    <row r="270" spans="22:23" x14ac:dyDescent="0.25">
      <c r="V270" s="2">
        <v>0</v>
      </c>
      <c r="W270" s="2"/>
    </row>
    <row r="271" spans="22:23" x14ac:dyDescent="0.25">
      <c r="V271" s="2">
        <v>0</v>
      </c>
      <c r="W271" s="2"/>
    </row>
    <row r="272" spans="22:23" x14ac:dyDescent="0.25">
      <c r="V272" s="2">
        <v>0</v>
      </c>
      <c r="W272" s="2"/>
    </row>
    <row r="273" spans="22:23" x14ac:dyDescent="0.25">
      <c r="V273" s="2">
        <v>0</v>
      </c>
      <c r="W273" s="2"/>
    </row>
    <row r="274" spans="22:23" x14ac:dyDescent="0.25">
      <c r="V274" s="2">
        <v>0</v>
      </c>
      <c r="W274" s="2"/>
    </row>
    <row r="275" spans="22:23" x14ac:dyDescent="0.25">
      <c r="V275" s="2">
        <v>0</v>
      </c>
      <c r="W275" s="2"/>
    </row>
    <row r="276" spans="22:23" x14ac:dyDescent="0.25">
      <c r="V276" s="2">
        <v>0</v>
      </c>
      <c r="W276" s="2"/>
    </row>
    <row r="277" spans="22:23" x14ac:dyDescent="0.25">
      <c r="V277" s="2">
        <v>0</v>
      </c>
      <c r="W277" s="2"/>
    </row>
    <row r="278" spans="22:23" x14ac:dyDescent="0.25">
      <c r="V278" s="2">
        <v>0</v>
      </c>
      <c r="W278" s="2"/>
    </row>
    <row r="279" spans="22:23" x14ac:dyDescent="0.25">
      <c r="V279" s="2">
        <v>0</v>
      </c>
      <c r="W279" s="2"/>
    </row>
    <row r="280" spans="22:23" x14ac:dyDescent="0.25">
      <c r="V280" s="2">
        <v>0</v>
      </c>
      <c r="W280" s="2"/>
    </row>
    <row r="281" spans="22:23" x14ac:dyDescent="0.25">
      <c r="V281" s="2">
        <v>0</v>
      </c>
      <c r="W281" s="2"/>
    </row>
    <row r="282" spans="22:23" x14ac:dyDescent="0.25">
      <c r="V282" s="2">
        <v>0</v>
      </c>
      <c r="W282" s="2"/>
    </row>
    <row r="283" spans="22:23" x14ac:dyDescent="0.25">
      <c r="V283" s="2">
        <v>0</v>
      </c>
      <c r="W283" s="2"/>
    </row>
    <row r="284" spans="22:23" x14ac:dyDescent="0.25">
      <c r="V284" s="2">
        <v>0</v>
      </c>
      <c r="W284" s="2"/>
    </row>
    <row r="285" spans="22:23" x14ac:dyDescent="0.25">
      <c r="V285" s="2">
        <v>0</v>
      </c>
      <c r="W285" s="2"/>
    </row>
    <row r="286" spans="22:23" x14ac:dyDescent="0.25">
      <c r="V286" s="2">
        <v>0</v>
      </c>
      <c r="W286" s="2"/>
    </row>
    <row r="287" spans="22:23" x14ac:dyDescent="0.25">
      <c r="V287" s="2">
        <v>0</v>
      </c>
      <c r="W287" s="2"/>
    </row>
    <row r="288" spans="22:23" x14ac:dyDescent="0.25">
      <c r="V288" s="2">
        <v>0</v>
      </c>
      <c r="W288" s="2"/>
    </row>
    <row r="289" spans="22:23" x14ac:dyDescent="0.25">
      <c r="V289" s="2">
        <v>0</v>
      </c>
      <c r="W289" s="2"/>
    </row>
    <row r="290" spans="22:23" x14ac:dyDescent="0.25">
      <c r="V290" s="2">
        <v>0</v>
      </c>
      <c r="W290" s="2"/>
    </row>
    <row r="291" spans="22:23" x14ac:dyDescent="0.25">
      <c r="V291" s="2">
        <v>0</v>
      </c>
      <c r="W291" s="2"/>
    </row>
    <row r="292" spans="22:23" x14ac:dyDescent="0.25">
      <c r="V292" s="2">
        <v>0</v>
      </c>
      <c r="W292" s="2"/>
    </row>
    <row r="293" spans="22:23" x14ac:dyDescent="0.25">
      <c r="V293" s="2">
        <v>0</v>
      </c>
      <c r="W293" s="2"/>
    </row>
    <row r="294" spans="22:23" x14ac:dyDescent="0.25">
      <c r="V294" s="2">
        <v>0</v>
      </c>
      <c r="W294" s="2"/>
    </row>
    <row r="295" spans="22:23" x14ac:dyDescent="0.25">
      <c r="V295" s="2">
        <v>0</v>
      </c>
      <c r="W295" s="2"/>
    </row>
    <row r="296" spans="22:23" x14ac:dyDescent="0.25">
      <c r="V296" s="2">
        <v>0</v>
      </c>
      <c r="W296" s="2"/>
    </row>
    <row r="297" spans="22:23" x14ac:dyDescent="0.25">
      <c r="V297" s="2">
        <v>0</v>
      </c>
      <c r="W297" s="2"/>
    </row>
    <row r="298" spans="22:23" x14ac:dyDescent="0.25">
      <c r="V298" s="2">
        <v>0</v>
      </c>
      <c r="W298" s="2"/>
    </row>
    <row r="299" spans="22:23" x14ac:dyDescent="0.25">
      <c r="V299" s="2">
        <v>0</v>
      </c>
      <c r="W299" s="2"/>
    </row>
    <row r="300" spans="22:23" x14ac:dyDescent="0.25">
      <c r="V300" s="2">
        <v>0</v>
      </c>
      <c r="W300" s="2"/>
    </row>
    <row r="301" spans="22:23" x14ac:dyDescent="0.25">
      <c r="V301" s="2">
        <v>0</v>
      </c>
      <c r="W301" s="2"/>
    </row>
    <row r="302" spans="22:23" x14ac:dyDescent="0.25">
      <c r="V302" s="2">
        <v>0</v>
      </c>
      <c r="W302" s="2"/>
    </row>
    <row r="303" spans="22:23" x14ac:dyDescent="0.25">
      <c r="V303" s="2">
        <v>0</v>
      </c>
      <c r="W303" s="2"/>
    </row>
    <row r="304" spans="22:23" x14ac:dyDescent="0.25">
      <c r="V304" s="2">
        <v>0</v>
      </c>
      <c r="W304" s="2"/>
    </row>
    <row r="305" spans="22:23" x14ac:dyDescent="0.25">
      <c r="V305" s="2">
        <v>0</v>
      </c>
      <c r="W305" s="2"/>
    </row>
    <row r="306" spans="22:23" x14ac:dyDescent="0.25">
      <c r="V306" s="2">
        <v>0</v>
      </c>
      <c r="W306" s="2"/>
    </row>
    <row r="307" spans="22:23" x14ac:dyDescent="0.25">
      <c r="V307" s="2">
        <v>0</v>
      </c>
      <c r="W307" s="2"/>
    </row>
    <row r="308" spans="22:23" x14ac:dyDescent="0.25">
      <c r="V308" s="2">
        <v>0</v>
      </c>
      <c r="W308" s="2"/>
    </row>
    <row r="309" spans="22:23" x14ac:dyDescent="0.25">
      <c r="V309" s="2">
        <v>0</v>
      </c>
      <c r="W309" s="2"/>
    </row>
    <row r="310" spans="22:23" x14ac:dyDescent="0.25">
      <c r="V310" s="2">
        <v>0</v>
      </c>
      <c r="W310" s="2"/>
    </row>
    <row r="311" spans="22:23" x14ac:dyDescent="0.25">
      <c r="V311" s="2">
        <v>0</v>
      </c>
      <c r="W311" s="2"/>
    </row>
    <row r="312" spans="22:23" x14ac:dyDescent="0.25">
      <c r="V312" s="2">
        <v>0</v>
      </c>
      <c r="W312" s="2"/>
    </row>
    <row r="313" spans="22:23" x14ac:dyDescent="0.25">
      <c r="V313" s="2">
        <v>0</v>
      </c>
      <c r="W313" s="2"/>
    </row>
    <row r="314" spans="22:23" x14ac:dyDescent="0.25">
      <c r="V314" s="2">
        <v>0</v>
      </c>
      <c r="W314" s="2"/>
    </row>
    <row r="315" spans="22:23" x14ac:dyDescent="0.25">
      <c r="V315" s="2">
        <v>0</v>
      </c>
      <c r="W315" s="2"/>
    </row>
    <row r="316" spans="22:23" x14ac:dyDescent="0.25">
      <c r="V316" s="2">
        <v>0</v>
      </c>
      <c r="W316" s="2"/>
    </row>
    <row r="317" spans="22:23" x14ac:dyDescent="0.25">
      <c r="V317" s="2">
        <v>0</v>
      </c>
      <c r="W317" s="2"/>
    </row>
    <row r="318" spans="22:23" x14ac:dyDescent="0.25">
      <c r="V318" s="2">
        <v>0</v>
      </c>
      <c r="W318" s="2"/>
    </row>
    <row r="319" spans="22:23" x14ac:dyDescent="0.25">
      <c r="V319" s="2">
        <v>0</v>
      </c>
      <c r="W319" s="2"/>
    </row>
    <row r="320" spans="22:23" x14ac:dyDescent="0.25">
      <c r="V320" s="2">
        <v>0</v>
      </c>
      <c r="W320" s="2"/>
    </row>
    <row r="321" spans="22:23" x14ac:dyDescent="0.25">
      <c r="V321" s="2">
        <v>0</v>
      </c>
      <c r="W321" s="2"/>
    </row>
    <row r="322" spans="22:23" x14ac:dyDescent="0.25">
      <c r="V322" s="2">
        <v>0</v>
      </c>
      <c r="W322" s="2"/>
    </row>
    <row r="323" spans="22:23" x14ac:dyDescent="0.25">
      <c r="V323" s="2">
        <v>0</v>
      </c>
      <c r="W323" s="2"/>
    </row>
    <row r="324" spans="22:23" x14ac:dyDescent="0.25">
      <c r="V324" s="2">
        <v>0</v>
      </c>
      <c r="W324" s="2"/>
    </row>
    <row r="325" spans="22:23" x14ac:dyDescent="0.25">
      <c r="V325" s="2">
        <v>0</v>
      </c>
      <c r="W325" s="2"/>
    </row>
    <row r="326" spans="22:23" x14ac:dyDescent="0.25">
      <c r="V326" s="2">
        <v>0</v>
      </c>
      <c r="W326" s="2"/>
    </row>
    <row r="327" spans="22:23" x14ac:dyDescent="0.25">
      <c r="V327" s="2">
        <v>0</v>
      </c>
      <c r="W327" s="2"/>
    </row>
    <row r="328" spans="22:23" x14ac:dyDescent="0.25">
      <c r="V328" s="2">
        <v>0</v>
      </c>
      <c r="W328" s="2"/>
    </row>
    <row r="329" spans="22:23" x14ac:dyDescent="0.25">
      <c r="V329" s="2">
        <v>0</v>
      </c>
      <c r="W329" s="2"/>
    </row>
    <row r="330" spans="22:23" x14ac:dyDescent="0.25">
      <c r="V330" s="2">
        <v>0</v>
      </c>
      <c r="W330" s="2"/>
    </row>
    <row r="331" spans="22:23" x14ac:dyDescent="0.25">
      <c r="V331" s="2">
        <v>0</v>
      </c>
      <c r="W331" s="2"/>
    </row>
    <row r="332" spans="22:23" x14ac:dyDescent="0.25">
      <c r="V332" s="2">
        <v>0</v>
      </c>
      <c r="W332" s="2"/>
    </row>
    <row r="333" spans="22:23" x14ac:dyDescent="0.25">
      <c r="V333" s="2">
        <v>0</v>
      </c>
      <c r="W333" s="2"/>
    </row>
    <row r="334" spans="22:23" x14ac:dyDescent="0.25">
      <c r="V334" s="2">
        <v>0</v>
      </c>
      <c r="W334" s="2"/>
    </row>
    <row r="335" spans="22:23" x14ac:dyDescent="0.25">
      <c r="V335" s="2">
        <v>0</v>
      </c>
      <c r="W335" s="2"/>
    </row>
    <row r="336" spans="22:23" x14ac:dyDescent="0.25">
      <c r="V336" s="2">
        <v>0</v>
      </c>
      <c r="W336" s="2"/>
    </row>
    <row r="337" spans="22:23" x14ac:dyDescent="0.25">
      <c r="V337" s="2">
        <v>0</v>
      </c>
      <c r="W337" s="2"/>
    </row>
    <row r="338" spans="22:23" x14ac:dyDescent="0.25">
      <c r="V338" s="2">
        <v>0</v>
      </c>
      <c r="W338" s="2"/>
    </row>
    <row r="339" spans="22:23" x14ac:dyDescent="0.25">
      <c r="V339" s="2">
        <v>0</v>
      </c>
      <c r="W339" s="2"/>
    </row>
    <row r="340" spans="22:23" x14ac:dyDescent="0.25">
      <c r="V340" s="2">
        <v>0</v>
      </c>
      <c r="W340" s="2"/>
    </row>
    <row r="341" spans="22:23" x14ac:dyDescent="0.25">
      <c r="V341" s="2">
        <v>0</v>
      </c>
      <c r="W341" s="2"/>
    </row>
    <row r="342" spans="22:23" x14ac:dyDescent="0.25">
      <c r="V342" s="2">
        <v>0</v>
      </c>
      <c r="W342" s="2"/>
    </row>
    <row r="343" spans="22:23" x14ac:dyDescent="0.25">
      <c r="V343" s="2">
        <v>0</v>
      </c>
      <c r="W343" s="2"/>
    </row>
    <row r="344" spans="22:23" x14ac:dyDescent="0.25">
      <c r="V344" s="2">
        <v>0</v>
      </c>
      <c r="W344" s="2"/>
    </row>
    <row r="345" spans="22:23" x14ac:dyDescent="0.25">
      <c r="V345" s="2">
        <v>0</v>
      </c>
      <c r="W345" s="2"/>
    </row>
    <row r="346" spans="22:23" x14ac:dyDescent="0.25">
      <c r="V346" s="2">
        <v>0</v>
      </c>
      <c r="W346" s="2"/>
    </row>
    <row r="347" spans="22:23" x14ac:dyDescent="0.25">
      <c r="V347" s="2">
        <v>0</v>
      </c>
      <c r="W347" s="2"/>
    </row>
    <row r="348" spans="22:23" x14ac:dyDescent="0.25">
      <c r="V348" s="2">
        <v>0</v>
      </c>
      <c r="W348" s="2"/>
    </row>
    <row r="349" spans="22:23" x14ac:dyDescent="0.25">
      <c r="V349" s="2">
        <v>0</v>
      </c>
      <c r="W349" s="2"/>
    </row>
    <row r="350" spans="22:23" x14ac:dyDescent="0.25">
      <c r="V350" s="2">
        <v>0</v>
      </c>
      <c r="W350" s="2"/>
    </row>
    <row r="351" spans="22:23" x14ac:dyDescent="0.25">
      <c r="V351" s="2">
        <v>0</v>
      </c>
      <c r="W351" s="2"/>
    </row>
    <row r="352" spans="22:23" x14ac:dyDescent="0.25">
      <c r="V352" s="2">
        <v>0</v>
      </c>
      <c r="W352" s="2"/>
    </row>
    <row r="353" spans="22:23" x14ac:dyDescent="0.25">
      <c r="V353" s="2">
        <v>0</v>
      </c>
      <c r="W353" s="2"/>
    </row>
    <row r="354" spans="22:23" x14ac:dyDescent="0.25">
      <c r="V354" s="2">
        <v>0</v>
      </c>
      <c r="W354" s="2"/>
    </row>
    <row r="355" spans="22:23" x14ac:dyDescent="0.25">
      <c r="V355" s="2">
        <v>0</v>
      </c>
      <c r="W355" s="2"/>
    </row>
    <row r="356" spans="22:23" x14ac:dyDescent="0.25">
      <c r="V356" s="2">
        <v>0</v>
      </c>
      <c r="W356" s="2"/>
    </row>
    <row r="357" spans="22:23" x14ac:dyDescent="0.25">
      <c r="V357" s="2">
        <v>0</v>
      </c>
      <c r="W357" s="2"/>
    </row>
    <row r="358" spans="22:23" x14ac:dyDescent="0.25">
      <c r="V358" s="2">
        <v>0</v>
      </c>
      <c r="W358" s="2"/>
    </row>
    <row r="359" spans="22:23" x14ac:dyDescent="0.25">
      <c r="V359" s="2">
        <v>0</v>
      </c>
      <c r="W359" s="2"/>
    </row>
    <row r="360" spans="22:23" x14ac:dyDescent="0.25">
      <c r="V360" s="2">
        <v>0</v>
      </c>
      <c r="W360" s="2"/>
    </row>
    <row r="361" spans="22:23" x14ac:dyDescent="0.25">
      <c r="V361" s="2">
        <v>0</v>
      </c>
      <c r="W361" s="2"/>
    </row>
    <row r="362" spans="22:23" x14ac:dyDescent="0.25">
      <c r="V362" s="2">
        <v>0</v>
      </c>
      <c r="W362" s="2"/>
    </row>
    <row r="363" spans="22:23" x14ac:dyDescent="0.25">
      <c r="V363" s="2">
        <v>0</v>
      </c>
      <c r="W363" s="2"/>
    </row>
    <row r="364" spans="22:23" x14ac:dyDescent="0.25">
      <c r="V364" s="2">
        <v>0</v>
      </c>
      <c r="W364" s="2"/>
    </row>
    <row r="365" spans="22:23" x14ac:dyDescent="0.25">
      <c r="V365" s="2">
        <v>0</v>
      </c>
      <c r="W365" s="2"/>
    </row>
    <row r="366" spans="22:23" x14ac:dyDescent="0.25">
      <c r="V366" s="2">
        <v>0</v>
      </c>
      <c r="W366" s="2"/>
    </row>
    <row r="367" spans="22:23" x14ac:dyDescent="0.25">
      <c r="V367" s="2">
        <v>0</v>
      </c>
      <c r="W367" s="2"/>
    </row>
    <row r="368" spans="22:23" x14ac:dyDescent="0.25">
      <c r="V368" s="2">
        <v>0</v>
      </c>
      <c r="W368" s="2"/>
    </row>
    <row r="369" spans="22:23" x14ac:dyDescent="0.25">
      <c r="V369" s="2">
        <v>0</v>
      </c>
      <c r="W369" s="2"/>
    </row>
    <row r="370" spans="22:23" x14ac:dyDescent="0.25">
      <c r="V370" s="2">
        <v>0</v>
      </c>
      <c r="W370" s="2"/>
    </row>
    <row r="371" spans="22:23" x14ac:dyDescent="0.25">
      <c r="V371" s="2">
        <v>0</v>
      </c>
      <c r="W371" s="2"/>
    </row>
    <row r="372" spans="22:23" x14ac:dyDescent="0.25">
      <c r="V372" s="2">
        <v>0</v>
      </c>
      <c r="W372" s="2"/>
    </row>
    <row r="373" spans="22:23" x14ac:dyDescent="0.25">
      <c r="V373" s="2">
        <v>0</v>
      </c>
      <c r="W373" s="2"/>
    </row>
    <row r="374" spans="22:23" x14ac:dyDescent="0.25">
      <c r="V374" s="2">
        <v>0</v>
      </c>
      <c r="W374" s="2"/>
    </row>
    <row r="375" spans="22:23" x14ac:dyDescent="0.25">
      <c r="V375" s="2">
        <v>0</v>
      </c>
      <c r="W375" s="2"/>
    </row>
    <row r="376" spans="22:23" x14ac:dyDescent="0.25">
      <c r="V376" s="2">
        <v>0</v>
      </c>
      <c r="W376" s="2"/>
    </row>
    <row r="377" spans="22:23" x14ac:dyDescent="0.25">
      <c r="V377" s="2">
        <v>0</v>
      </c>
      <c r="W377" s="2"/>
    </row>
    <row r="378" spans="22:23" x14ac:dyDescent="0.25">
      <c r="V378" s="2">
        <v>0</v>
      </c>
      <c r="W378" s="2"/>
    </row>
    <row r="379" spans="22:23" x14ac:dyDescent="0.25">
      <c r="V379" s="2">
        <v>0</v>
      </c>
      <c r="W379" s="2"/>
    </row>
    <row r="380" spans="22:23" x14ac:dyDescent="0.25">
      <c r="V380" s="2">
        <v>0</v>
      </c>
      <c r="W380" s="2"/>
    </row>
    <row r="381" spans="22:23" x14ac:dyDescent="0.25">
      <c r="V381" s="2">
        <v>0</v>
      </c>
      <c r="W381" s="2"/>
    </row>
    <row r="382" spans="22:23" x14ac:dyDescent="0.25">
      <c r="V382" s="2">
        <v>0</v>
      </c>
      <c r="W382" s="2"/>
    </row>
    <row r="383" spans="22:23" x14ac:dyDescent="0.25">
      <c r="V383" s="2">
        <v>0</v>
      </c>
      <c r="W383" s="2"/>
    </row>
    <row r="384" spans="22:23" x14ac:dyDescent="0.25">
      <c r="V384" s="2">
        <v>0</v>
      </c>
      <c r="W384" s="2"/>
    </row>
    <row r="385" spans="22:23" x14ac:dyDescent="0.25">
      <c r="V385" s="2">
        <v>0</v>
      </c>
      <c r="W385" s="2"/>
    </row>
    <row r="386" spans="22:23" x14ac:dyDescent="0.25">
      <c r="V386" s="2">
        <v>0</v>
      </c>
      <c r="W386" s="2"/>
    </row>
    <row r="387" spans="22:23" x14ac:dyDescent="0.25">
      <c r="V387" s="2">
        <v>0</v>
      </c>
      <c r="W387" s="2"/>
    </row>
    <row r="388" spans="22:23" x14ac:dyDescent="0.25">
      <c r="V388" s="2">
        <v>0</v>
      </c>
      <c r="W388" s="2"/>
    </row>
    <row r="389" spans="22:23" x14ac:dyDescent="0.25">
      <c r="V389" s="2">
        <v>0</v>
      </c>
      <c r="W389" s="2"/>
    </row>
    <row r="390" spans="22:23" x14ac:dyDescent="0.25">
      <c r="V390" s="2">
        <v>0</v>
      </c>
      <c r="W390" s="2"/>
    </row>
    <row r="391" spans="22:23" x14ac:dyDescent="0.25">
      <c r="V391" s="2">
        <v>0</v>
      </c>
      <c r="W391" s="2"/>
    </row>
    <row r="392" spans="22:23" x14ac:dyDescent="0.25">
      <c r="V392" s="2">
        <v>0</v>
      </c>
      <c r="W392" s="2"/>
    </row>
    <row r="393" spans="22:23" x14ac:dyDescent="0.25">
      <c r="V393" s="2">
        <v>0</v>
      </c>
      <c r="W393" s="2"/>
    </row>
    <row r="394" spans="22:23" x14ac:dyDescent="0.25">
      <c r="V394" s="2">
        <v>0</v>
      </c>
      <c r="W394" s="2"/>
    </row>
    <row r="395" spans="22:23" x14ac:dyDescent="0.25">
      <c r="V395" s="2">
        <v>0</v>
      </c>
      <c r="W395" s="2"/>
    </row>
    <row r="396" spans="22:23" x14ac:dyDescent="0.25">
      <c r="V396" s="2">
        <v>0</v>
      </c>
      <c r="W396" s="2"/>
    </row>
    <row r="397" spans="22:23" x14ac:dyDescent="0.25">
      <c r="V397" s="2">
        <v>0</v>
      </c>
      <c r="W397" s="2"/>
    </row>
    <row r="398" spans="22:23" x14ac:dyDescent="0.25">
      <c r="V398" s="2">
        <v>0</v>
      </c>
      <c r="W398" s="2"/>
    </row>
    <row r="399" spans="22:23" x14ac:dyDescent="0.25">
      <c r="V399" s="2">
        <v>0</v>
      </c>
      <c r="W399" s="2"/>
    </row>
    <row r="400" spans="22:23" x14ac:dyDescent="0.25">
      <c r="V400" s="2">
        <v>0</v>
      </c>
      <c r="W400" s="2"/>
    </row>
    <row r="401" spans="22:23" x14ac:dyDescent="0.25">
      <c r="V401" s="2">
        <v>0</v>
      </c>
      <c r="W401" s="2"/>
    </row>
    <row r="402" spans="22:23" x14ac:dyDescent="0.25">
      <c r="V402" s="2">
        <v>0</v>
      </c>
      <c r="W402" s="2"/>
    </row>
    <row r="403" spans="22:23" x14ac:dyDescent="0.25">
      <c r="V403" s="2">
        <v>0</v>
      </c>
      <c r="W403" s="2"/>
    </row>
    <row r="404" spans="22:23" x14ac:dyDescent="0.25">
      <c r="V404" s="2">
        <v>0</v>
      </c>
      <c r="W404" s="2"/>
    </row>
    <row r="405" spans="22:23" x14ac:dyDescent="0.25">
      <c r="V405" s="2">
        <v>0</v>
      </c>
      <c r="W405" s="2"/>
    </row>
    <row r="406" spans="22:23" x14ac:dyDescent="0.25">
      <c r="V406" s="2">
        <v>0</v>
      </c>
      <c r="W406" s="2"/>
    </row>
    <row r="407" spans="22:23" x14ac:dyDescent="0.25">
      <c r="V407" s="2">
        <v>0</v>
      </c>
      <c r="W407" s="2"/>
    </row>
    <row r="408" spans="22:23" x14ac:dyDescent="0.25">
      <c r="V408" s="2">
        <v>0</v>
      </c>
      <c r="W408" s="2"/>
    </row>
    <row r="409" spans="22:23" x14ac:dyDescent="0.25">
      <c r="V409" s="2">
        <v>0</v>
      </c>
      <c r="W409" s="2"/>
    </row>
    <row r="410" spans="22:23" x14ac:dyDescent="0.25">
      <c r="V410" s="2">
        <v>0</v>
      </c>
      <c r="W410" s="2"/>
    </row>
    <row r="411" spans="22:23" x14ac:dyDescent="0.25">
      <c r="V411" s="2">
        <v>0</v>
      </c>
      <c r="W411" s="2"/>
    </row>
    <row r="412" spans="22:23" x14ac:dyDescent="0.25">
      <c r="V412" s="2">
        <v>0</v>
      </c>
      <c r="W412" s="2"/>
    </row>
    <row r="413" spans="22:23" x14ac:dyDescent="0.25">
      <c r="V413" s="2">
        <v>0</v>
      </c>
      <c r="W413" s="2"/>
    </row>
    <row r="414" spans="22:23" x14ac:dyDescent="0.25">
      <c r="V414" s="2">
        <v>0</v>
      </c>
      <c r="W414" s="2"/>
    </row>
    <row r="415" spans="22:23" x14ac:dyDescent="0.25">
      <c r="V415" s="2">
        <v>0</v>
      </c>
      <c r="W415" s="2"/>
    </row>
    <row r="416" spans="22:23" x14ac:dyDescent="0.25">
      <c r="V416" s="2">
        <v>0</v>
      </c>
      <c r="W416" s="2"/>
    </row>
    <row r="417" spans="22:23" x14ac:dyDescent="0.25">
      <c r="V417" s="2">
        <v>0</v>
      </c>
      <c r="W417" s="2"/>
    </row>
    <row r="418" spans="22:23" x14ac:dyDescent="0.25">
      <c r="V418" s="2">
        <v>0</v>
      </c>
      <c r="W418" s="2"/>
    </row>
    <row r="419" spans="22:23" x14ac:dyDescent="0.25">
      <c r="V419" s="2">
        <v>0</v>
      </c>
      <c r="W419" s="2"/>
    </row>
    <row r="420" spans="22:23" x14ac:dyDescent="0.25">
      <c r="V420" s="2">
        <v>0</v>
      </c>
      <c r="W420" s="2"/>
    </row>
    <row r="421" spans="22:23" x14ac:dyDescent="0.25">
      <c r="V421" s="2">
        <v>0</v>
      </c>
      <c r="W421" s="2"/>
    </row>
    <row r="422" spans="22:23" x14ac:dyDescent="0.25">
      <c r="V422" s="2">
        <v>0</v>
      </c>
      <c r="W422" s="2"/>
    </row>
    <row r="423" spans="22:23" x14ac:dyDescent="0.25">
      <c r="V423" s="2">
        <v>0</v>
      </c>
      <c r="W423" s="2"/>
    </row>
    <row r="424" spans="22:23" x14ac:dyDescent="0.25">
      <c r="V424" s="2">
        <v>0</v>
      </c>
      <c r="W424" s="2"/>
    </row>
    <row r="425" spans="22:23" x14ac:dyDescent="0.25">
      <c r="V425" s="2">
        <v>0</v>
      </c>
      <c r="W425" s="2"/>
    </row>
    <row r="426" spans="22:23" x14ac:dyDescent="0.25">
      <c r="V426" s="2">
        <v>0</v>
      </c>
      <c r="W426" s="2"/>
    </row>
    <row r="427" spans="22:23" x14ac:dyDescent="0.25">
      <c r="V427" s="2">
        <v>0</v>
      </c>
      <c r="W427" s="2"/>
    </row>
    <row r="428" spans="22:23" x14ac:dyDescent="0.25">
      <c r="V428" s="2">
        <v>0</v>
      </c>
      <c r="W428" s="2"/>
    </row>
    <row r="429" spans="22:23" x14ac:dyDescent="0.25">
      <c r="V429" s="2">
        <v>0</v>
      </c>
      <c r="W429" s="2"/>
    </row>
    <row r="430" spans="22:23" x14ac:dyDescent="0.25">
      <c r="V430" s="2">
        <v>0</v>
      </c>
      <c r="W430" s="2"/>
    </row>
    <row r="431" spans="22:23" x14ac:dyDescent="0.25">
      <c r="V431" s="2">
        <v>0</v>
      </c>
      <c r="W431" s="2"/>
    </row>
    <row r="432" spans="22:23" x14ac:dyDescent="0.25">
      <c r="V432" s="2">
        <v>0</v>
      </c>
      <c r="W432" s="2"/>
    </row>
    <row r="433" spans="22:23" x14ac:dyDescent="0.25">
      <c r="V433" s="2">
        <v>0</v>
      </c>
      <c r="W433" s="2"/>
    </row>
    <row r="434" spans="22:23" x14ac:dyDescent="0.25">
      <c r="V434" s="2">
        <v>0</v>
      </c>
      <c r="W434" s="2"/>
    </row>
    <row r="435" spans="22:23" x14ac:dyDescent="0.25">
      <c r="V435" s="2">
        <v>0</v>
      </c>
      <c r="W435" s="2"/>
    </row>
    <row r="436" spans="22:23" x14ac:dyDescent="0.25">
      <c r="V436" s="2">
        <v>0</v>
      </c>
      <c r="W436" s="2"/>
    </row>
    <row r="437" spans="22:23" x14ac:dyDescent="0.25">
      <c r="V437" s="2">
        <v>0</v>
      </c>
      <c r="W437" s="2"/>
    </row>
    <row r="438" spans="22:23" x14ac:dyDescent="0.25">
      <c r="V438" s="2">
        <v>0</v>
      </c>
      <c r="W438" s="2"/>
    </row>
    <row r="439" spans="22:23" x14ac:dyDescent="0.25">
      <c r="V439" s="2">
        <v>0</v>
      </c>
      <c r="W439" s="2"/>
    </row>
    <row r="440" spans="22:23" x14ac:dyDescent="0.25">
      <c r="V440" s="2">
        <v>0</v>
      </c>
      <c r="W440" s="2"/>
    </row>
    <row r="441" spans="22:23" x14ac:dyDescent="0.25">
      <c r="V441" s="2">
        <v>0</v>
      </c>
      <c r="W441" s="2"/>
    </row>
    <row r="442" spans="22:23" x14ac:dyDescent="0.25">
      <c r="V442" s="2">
        <v>0</v>
      </c>
      <c r="W442" s="2"/>
    </row>
    <row r="443" spans="22:23" x14ac:dyDescent="0.25">
      <c r="V443" s="2">
        <v>0</v>
      </c>
      <c r="W443" s="2"/>
    </row>
    <row r="444" spans="22:23" x14ac:dyDescent="0.25">
      <c r="V444" s="2">
        <v>0</v>
      </c>
      <c r="W444" s="2"/>
    </row>
    <row r="445" spans="22:23" x14ac:dyDescent="0.25">
      <c r="V445" s="2">
        <v>0</v>
      </c>
      <c r="W445" s="2"/>
    </row>
    <row r="446" spans="22:23" x14ac:dyDescent="0.25">
      <c r="V446" s="2">
        <v>0</v>
      </c>
      <c r="W446" s="2"/>
    </row>
    <row r="447" spans="22:23" x14ac:dyDescent="0.25">
      <c r="V447" s="2">
        <v>0</v>
      </c>
      <c r="W447" s="2"/>
    </row>
    <row r="448" spans="22:23" x14ac:dyDescent="0.25">
      <c r="V448" s="2">
        <v>0</v>
      </c>
      <c r="W448" s="2"/>
    </row>
    <row r="449" spans="22:23" x14ac:dyDescent="0.25">
      <c r="V449" s="2">
        <v>0</v>
      </c>
      <c r="W449" s="2"/>
    </row>
    <row r="450" spans="22:23" x14ac:dyDescent="0.25">
      <c r="V450" s="2">
        <v>0</v>
      </c>
      <c r="W450" s="2"/>
    </row>
    <row r="451" spans="22:23" x14ac:dyDescent="0.25">
      <c r="V451" s="2">
        <v>0</v>
      </c>
      <c r="W451" s="2"/>
    </row>
    <row r="452" spans="22:23" x14ac:dyDescent="0.25">
      <c r="V452" s="2">
        <v>0</v>
      </c>
      <c r="W452" s="2"/>
    </row>
    <row r="453" spans="22:23" x14ac:dyDescent="0.25">
      <c r="V453" s="2">
        <v>0</v>
      </c>
      <c r="W453" s="2"/>
    </row>
    <row r="454" spans="22:23" x14ac:dyDescent="0.25">
      <c r="V454" s="2">
        <v>0</v>
      </c>
      <c r="W454" s="2"/>
    </row>
    <row r="455" spans="22:23" x14ac:dyDescent="0.25">
      <c r="V455" s="2">
        <v>0</v>
      </c>
      <c r="W455" s="2"/>
    </row>
    <row r="456" spans="22:23" x14ac:dyDescent="0.25">
      <c r="V456" s="2">
        <v>0</v>
      </c>
      <c r="W456" s="2"/>
    </row>
    <row r="457" spans="22:23" x14ac:dyDescent="0.25">
      <c r="V457" s="2">
        <v>0</v>
      </c>
      <c r="W457" s="2"/>
    </row>
    <row r="458" spans="22:23" x14ac:dyDescent="0.25">
      <c r="V458" s="2">
        <v>0</v>
      </c>
      <c r="W458" s="2"/>
    </row>
    <row r="459" spans="22:23" x14ac:dyDescent="0.25">
      <c r="V459" s="2">
        <v>0</v>
      </c>
      <c r="W459" s="2"/>
    </row>
    <row r="460" spans="22:23" x14ac:dyDescent="0.25">
      <c r="V460" s="2">
        <v>0</v>
      </c>
      <c r="W460" s="2"/>
    </row>
    <row r="461" spans="22:23" x14ac:dyDescent="0.25">
      <c r="V461" s="2">
        <v>0</v>
      </c>
      <c r="W461" s="2"/>
    </row>
    <row r="462" spans="22:23" x14ac:dyDescent="0.25">
      <c r="V462" s="2">
        <v>0</v>
      </c>
      <c r="W462" s="2"/>
    </row>
    <row r="463" spans="22:23" x14ac:dyDescent="0.25">
      <c r="V463" s="2">
        <v>0</v>
      </c>
      <c r="W463" s="2"/>
    </row>
    <row r="464" spans="22:23" x14ac:dyDescent="0.25">
      <c r="V464" s="2">
        <v>0</v>
      </c>
      <c r="W464" s="2"/>
    </row>
    <row r="465" spans="22:23" x14ac:dyDescent="0.25">
      <c r="V465" s="2">
        <v>0</v>
      </c>
      <c r="W465" s="2"/>
    </row>
    <row r="466" spans="22:23" x14ac:dyDescent="0.25">
      <c r="V466" s="2">
        <v>0</v>
      </c>
      <c r="W466" s="2"/>
    </row>
    <row r="467" spans="22:23" x14ac:dyDescent="0.25">
      <c r="V467" s="2">
        <v>0</v>
      </c>
      <c r="W467" s="2"/>
    </row>
    <row r="468" spans="22:23" x14ac:dyDescent="0.25">
      <c r="V468" s="2">
        <v>0</v>
      </c>
      <c r="W468" s="2"/>
    </row>
    <row r="469" spans="22:23" x14ac:dyDescent="0.25">
      <c r="V469" s="2">
        <v>0</v>
      </c>
      <c r="W469" s="2"/>
    </row>
    <row r="470" spans="22:23" x14ac:dyDescent="0.25">
      <c r="V470" s="2">
        <v>0</v>
      </c>
      <c r="W470" s="2"/>
    </row>
    <row r="471" spans="22:23" x14ac:dyDescent="0.25">
      <c r="V471" s="2">
        <v>0</v>
      </c>
      <c r="W471" s="2"/>
    </row>
    <row r="472" spans="22:23" x14ac:dyDescent="0.25">
      <c r="V472" s="2">
        <v>0</v>
      </c>
      <c r="W472" s="2"/>
    </row>
    <row r="473" spans="22:23" x14ac:dyDescent="0.25">
      <c r="V473" s="2">
        <v>0</v>
      </c>
      <c r="W473" s="2"/>
    </row>
    <row r="474" spans="22:23" x14ac:dyDescent="0.25">
      <c r="V474" s="2">
        <v>0</v>
      </c>
      <c r="W474" s="2"/>
    </row>
    <row r="475" spans="22:23" x14ac:dyDescent="0.25">
      <c r="V475" s="2">
        <v>0</v>
      </c>
      <c r="W475" s="2"/>
    </row>
    <row r="476" spans="22:23" x14ac:dyDescent="0.25">
      <c r="V476" s="2">
        <v>0</v>
      </c>
      <c r="W476" s="2"/>
    </row>
    <row r="477" spans="22:23" x14ac:dyDescent="0.25">
      <c r="V477" s="2">
        <v>0</v>
      </c>
      <c r="W477" s="2"/>
    </row>
    <row r="478" spans="22:23" x14ac:dyDescent="0.25">
      <c r="V478" s="2">
        <v>0</v>
      </c>
      <c r="W478" s="2"/>
    </row>
    <row r="479" spans="22:23" x14ac:dyDescent="0.25">
      <c r="V479" s="2">
        <v>0</v>
      </c>
      <c r="W479" s="2"/>
    </row>
    <row r="480" spans="22:23" x14ac:dyDescent="0.25">
      <c r="V480" s="2">
        <v>0</v>
      </c>
      <c r="W480" s="2"/>
    </row>
    <row r="481" spans="22:23" x14ac:dyDescent="0.25">
      <c r="V481" s="2">
        <v>0</v>
      </c>
      <c r="W481" s="2"/>
    </row>
    <row r="482" spans="22:23" x14ac:dyDescent="0.25">
      <c r="V482" s="2">
        <v>0</v>
      </c>
      <c r="W482" s="2"/>
    </row>
    <row r="483" spans="22:23" x14ac:dyDescent="0.25">
      <c r="V483" s="2">
        <v>0</v>
      </c>
      <c r="W483" s="2"/>
    </row>
    <row r="484" spans="22:23" x14ac:dyDescent="0.25">
      <c r="V484" s="2">
        <v>0</v>
      </c>
      <c r="W484" s="2"/>
    </row>
    <row r="485" spans="22:23" x14ac:dyDescent="0.25">
      <c r="V485" s="2">
        <v>0</v>
      </c>
      <c r="W485" s="2"/>
    </row>
    <row r="486" spans="22:23" x14ac:dyDescent="0.25">
      <c r="V486" s="2">
        <v>0</v>
      </c>
      <c r="W486" s="2"/>
    </row>
    <row r="487" spans="22:23" x14ac:dyDescent="0.25">
      <c r="V487" s="2">
        <v>0</v>
      </c>
      <c r="W487" s="2"/>
    </row>
    <row r="488" spans="22:23" x14ac:dyDescent="0.25">
      <c r="V488" s="2">
        <v>0</v>
      </c>
      <c r="W488" s="2"/>
    </row>
    <row r="489" spans="22:23" x14ac:dyDescent="0.25">
      <c r="V489" s="2">
        <v>0</v>
      </c>
      <c r="W489" s="2"/>
    </row>
    <row r="490" spans="22:23" x14ac:dyDescent="0.25">
      <c r="V490" s="2">
        <v>0</v>
      </c>
      <c r="W490" s="2"/>
    </row>
    <row r="491" spans="22:23" x14ac:dyDescent="0.25">
      <c r="V491" s="2">
        <v>0</v>
      </c>
      <c r="W491" s="2"/>
    </row>
    <row r="492" spans="22:23" x14ac:dyDescent="0.25">
      <c r="V492" s="2">
        <v>0</v>
      </c>
      <c r="W492" s="2"/>
    </row>
    <row r="493" spans="22:23" x14ac:dyDescent="0.25">
      <c r="V493" s="2">
        <v>0</v>
      </c>
      <c r="W493" s="2"/>
    </row>
    <row r="494" spans="22:23" x14ac:dyDescent="0.25">
      <c r="V494" s="2">
        <v>0</v>
      </c>
      <c r="W494" s="2"/>
    </row>
    <row r="495" spans="22:23" x14ac:dyDescent="0.25">
      <c r="V495" s="2">
        <v>0</v>
      </c>
      <c r="W495" s="2"/>
    </row>
    <row r="496" spans="22:23" x14ac:dyDescent="0.25">
      <c r="V496" s="2">
        <v>0</v>
      </c>
      <c r="W496" s="2"/>
    </row>
    <row r="497" spans="22:23" x14ac:dyDescent="0.25">
      <c r="V497" s="2">
        <v>0</v>
      </c>
      <c r="W497" s="2"/>
    </row>
    <row r="498" spans="22:23" x14ac:dyDescent="0.25">
      <c r="V498" s="2">
        <v>0</v>
      </c>
      <c r="W498" s="2"/>
    </row>
    <row r="499" spans="22:23" x14ac:dyDescent="0.25">
      <c r="V499" s="2">
        <v>0</v>
      </c>
      <c r="W499" s="2"/>
    </row>
    <row r="500" spans="22:23" x14ac:dyDescent="0.25">
      <c r="V500" s="2">
        <v>0</v>
      </c>
      <c r="W500" s="2"/>
    </row>
    <row r="501" spans="22:23" x14ac:dyDescent="0.25">
      <c r="V501" s="2">
        <v>0</v>
      </c>
      <c r="W501" s="2"/>
    </row>
    <row r="502" spans="22:23" x14ac:dyDescent="0.25">
      <c r="V502" s="2">
        <v>0</v>
      </c>
      <c r="W502" s="2"/>
    </row>
    <row r="503" spans="22:23" x14ac:dyDescent="0.25">
      <c r="V503" s="2">
        <v>0</v>
      </c>
      <c r="W503" s="2"/>
    </row>
    <row r="504" spans="22:23" x14ac:dyDescent="0.25">
      <c r="V504" s="2">
        <v>0</v>
      </c>
      <c r="W504" s="2"/>
    </row>
    <row r="505" spans="22:23" x14ac:dyDescent="0.25">
      <c r="V505" s="2">
        <v>0</v>
      </c>
      <c r="W505" s="2"/>
    </row>
    <row r="506" spans="22:23" x14ac:dyDescent="0.25">
      <c r="V506" s="2">
        <v>0</v>
      </c>
      <c r="W506" s="2"/>
    </row>
    <row r="507" spans="22:23" x14ac:dyDescent="0.25">
      <c r="V507" s="2">
        <v>0</v>
      </c>
      <c r="W507" s="2"/>
    </row>
    <row r="508" spans="22:23" x14ac:dyDescent="0.25">
      <c r="V508" s="2">
        <v>0</v>
      </c>
      <c r="W508" s="2"/>
    </row>
    <row r="509" spans="22:23" x14ac:dyDescent="0.25">
      <c r="V509" s="2">
        <v>0</v>
      </c>
      <c r="W509" s="2"/>
    </row>
    <row r="510" spans="22:23" x14ac:dyDescent="0.25">
      <c r="V510" s="2">
        <v>0</v>
      </c>
      <c r="W510" s="2"/>
    </row>
    <row r="511" spans="22:23" x14ac:dyDescent="0.25">
      <c r="V511" s="2">
        <v>0</v>
      </c>
      <c r="W511" s="2"/>
    </row>
    <row r="512" spans="22:23" x14ac:dyDescent="0.25">
      <c r="V512" s="2">
        <v>0</v>
      </c>
      <c r="W512" s="2"/>
    </row>
    <row r="513" spans="22:23" x14ac:dyDescent="0.25">
      <c r="V513" s="2">
        <v>0</v>
      </c>
      <c r="W513" s="2"/>
    </row>
    <row r="514" spans="22:23" x14ac:dyDescent="0.25">
      <c r="V514" s="2">
        <v>0</v>
      </c>
      <c r="W514" s="2"/>
    </row>
    <row r="515" spans="22:23" x14ac:dyDescent="0.25">
      <c r="V515" s="2">
        <v>0</v>
      </c>
      <c r="W515" s="2"/>
    </row>
    <row r="516" spans="22:23" x14ac:dyDescent="0.25">
      <c r="V516" s="2">
        <v>0</v>
      </c>
      <c r="W516" s="2"/>
    </row>
    <row r="517" spans="22:23" x14ac:dyDescent="0.25">
      <c r="V517" s="2">
        <v>0</v>
      </c>
      <c r="W517" s="2"/>
    </row>
    <row r="518" spans="22:23" x14ac:dyDescent="0.25">
      <c r="V518" s="2">
        <v>0</v>
      </c>
      <c r="W518" s="2"/>
    </row>
    <row r="519" spans="22:23" x14ac:dyDescent="0.25">
      <c r="V519" s="2">
        <v>0</v>
      </c>
      <c r="W519" s="2"/>
    </row>
    <row r="520" spans="22:23" x14ac:dyDescent="0.25">
      <c r="V520" s="2">
        <v>0</v>
      </c>
      <c r="W520" s="2"/>
    </row>
    <row r="521" spans="22:23" x14ac:dyDescent="0.25">
      <c r="V521" s="2">
        <v>0</v>
      </c>
      <c r="W521" s="2"/>
    </row>
    <row r="522" spans="22:23" x14ac:dyDescent="0.25">
      <c r="V522" s="2">
        <v>0</v>
      </c>
      <c r="W522" s="2"/>
    </row>
    <row r="523" spans="22:23" x14ac:dyDescent="0.25">
      <c r="V523" s="2">
        <v>0</v>
      </c>
      <c r="W523" s="2"/>
    </row>
    <row r="524" spans="22:23" x14ac:dyDescent="0.25">
      <c r="V524" s="2">
        <v>0</v>
      </c>
      <c r="W524" s="2"/>
    </row>
    <row r="525" spans="22:23" x14ac:dyDescent="0.25">
      <c r="V525" s="2">
        <v>0</v>
      </c>
      <c r="W525" s="2"/>
    </row>
    <row r="526" spans="22:23" x14ac:dyDescent="0.25">
      <c r="V526" s="2">
        <v>0</v>
      </c>
      <c r="W526" s="2"/>
    </row>
    <row r="527" spans="22:23" x14ac:dyDescent="0.25">
      <c r="V527" s="2">
        <v>0</v>
      </c>
      <c r="W527" s="2"/>
    </row>
    <row r="528" spans="22:23" x14ac:dyDescent="0.25">
      <c r="V528" s="2">
        <v>0</v>
      </c>
      <c r="W528" s="2"/>
    </row>
    <row r="529" spans="22:23" x14ac:dyDescent="0.25">
      <c r="V529" s="2">
        <v>0</v>
      </c>
      <c r="W529" s="2"/>
    </row>
    <row r="530" spans="22:23" x14ac:dyDescent="0.25">
      <c r="V530" s="2">
        <v>0</v>
      </c>
      <c r="W530" s="2"/>
    </row>
    <row r="531" spans="22:23" x14ac:dyDescent="0.25">
      <c r="V531" s="2">
        <v>0</v>
      </c>
      <c r="W531" s="2"/>
    </row>
    <row r="532" spans="22:23" x14ac:dyDescent="0.25">
      <c r="V532" s="2">
        <v>0</v>
      </c>
      <c r="W532" s="2"/>
    </row>
    <row r="533" spans="22:23" x14ac:dyDescent="0.25">
      <c r="V533" s="2">
        <v>0</v>
      </c>
      <c r="W533" s="2"/>
    </row>
    <row r="534" spans="22:23" x14ac:dyDescent="0.25">
      <c r="V534" s="2">
        <v>0</v>
      </c>
      <c r="W534" s="2"/>
    </row>
    <row r="535" spans="22:23" x14ac:dyDescent="0.25">
      <c r="V535" s="2">
        <v>0</v>
      </c>
      <c r="W535" s="2"/>
    </row>
    <row r="536" spans="22:23" x14ac:dyDescent="0.25">
      <c r="V536" s="2">
        <v>0</v>
      </c>
      <c r="W536" s="2"/>
    </row>
    <row r="537" spans="22:23" x14ac:dyDescent="0.25">
      <c r="V537" s="2">
        <v>0</v>
      </c>
      <c r="W537" s="2"/>
    </row>
    <row r="538" spans="22:23" x14ac:dyDescent="0.25">
      <c r="V538" s="2">
        <v>0</v>
      </c>
      <c r="W538" s="2"/>
    </row>
    <row r="539" spans="22:23" x14ac:dyDescent="0.25">
      <c r="V539" s="2">
        <v>0</v>
      </c>
      <c r="W539" s="2"/>
    </row>
    <row r="540" spans="22:23" x14ac:dyDescent="0.25">
      <c r="V540" s="2">
        <v>0</v>
      </c>
      <c r="W540" s="2"/>
    </row>
    <row r="541" spans="22:23" x14ac:dyDescent="0.25">
      <c r="V541" s="2">
        <v>0</v>
      </c>
      <c r="W541" s="2"/>
    </row>
    <row r="542" spans="22:23" x14ac:dyDescent="0.25">
      <c r="V542" s="2">
        <v>0</v>
      </c>
      <c r="W542" s="2"/>
    </row>
    <row r="543" spans="22:23" x14ac:dyDescent="0.25">
      <c r="V543" s="2">
        <v>0</v>
      </c>
      <c r="W543" s="2"/>
    </row>
    <row r="544" spans="22:23" x14ac:dyDescent="0.25">
      <c r="V544" s="2">
        <v>0</v>
      </c>
      <c r="W544" s="2"/>
    </row>
    <row r="545" spans="22:23" x14ac:dyDescent="0.25">
      <c r="V545" s="2">
        <v>0</v>
      </c>
      <c r="W545" s="2"/>
    </row>
    <row r="546" spans="22:23" x14ac:dyDescent="0.25">
      <c r="V546" s="2">
        <v>0</v>
      </c>
      <c r="W546" s="2"/>
    </row>
    <row r="547" spans="22:23" x14ac:dyDescent="0.25">
      <c r="V547" s="2">
        <v>0</v>
      </c>
      <c r="W547" s="2"/>
    </row>
    <row r="548" spans="22:23" x14ac:dyDescent="0.25">
      <c r="V548" s="2">
        <v>0</v>
      </c>
      <c r="W548" s="2"/>
    </row>
    <row r="549" spans="22:23" x14ac:dyDescent="0.25">
      <c r="V549" s="2">
        <v>0</v>
      </c>
      <c r="W549" s="2"/>
    </row>
    <row r="550" spans="22:23" x14ac:dyDescent="0.25">
      <c r="V550" s="2">
        <v>0</v>
      </c>
      <c r="W550" s="2"/>
    </row>
    <row r="551" spans="22:23" x14ac:dyDescent="0.25">
      <c r="V551" s="2">
        <v>0</v>
      </c>
      <c r="W551" s="2"/>
    </row>
    <row r="552" spans="22:23" x14ac:dyDescent="0.25">
      <c r="V552" s="2">
        <v>0</v>
      </c>
      <c r="W552" s="2"/>
    </row>
    <row r="553" spans="22:23" x14ac:dyDescent="0.25">
      <c r="V553" s="2">
        <v>0</v>
      </c>
      <c r="W553" s="2"/>
    </row>
    <row r="554" spans="22:23" x14ac:dyDescent="0.25">
      <c r="V554" s="2">
        <v>0</v>
      </c>
      <c r="W554" s="2"/>
    </row>
    <row r="555" spans="22:23" x14ac:dyDescent="0.25">
      <c r="V555" s="2">
        <v>0</v>
      </c>
      <c r="W555" s="2"/>
    </row>
    <row r="556" spans="22:23" x14ac:dyDescent="0.25">
      <c r="V556" s="2">
        <v>0</v>
      </c>
      <c r="W556" s="2"/>
    </row>
    <row r="557" spans="22:23" x14ac:dyDescent="0.25">
      <c r="V557" s="2">
        <v>0</v>
      </c>
      <c r="W557" s="2"/>
    </row>
    <row r="558" spans="22:23" x14ac:dyDescent="0.25">
      <c r="V558" s="2">
        <v>0</v>
      </c>
      <c r="W558" s="2"/>
    </row>
    <row r="559" spans="22:23" x14ac:dyDescent="0.25">
      <c r="V559" s="2">
        <v>0</v>
      </c>
      <c r="W559" s="2"/>
    </row>
    <row r="560" spans="22:23" x14ac:dyDescent="0.25">
      <c r="V560" s="2">
        <v>0</v>
      </c>
      <c r="W560" s="2"/>
    </row>
    <row r="561" spans="22:23" x14ac:dyDescent="0.25">
      <c r="V561" s="2">
        <v>0</v>
      </c>
      <c r="W561" s="2"/>
    </row>
    <row r="562" spans="22:23" x14ac:dyDescent="0.25">
      <c r="V562" s="2">
        <v>0</v>
      </c>
      <c r="W562" s="2"/>
    </row>
    <row r="563" spans="22:23" x14ac:dyDescent="0.25">
      <c r="V563" s="2">
        <v>0</v>
      </c>
      <c r="W563" s="2"/>
    </row>
    <row r="564" spans="22:23" x14ac:dyDescent="0.25">
      <c r="V564" s="2">
        <v>0</v>
      </c>
      <c r="W564" s="2"/>
    </row>
    <row r="565" spans="22:23" x14ac:dyDescent="0.25">
      <c r="V565" s="2">
        <v>0</v>
      </c>
      <c r="W565" s="2"/>
    </row>
    <row r="566" spans="22:23" x14ac:dyDescent="0.25">
      <c r="V566" s="2">
        <v>0</v>
      </c>
      <c r="W566" s="2"/>
    </row>
    <row r="567" spans="22:23" x14ac:dyDescent="0.25">
      <c r="V567" s="2">
        <v>0</v>
      </c>
      <c r="W567" s="2"/>
    </row>
    <row r="568" spans="22:23" x14ac:dyDescent="0.25">
      <c r="V568" s="2">
        <v>0</v>
      </c>
      <c r="W568" s="2"/>
    </row>
    <row r="569" spans="22:23" x14ac:dyDescent="0.25">
      <c r="V569" s="2">
        <v>0</v>
      </c>
      <c r="W569" s="2"/>
    </row>
    <row r="570" spans="22:23" x14ac:dyDescent="0.25">
      <c r="V570" s="2">
        <v>0</v>
      </c>
      <c r="W570" s="2"/>
    </row>
    <row r="571" spans="22:23" x14ac:dyDescent="0.25">
      <c r="V571" s="2">
        <v>0</v>
      </c>
      <c r="W571" s="2"/>
    </row>
    <row r="572" spans="22:23" x14ac:dyDescent="0.25">
      <c r="V572" s="2">
        <v>0</v>
      </c>
      <c r="W572" s="2"/>
    </row>
    <row r="573" spans="22:23" x14ac:dyDescent="0.25">
      <c r="V573" s="2">
        <v>0</v>
      </c>
      <c r="W573" s="2"/>
    </row>
    <row r="574" spans="22:23" x14ac:dyDescent="0.25">
      <c r="V574" s="2">
        <v>0</v>
      </c>
      <c r="W574" s="2"/>
    </row>
    <row r="575" spans="22:23" x14ac:dyDescent="0.25">
      <c r="V575" s="2">
        <v>0</v>
      </c>
      <c r="W575" s="2"/>
    </row>
    <row r="576" spans="22:23" x14ac:dyDescent="0.25">
      <c r="V576" s="2">
        <v>0</v>
      </c>
      <c r="W576" s="2"/>
    </row>
    <row r="577" spans="22:23" x14ac:dyDescent="0.25">
      <c r="V577" s="2">
        <v>0</v>
      </c>
      <c r="W577" s="2"/>
    </row>
    <row r="578" spans="22:23" x14ac:dyDescent="0.25">
      <c r="V578" s="2">
        <v>0</v>
      </c>
      <c r="W578" s="2"/>
    </row>
    <row r="579" spans="22:23" x14ac:dyDescent="0.25">
      <c r="V579" s="2">
        <v>0</v>
      </c>
      <c r="W579" s="2"/>
    </row>
    <row r="580" spans="22:23" x14ac:dyDescent="0.25">
      <c r="V580" s="2">
        <v>0</v>
      </c>
      <c r="W580" s="2"/>
    </row>
    <row r="581" spans="22:23" x14ac:dyDescent="0.25">
      <c r="V581" s="2">
        <v>0</v>
      </c>
      <c r="W581" s="2"/>
    </row>
    <row r="582" spans="22:23" x14ac:dyDescent="0.25">
      <c r="V582" s="2">
        <v>0</v>
      </c>
      <c r="W582" s="2"/>
    </row>
    <row r="583" spans="22:23" x14ac:dyDescent="0.25">
      <c r="V583" s="2">
        <v>0</v>
      </c>
      <c r="W583" s="2"/>
    </row>
    <row r="584" spans="22:23" x14ac:dyDescent="0.25">
      <c r="V584" s="2">
        <v>0</v>
      </c>
      <c r="W584" s="2"/>
    </row>
    <row r="585" spans="22:23" x14ac:dyDescent="0.25">
      <c r="V585" s="2">
        <v>0</v>
      </c>
      <c r="W585" s="2"/>
    </row>
    <row r="586" spans="22:23" x14ac:dyDescent="0.25">
      <c r="V586" s="2">
        <v>0</v>
      </c>
      <c r="W586" s="2"/>
    </row>
    <row r="587" spans="22:23" x14ac:dyDescent="0.25">
      <c r="V587" s="2">
        <v>0</v>
      </c>
      <c r="W587" s="2"/>
    </row>
    <row r="588" spans="22:23" x14ac:dyDescent="0.25">
      <c r="V588" s="2">
        <v>0</v>
      </c>
      <c r="W588" s="2"/>
    </row>
    <row r="589" spans="22:23" x14ac:dyDescent="0.25">
      <c r="V589" s="2">
        <v>0</v>
      </c>
      <c r="W589" s="2"/>
    </row>
    <row r="590" spans="22:23" x14ac:dyDescent="0.25">
      <c r="V590" s="2">
        <v>0</v>
      </c>
      <c r="W590" s="2"/>
    </row>
    <row r="591" spans="22:23" x14ac:dyDescent="0.25">
      <c r="V591" s="2">
        <v>0</v>
      </c>
      <c r="W591" s="2"/>
    </row>
    <row r="592" spans="22:23" x14ac:dyDescent="0.25">
      <c r="V592" s="2">
        <v>0</v>
      </c>
      <c r="W592" s="2"/>
    </row>
    <row r="593" spans="22:23" x14ac:dyDescent="0.25">
      <c r="V593" s="2">
        <v>0</v>
      </c>
      <c r="W593" s="2"/>
    </row>
    <row r="594" spans="22:23" x14ac:dyDescent="0.25">
      <c r="V594" s="2">
        <v>0</v>
      </c>
      <c r="W594" s="2"/>
    </row>
    <row r="595" spans="22:23" x14ac:dyDescent="0.25">
      <c r="V595" s="2">
        <v>0</v>
      </c>
      <c r="W595" s="2"/>
    </row>
    <row r="596" spans="22:23" x14ac:dyDescent="0.25">
      <c r="V596" s="2">
        <v>0</v>
      </c>
      <c r="W596" s="2"/>
    </row>
    <row r="597" spans="22:23" x14ac:dyDescent="0.25">
      <c r="V597" s="2">
        <v>0</v>
      </c>
      <c r="W597" s="2"/>
    </row>
    <row r="598" spans="22:23" x14ac:dyDescent="0.25">
      <c r="V598" s="2">
        <v>0</v>
      </c>
      <c r="W598" s="2"/>
    </row>
    <row r="599" spans="22:23" x14ac:dyDescent="0.25">
      <c r="V599" s="2">
        <v>0</v>
      </c>
      <c r="W599" s="2"/>
    </row>
    <row r="600" spans="22:23" x14ac:dyDescent="0.25">
      <c r="V600" s="2">
        <v>0</v>
      </c>
      <c r="W600" s="2"/>
    </row>
    <row r="601" spans="22:23" x14ac:dyDescent="0.25">
      <c r="V601" s="2">
        <v>0</v>
      </c>
      <c r="W601" s="2"/>
    </row>
    <row r="602" spans="22:23" x14ac:dyDescent="0.25">
      <c r="V602" s="2">
        <v>0</v>
      </c>
      <c r="W602" s="2"/>
    </row>
    <row r="603" spans="22:23" x14ac:dyDescent="0.25">
      <c r="V603" s="2">
        <v>0</v>
      </c>
      <c r="W603" s="2"/>
    </row>
    <row r="604" spans="22:23" x14ac:dyDescent="0.25">
      <c r="V604" s="2">
        <v>0</v>
      </c>
      <c r="W604" s="2"/>
    </row>
    <row r="605" spans="22:23" x14ac:dyDescent="0.25">
      <c r="V605" s="2">
        <v>0</v>
      </c>
      <c r="W605" s="2"/>
    </row>
    <row r="606" spans="22:23" x14ac:dyDescent="0.25">
      <c r="V606" s="2">
        <v>0</v>
      </c>
      <c r="W606" s="2"/>
    </row>
    <row r="607" spans="22:23" x14ac:dyDescent="0.25">
      <c r="V607" s="2">
        <v>0</v>
      </c>
      <c r="W607" s="2"/>
    </row>
    <row r="608" spans="22:23" x14ac:dyDescent="0.25">
      <c r="V608" s="2">
        <v>0</v>
      </c>
      <c r="W608" s="2"/>
    </row>
    <row r="609" spans="22:23" x14ac:dyDescent="0.25">
      <c r="V609" s="2">
        <v>0</v>
      </c>
      <c r="W609" s="2"/>
    </row>
    <row r="610" spans="22:23" x14ac:dyDescent="0.25">
      <c r="V610" s="2">
        <v>0</v>
      </c>
      <c r="W610" s="2"/>
    </row>
    <row r="611" spans="22:23" x14ac:dyDescent="0.25">
      <c r="V611" s="2">
        <v>0</v>
      </c>
      <c r="W611" s="2"/>
    </row>
    <row r="612" spans="22:23" x14ac:dyDescent="0.25">
      <c r="V612" s="2">
        <v>0</v>
      </c>
      <c r="W612" s="2"/>
    </row>
    <row r="613" spans="22:23" x14ac:dyDescent="0.25">
      <c r="V613" s="2">
        <v>0</v>
      </c>
      <c r="W613" s="2"/>
    </row>
    <row r="614" spans="22:23" x14ac:dyDescent="0.25">
      <c r="V614" s="2">
        <v>0</v>
      </c>
      <c r="W614" s="2"/>
    </row>
    <row r="615" spans="22:23" x14ac:dyDescent="0.25">
      <c r="V615" s="2">
        <v>0</v>
      </c>
      <c r="W615" s="2"/>
    </row>
    <row r="616" spans="22:23" x14ac:dyDescent="0.25">
      <c r="V616" s="2">
        <v>0</v>
      </c>
      <c r="W616" s="2"/>
    </row>
    <row r="617" spans="22:23" x14ac:dyDescent="0.25">
      <c r="V617" s="2">
        <v>0</v>
      </c>
      <c r="W617" s="2"/>
    </row>
    <row r="618" spans="22:23" x14ac:dyDescent="0.25">
      <c r="V618" s="2">
        <v>0</v>
      </c>
      <c r="W618" s="2"/>
    </row>
    <row r="619" spans="22:23" x14ac:dyDescent="0.25">
      <c r="V619" s="2">
        <v>0</v>
      </c>
      <c r="W619" s="2"/>
    </row>
    <row r="620" spans="22:23" x14ac:dyDescent="0.25">
      <c r="V620" s="2">
        <v>0</v>
      </c>
      <c r="W620" s="2"/>
    </row>
    <row r="621" spans="22:23" x14ac:dyDescent="0.25">
      <c r="V621" s="2">
        <v>0</v>
      </c>
      <c r="W621" s="2"/>
    </row>
    <row r="622" spans="22:23" x14ac:dyDescent="0.25">
      <c r="V622" s="2">
        <v>0</v>
      </c>
      <c r="W622" s="2"/>
    </row>
    <row r="623" spans="22:23" x14ac:dyDescent="0.25">
      <c r="V623" s="2">
        <v>0</v>
      </c>
      <c r="W623" s="2"/>
    </row>
    <row r="624" spans="22:23" x14ac:dyDescent="0.25">
      <c r="V624" s="2">
        <v>0</v>
      </c>
      <c r="W624" s="2"/>
    </row>
    <row r="625" spans="22:23" x14ac:dyDescent="0.25">
      <c r="V625" s="2">
        <v>0</v>
      </c>
      <c r="W625" s="2"/>
    </row>
    <row r="626" spans="22:23" x14ac:dyDescent="0.25">
      <c r="V626" s="2">
        <v>0</v>
      </c>
      <c r="W626" s="2"/>
    </row>
    <row r="627" spans="22:23" x14ac:dyDescent="0.25">
      <c r="V627" s="2">
        <v>0</v>
      </c>
      <c r="W627" s="2"/>
    </row>
    <row r="628" spans="22:23" x14ac:dyDescent="0.25">
      <c r="V628" s="2">
        <v>0</v>
      </c>
      <c r="W628" s="2"/>
    </row>
    <row r="629" spans="22:23" x14ac:dyDescent="0.25">
      <c r="V629" s="2">
        <v>0</v>
      </c>
      <c r="W629" s="2"/>
    </row>
    <row r="630" spans="22:23" x14ac:dyDescent="0.25">
      <c r="V630" s="2">
        <v>0</v>
      </c>
      <c r="W630" s="2"/>
    </row>
    <row r="631" spans="22:23" x14ac:dyDescent="0.25">
      <c r="V631" s="2">
        <v>0</v>
      </c>
      <c r="W631" s="2"/>
    </row>
    <row r="632" spans="22:23" x14ac:dyDescent="0.25">
      <c r="V632" s="2">
        <v>0</v>
      </c>
      <c r="W632" s="2"/>
    </row>
    <row r="633" spans="22:23" x14ac:dyDescent="0.25">
      <c r="V633" s="2">
        <v>0</v>
      </c>
      <c r="W633" s="2"/>
    </row>
    <row r="634" spans="22:23" x14ac:dyDescent="0.25">
      <c r="V634" s="2">
        <v>0</v>
      </c>
      <c r="W634" s="2"/>
    </row>
    <row r="635" spans="22:23" x14ac:dyDescent="0.25">
      <c r="V635" s="2">
        <v>0</v>
      </c>
      <c r="W635" s="2"/>
    </row>
    <row r="636" spans="22:23" x14ac:dyDescent="0.25">
      <c r="V636" s="2">
        <v>0</v>
      </c>
      <c r="W636" s="2"/>
    </row>
    <row r="637" spans="22:23" x14ac:dyDescent="0.25">
      <c r="V637" s="2">
        <v>0</v>
      </c>
      <c r="W637" s="2"/>
    </row>
    <row r="638" spans="22:23" x14ac:dyDescent="0.25">
      <c r="V638" s="2">
        <v>0</v>
      </c>
      <c r="W638" s="2"/>
    </row>
    <row r="639" spans="22:23" x14ac:dyDescent="0.25">
      <c r="V639" s="2">
        <v>0</v>
      </c>
      <c r="W639" s="2"/>
    </row>
    <row r="640" spans="22:23" x14ac:dyDescent="0.25">
      <c r="V640" s="2">
        <v>0</v>
      </c>
      <c r="W640" s="2"/>
    </row>
    <row r="641" spans="22:23" x14ac:dyDescent="0.25">
      <c r="V641" s="2">
        <v>0</v>
      </c>
      <c r="W641" s="2"/>
    </row>
    <row r="642" spans="22:23" x14ac:dyDescent="0.25">
      <c r="V642" s="2">
        <v>0</v>
      </c>
      <c r="W642" s="2"/>
    </row>
    <row r="643" spans="22:23" x14ac:dyDescent="0.25">
      <c r="V643" s="2">
        <v>0</v>
      </c>
      <c r="W643" s="2"/>
    </row>
    <row r="644" spans="22:23" x14ac:dyDescent="0.25">
      <c r="V644" s="2">
        <v>0</v>
      </c>
      <c r="W644" s="2"/>
    </row>
    <row r="645" spans="22:23" x14ac:dyDescent="0.25">
      <c r="V645" s="2">
        <v>0</v>
      </c>
      <c r="W645" s="2"/>
    </row>
  </sheetData>
  <mergeCells count="1">
    <mergeCell ref="A65:O65"/>
  </mergeCells>
  <printOptions horizontalCentered="1" verticalCentered="1"/>
  <pageMargins left="0.75" right="0.75" top="1" bottom="1" header="0.5" footer="0.5"/>
  <pageSetup scale="63"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F76B-21DE-4033-8563-7D66B2F9BCA2}">
  <sheetPr>
    <pageSetUpPr fitToPage="1"/>
  </sheetPr>
  <dimension ref="A1:AE559"/>
  <sheetViews>
    <sheetView zoomScale="95" zoomScaleNormal="95" zoomScaleSheetLayoutView="40" workbookViewId="0"/>
  </sheetViews>
  <sheetFormatPr defaultRowHeight="13.2" x14ac:dyDescent="0.25"/>
  <cols>
    <col min="3" max="3" width="15.5546875" customWidth="1"/>
    <col min="22" max="26" width="13.21875" customWidth="1"/>
    <col min="27" max="29" width="10.77734375" customWidth="1"/>
  </cols>
  <sheetData>
    <row r="1" spans="17:31" ht="38.25" customHeight="1" x14ac:dyDescent="0.25">
      <c r="S1" s="37" t="s">
        <v>231</v>
      </c>
      <c r="U1" t="s">
        <v>354</v>
      </c>
      <c r="V1" t="s">
        <v>355</v>
      </c>
      <c r="W1" t="s">
        <v>353</v>
      </c>
      <c r="Y1" t="s">
        <v>349</v>
      </c>
      <c r="Z1" t="s">
        <v>350</v>
      </c>
      <c r="AA1" s="157" t="s">
        <v>337</v>
      </c>
      <c r="AB1" s="157"/>
      <c r="AC1" s="157"/>
    </row>
    <row r="2" spans="17:31" ht="13.5" customHeight="1" x14ac:dyDescent="0.25">
      <c r="Q2" t="s">
        <v>0</v>
      </c>
      <c r="S2" t="s">
        <v>186</v>
      </c>
      <c r="U2" t="s">
        <v>189</v>
      </c>
      <c r="V2" t="s">
        <v>190</v>
      </c>
      <c r="W2" t="s">
        <v>190</v>
      </c>
      <c r="Y2" t="s">
        <v>189</v>
      </c>
      <c r="Z2" t="s">
        <v>190</v>
      </c>
      <c r="AA2" t="s">
        <v>338</v>
      </c>
      <c r="AB2" t="s">
        <v>334</v>
      </c>
      <c r="AC2" t="s">
        <v>335</v>
      </c>
    </row>
    <row r="3" spans="17:31" ht="13.5" customHeight="1" x14ac:dyDescent="0.25">
      <c r="Q3" s="4">
        <v>2015</v>
      </c>
      <c r="S3">
        <v>0.13498726487159729</v>
      </c>
      <c r="U3">
        <v>0.13481238484382629</v>
      </c>
      <c r="V3">
        <v>0.13461396098136902</v>
      </c>
      <c r="W3">
        <v>0.13497227430343628</v>
      </c>
      <c r="Y3">
        <v>0.1342199444770813</v>
      </c>
      <c r="Z3">
        <v>0.13330131769180298</v>
      </c>
      <c r="AA3">
        <v>26533</v>
      </c>
      <c r="AB3">
        <v>4019</v>
      </c>
      <c r="AC3">
        <v>3915</v>
      </c>
      <c r="AD3">
        <v>4168</v>
      </c>
      <c r="AE3" s="62">
        <f>AB3/AA3</f>
        <v>0.15147175215769043</v>
      </c>
    </row>
    <row r="4" spans="17:31" ht="13.5" customHeight="1" x14ac:dyDescent="0.25">
      <c r="Q4" s="4">
        <f>Q3+1</f>
        <v>2016</v>
      </c>
      <c r="S4">
        <v>0.12537944316864014</v>
      </c>
      <c r="U4">
        <v>0.11823923140764236</v>
      </c>
      <c r="V4">
        <v>0.12205053865909576</v>
      </c>
      <c r="W4">
        <v>0.12762996554374695</v>
      </c>
      <c r="Y4">
        <v>0.11601173877716064</v>
      </c>
      <c r="Z4">
        <v>0.12470681220293045</v>
      </c>
      <c r="AA4">
        <v>25250</v>
      </c>
      <c r="AB4">
        <v>3870</v>
      </c>
      <c r="AC4">
        <v>3769</v>
      </c>
      <c r="AD4">
        <v>3870</v>
      </c>
      <c r="AE4" s="62">
        <f t="shared" ref="AE4:AE10" si="0">AB4/AA4</f>
        <v>0.15326732673267326</v>
      </c>
    </row>
    <row r="5" spans="17:31" ht="13.5" customHeight="1" x14ac:dyDescent="0.25">
      <c r="Q5" s="4">
        <f>Q4+1</f>
        <v>2017</v>
      </c>
      <c r="S5">
        <v>0.12367713451385498</v>
      </c>
      <c r="U5">
        <v>0.12021073698997498</v>
      </c>
      <c r="V5">
        <v>0.11811334639787674</v>
      </c>
      <c r="W5">
        <v>0.12051744014024734</v>
      </c>
      <c r="Y5">
        <v>0.1214434877038002</v>
      </c>
      <c r="Z5">
        <v>0.12386158108711243</v>
      </c>
      <c r="AA5">
        <v>24317</v>
      </c>
      <c r="AB5">
        <v>4353</v>
      </c>
      <c r="AC5">
        <v>4168</v>
      </c>
      <c r="AD5">
        <v>4093</v>
      </c>
      <c r="AE5" s="62">
        <f t="shared" si="0"/>
        <v>0.17901056873791998</v>
      </c>
    </row>
    <row r="6" spans="17:31" ht="13.5" customHeight="1" x14ac:dyDescent="0.25">
      <c r="Q6" s="4">
        <f>Q5+1</f>
        <v>2018</v>
      </c>
      <c r="S6">
        <v>0.11503075063228607</v>
      </c>
      <c r="U6">
        <v>0.11263519525527954</v>
      </c>
      <c r="V6">
        <v>0.11269731074571609</v>
      </c>
      <c r="W6">
        <v>0.1081540659070015</v>
      </c>
      <c r="Y6">
        <v>9.8756708204746246E-2</v>
      </c>
      <c r="Z6">
        <v>9.9230363965034485E-2</v>
      </c>
      <c r="AA6">
        <v>22980</v>
      </c>
      <c r="AB6">
        <v>4095</v>
      </c>
      <c r="AC6">
        <v>3908</v>
      </c>
      <c r="AD6">
        <v>3840</v>
      </c>
      <c r="AE6" s="62">
        <f t="shared" si="0"/>
        <v>0.17819843342036554</v>
      </c>
    </row>
    <row r="7" spans="17:31" ht="13.5" customHeight="1" x14ac:dyDescent="0.25">
      <c r="Q7" s="4">
        <v>2019</v>
      </c>
      <c r="S7">
        <v>9.9147789180278778E-2</v>
      </c>
      <c r="U7">
        <v>9.8145768046379089E-2</v>
      </c>
      <c r="V7">
        <v>9.7902014851570129E-2</v>
      </c>
      <c r="W7">
        <v>9.8137892782688141E-2</v>
      </c>
      <c r="Y7">
        <v>7.9375706613063812E-2</v>
      </c>
      <c r="Z7">
        <v>8.086075633764267E-2</v>
      </c>
      <c r="AA7">
        <v>21471</v>
      </c>
      <c r="AB7">
        <v>3809</v>
      </c>
      <c r="AC7">
        <v>3636</v>
      </c>
      <c r="AD7">
        <v>3488</v>
      </c>
      <c r="AE7" s="62">
        <f t="shared" si="0"/>
        <v>0.17740207722043685</v>
      </c>
    </row>
    <row r="8" spans="17:31" ht="13.5" customHeight="1" x14ac:dyDescent="0.25">
      <c r="Q8" s="4">
        <v>2020</v>
      </c>
      <c r="S8">
        <v>8.1074513494968414E-2</v>
      </c>
      <c r="U8">
        <v>9.0952612459659576E-2</v>
      </c>
      <c r="V8">
        <v>8.377385139465332E-2</v>
      </c>
      <c r="W8">
        <v>8.137965202331543E-2</v>
      </c>
      <c r="Y8">
        <v>8.059488981962204E-2</v>
      </c>
      <c r="Z8">
        <v>8.3372592926025391E-2</v>
      </c>
      <c r="AA8">
        <v>20023</v>
      </c>
      <c r="AB8">
        <v>3762</v>
      </c>
      <c r="AC8">
        <v>3577</v>
      </c>
      <c r="AD8">
        <v>3547</v>
      </c>
      <c r="AE8" s="62">
        <f t="shared" si="0"/>
        <v>0.18788393347650204</v>
      </c>
    </row>
    <row r="9" spans="17:31" ht="13.5" customHeight="1" x14ac:dyDescent="0.25">
      <c r="Q9" s="4">
        <v>2021</v>
      </c>
      <c r="S9">
        <v>5.9002634137868881E-2</v>
      </c>
      <c r="U9">
        <v>5.8706391602754593E-2</v>
      </c>
      <c r="V9">
        <v>5.8462120592594147E-2</v>
      </c>
      <c r="W9">
        <v>7.4362434446811676E-2</v>
      </c>
      <c r="Y9">
        <v>6.3905984163284302E-2</v>
      </c>
      <c r="Z9">
        <v>6.5943188965320587E-2</v>
      </c>
      <c r="AA9">
        <v>20399</v>
      </c>
      <c r="AB9">
        <v>3487</v>
      </c>
      <c r="AC9">
        <v>3312</v>
      </c>
      <c r="AD9">
        <v>3370</v>
      </c>
      <c r="AE9" s="62">
        <f t="shared" si="0"/>
        <v>0.17093975194862493</v>
      </c>
    </row>
    <row r="10" spans="17:31" ht="13.5" customHeight="1" x14ac:dyDescent="0.25">
      <c r="Q10" s="4">
        <v>2022</v>
      </c>
      <c r="S10">
        <v>9.5468349754810333E-2</v>
      </c>
      <c r="U10">
        <v>8.3117499947547913E-2</v>
      </c>
      <c r="V10">
        <v>6.5752923488616943E-2</v>
      </c>
      <c r="W10">
        <v>6.0355763882398605E-2</v>
      </c>
      <c r="Y10">
        <v>0.1589324027299881</v>
      </c>
      <c r="Z10">
        <v>0.14598408341407776</v>
      </c>
      <c r="AA10">
        <v>19403</v>
      </c>
      <c r="AB10">
        <v>3456</v>
      </c>
      <c r="AC10">
        <v>3302</v>
      </c>
      <c r="AD10">
        <v>2636</v>
      </c>
      <c r="AE10" s="62">
        <f t="shared" si="0"/>
        <v>0.17811678606401071</v>
      </c>
    </row>
    <row r="11" spans="17:31" ht="13.5" customHeight="1" x14ac:dyDescent="0.25">
      <c r="Q11" s="4"/>
      <c r="R11" s="7"/>
      <c r="U11" s="53"/>
      <c r="V11" s="57"/>
      <c r="X11" s="57"/>
      <c r="Y11" s="57"/>
      <c r="Z11" s="57"/>
      <c r="AC11">
        <v>254</v>
      </c>
      <c r="AD11">
        <v>35</v>
      </c>
      <c r="AE11" s="62"/>
    </row>
    <row r="12" spans="17:31" ht="13.5" customHeight="1" x14ac:dyDescent="0.25">
      <c r="Q12" s="4" t="s">
        <v>112</v>
      </c>
      <c r="R12" s="58"/>
      <c r="S12" s="58">
        <f>+S7-S3</f>
        <v>-3.5839475691318512E-2</v>
      </c>
      <c r="U12" s="58">
        <f>+U7-U3</f>
        <v>-3.6666616797447205E-2</v>
      </c>
      <c r="V12" s="57"/>
      <c r="W12" s="58">
        <f>+W7-W3</f>
        <v>-3.6834381520748138E-2</v>
      </c>
      <c r="X12" s="57"/>
      <c r="Y12" s="57"/>
      <c r="Z12" s="57"/>
      <c r="AC12">
        <f>SUM(AC3:AC11)</f>
        <v>29841</v>
      </c>
      <c r="AD12">
        <f>SUM(AD3:AD11)</f>
        <v>29047</v>
      </c>
    </row>
    <row r="13" spans="17:31" ht="13.5" customHeight="1" x14ac:dyDescent="0.25">
      <c r="Q13" s="4" t="s">
        <v>113</v>
      </c>
      <c r="R13" s="58"/>
      <c r="S13" s="58">
        <f>+S10-S8</f>
        <v>1.4393836259841919E-2</v>
      </c>
      <c r="U13" s="58">
        <f>+U10-U8</f>
        <v>-7.8351125121116638E-3</v>
      </c>
      <c r="V13" s="57"/>
      <c r="W13" s="58">
        <f>+W10-W8</f>
        <v>-2.1023888140916824E-2</v>
      </c>
      <c r="X13" s="57"/>
      <c r="Y13" s="57"/>
      <c r="Z13" s="57"/>
      <c r="AD13" t="s">
        <v>348</v>
      </c>
    </row>
    <row r="14" spans="17:31" ht="13.5" customHeight="1" x14ac:dyDescent="0.25">
      <c r="Q14" s="4" t="s">
        <v>45</v>
      </c>
      <c r="R14" s="7"/>
      <c r="U14" s="58">
        <f>+U9-U8</f>
        <v>-3.2246220856904984E-2</v>
      </c>
      <c r="V14" s="58">
        <f>+V9-V8</f>
        <v>-2.5311730802059174E-2</v>
      </c>
      <c r="X14" s="58"/>
      <c r="Y14" s="58">
        <f>+U14-V14</f>
        <v>-6.9344900548458099E-3</v>
      </c>
      <c r="Z14" s="57"/>
      <c r="AD14">
        <v>7088</v>
      </c>
      <c r="AE14" s="62">
        <f t="shared" ref="AE14:AE21" si="1">AD14/AA3</f>
        <v>0.26713903440998005</v>
      </c>
    </row>
    <row r="15" spans="17:31" ht="13.5" customHeight="1" x14ac:dyDescent="0.25">
      <c r="Q15" s="4"/>
      <c r="R15" s="7"/>
      <c r="U15" s="58">
        <f>+U10-U9</f>
        <v>2.441110834479332E-2</v>
      </c>
      <c r="V15" s="58">
        <f>+V10-V9</f>
        <v>7.2908028960227966E-3</v>
      </c>
      <c r="X15" s="58"/>
      <c r="Y15" s="58">
        <f>+U15-V15</f>
        <v>1.7120305448770523E-2</v>
      </c>
      <c r="Z15" s="57"/>
      <c r="AD15">
        <v>6317</v>
      </c>
      <c r="AE15" s="62">
        <f t="shared" si="1"/>
        <v>0.25017821782178218</v>
      </c>
    </row>
    <row r="16" spans="17:31" ht="13.5" customHeight="1" x14ac:dyDescent="0.25">
      <c r="Q16" s="4"/>
      <c r="R16" s="45"/>
      <c r="U16" s="53"/>
      <c r="V16" s="57"/>
      <c r="X16" s="57"/>
      <c r="Y16" s="57"/>
      <c r="Z16" s="57"/>
      <c r="AD16">
        <v>6167</v>
      </c>
      <c r="AE16" s="62">
        <f t="shared" si="1"/>
        <v>0.25360858658551633</v>
      </c>
    </row>
    <row r="17" spans="17:31" ht="13.5" customHeight="1" x14ac:dyDescent="0.25">
      <c r="Q17" s="4" t="s">
        <v>114</v>
      </c>
      <c r="R17" s="45"/>
      <c r="U17" s="53"/>
      <c r="V17" s="57"/>
      <c r="X17" s="57"/>
      <c r="Y17" s="57"/>
      <c r="Z17" s="57"/>
      <c r="AD17">
        <v>5769</v>
      </c>
      <c r="AE17" s="62">
        <f t="shared" si="1"/>
        <v>0.2510443864229765</v>
      </c>
    </row>
    <row r="18" spans="17:31" ht="13.5" customHeight="1" x14ac:dyDescent="0.25">
      <c r="Q18" s="4" t="s">
        <v>112</v>
      </c>
      <c r="R18" s="58"/>
      <c r="S18" s="58">
        <f>+S7/S3-1</f>
        <v>-0.26550264371538879</v>
      </c>
      <c r="U18" s="58">
        <f>+U7/U3-1</f>
        <v>-0.27198255442127017</v>
      </c>
      <c r="V18" s="57"/>
      <c r="W18" s="58">
        <f>+W7/W3-1</f>
        <v>-0.27290331818769953</v>
      </c>
      <c r="X18" s="57"/>
      <c r="Y18" s="57"/>
      <c r="Z18" s="57"/>
      <c r="AD18">
        <v>5395</v>
      </c>
      <c r="AE18" s="62">
        <f t="shared" si="1"/>
        <v>0.251269153742257</v>
      </c>
    </row>
    <row r="19" spans="17:31" ht="13.5" customHeight="1" x14ac:dyDescent="0.25">
      <c r="Q19" s="4" t="s">
        <v>113</v>
      </c>
      <c r="R19" s="58"/>
      <c r="S19" s="58">
        <f>+S10/S8-1</f>
        <v>0.17753836118591337</v>
      </c>
      <c r="U19" s="58">
        <f>+U10/U8-1</f>
        <v>-8.6144996831034271E-2</v>
      </c>
      <c r="V19" s="53"/>
      <c r="W19" s="58">
        <f>+W10/W8-1</f>
        <v>-0.25834330349426216</v>
      </c>
      <c r="X19" s="53"/>
      <c r="Y19" s="53"/>
      <c r="Z19" s="53"/>
      <c r="AA19" s="53"/>
      <c r="AB19" s="57"/>
      <c r="AD19">
        <v>5429</v>
      </c>
      <c r="AE19" s="62">
        <f t="shared" si="1"/>
        <v>0.27113819108025772</v>
      </c>
    </row>
    <row r="20" spans="17:31" ht="13.5" customHeight="1" x14ac:dyDescent="0.25">
      <c r="Q20" s="4"/>
      <c r="R20" s="45"/>
      <c r="AD20">
        <v>5139</v>
      </c>
      <c r="AE20" s="62">
        <f t="shared" si="1"/>
        <v>0.2519241139271533</v>
      </c>
    </row>
    <row r="21" spans="17:31" ht="13.5" customHeight="1" x14ac:dyDescent="0.25">
      <c r="Q21" s="4"/>
      <c r="R21" s="45"/>
      <c r="AD21">
        <v>4813</v>
      </c>
      <c r="AE21" s="62">
        <f t="shared" si="1"/>
        <v>0.24805442457351956</v>
      </c>
    </row>
    <row r="22" spans="17:31" ht="13.5" customHeight="1" x14ac:dyDescent="0.25">
      <c r="Q22" s="4"/>
      <c r="R22" s="45"/>
    </row>
    <row r="23" spans="17:31" ht="13.5" customHeight="1" x14ac:dyDescent="0.25">
      <c r="Q23" s="4"/>
      <c r="R23" s="45"/>
    </row>
    <row r="24" spans="17:31" ht="13.5" customHeight="1" x14ac:dyDescent="0.25">
      <c r="Q24" s="4"/>
      <c r="R24" s="7"/>
      <c r="AE24" s="62"/>
    </row>
    <row r="25" spans="17:31" ht="13.5" customHeight="1" x14ac:dyDescent="0.25">
      <c r="Q25" s="4"/>
      <c r="R25" s="7"/>
      <c r="AE25" s="62"/>
    </row>
    <row r="26" spans="17:31" ht="13.5" customHeight="1" x14ac:dyDescent="0.25">
      <c r="Q26" s="4"/>
      <c r="R26" s="7"/>
      <c r="AE26" s="62"/>
    </row>
    <row r="27" spans="17:31" ht="13.5" customHeight="1" x14ac:dyDescent="0.25">
      <c r="Q27" s="4"/>
      <c r="R27" s="7"/>
      <c r="AE27" s="62"/>
    </row>
    <row r="28" spans="17:31" ht="13.5" customHeight="1" x14ac:dyDescent="0.25">
      <c r="Q28" s="4"/>
      <c r="R28" s="7"/>
      <c r="AE28" s="62"/>
    </row>
    <row r="29" spans="17:31" ht="13.5" customHeight="1" x14ac:dyDescent="0.25">
      <c r="Q29" s="4"/>
      <c r="R29" s="7"/>
      <c r="AE29" s="62"/>
    </row>
    <row r="30" spans="17:31" ht="13.5" customHeight="1" x14ac:dyDescent="0.25">
      <c r="Q30" s="4"/>
      <c r="R30" s="7"/>
      <c r="AE30" s="62"/>
    </row>
    <row r="31" spans="17:31" ht="13.5" customHeight="1" x14ac:dyDescent="0.25">
      <c r="Q31" s="4"/>
      <c r="R31" s="7"/>
      <c r="AE31" s="62"/>
    </row>
    <row r="32" spans="17:31" ht="13.5" customHeight="1" x14ac:dyDescent="0.25">
      <c r="Q32" s="4"/>
      <c r="R32" s="7"/>
    </row>
    <row r="33" spans="17:26" ht="13.5" customHeight="1" x14ac:dyDescent="0.25">
      <c r="Q33" s="4"/>
      <c r="R33" s="7"/>
      <c r="S33" t="s">
        <v>178</v>
      </c>
    </row>
    <row r="34" spans="17:26" ht="16.5" customHeight="1" x14ac:dyDescent="0.25">
      <c r="S34" s="37" t="s">
        <v>231</v>
      </c>
      <c r="U34" t="s">
        <v>354</v>
      </c>
      <c r="V34" t="s">
        <v>355</v>
      </c>
      <c r="W34" t="s">
        <v>353</v>
      </c>
      <c r="Y34" t="s">
        <v>349</v>
      </c>
      <c r="Z34" t="s">
        <v>350</v>
      </c>
    </row>
    <row r="35" spans="17:26" x14ac:dyDescent="0.25">
      <c r="Q35" t="s">
        <v>0</v>
      </c>
      <c r="S35" t="s">
        <v>186</v>
      </c>
      <c r="U35" t="s">
        <v>180</v>
      </c>
      <c r="V35" t="s">
        <v>181</v>
      </c>
      <c r="W35" t="s">
        <v>190</v>
      </c>
      <c r="Y35" t="s">
        <v>189</v>
      </c>
      <c r="Z35" t="s">
        <v>190</v>
      </c>
    </row>
    <row r="36" spans="17:26" x14ac:dyDescent="0.25">
      <c r="Q36" s="4">
        <v>2015</v>
      </c>
      <c r="S36">
        <v>0.16347445547580719</v>
      </c>
      <c r="U36">
        <v>0.17214606702327728</v>
      </c>
      <c r="V36">
        <v>0.19014428555965424</v>
      </c>
      <c r="W36">
        <v>0.19632710516452789</v>
      </c>
      <c r="Y36">
        <v>0.17443165183067322</v>
      </c>
      <c r="Z36">
        <v>0.18281261622905731</v>
      </c>
    </row>
    <row r="37" spans="17:26" x14ac:dyDescent="0.25">
      <c r="Q37" s="4">
        <f>Q36+1</f>
        <v>2016</v>
      </c>
      <c r="S37">
        <v>0.14859388768672943</v>
      </c>
      <c r="U37">
        <v>0.14687405526638031</v>
      </c>
      <c r="V37">
        <v>0.16763189435005188</v>
      </c>
      <c r="W37">
        <v>0.18557238578796387</v>
      </c>
      <c r="Y37">
        <v>0.15514984726905823</v>
      </c>
      <c r="Z37">
        <v>0.1767289787530899</v>
      </c>
    </row>
    <row r="38" spans="17:26" x14ac:dyDescent="0.25">
      <c r="Q38" s="4">
        <f>Q37+1</f>
        <v>2017</v>
      </c>
      <c r="S38">
        <v>0.1460513174533844</v>
      </c>
      <c r="U38">
        <v>0.17066732048988342</v>
      </c>
      <c r="V38">
        <v>0.17659878730773926</v>
      </c>
      <c r="W38">
        <v>0.17667238414287567</v>
      </c>
      <c r="Y38">
        <v>0.17795391380786896</v>
      </c>
      <c r="Z38">
        <v>0.19292855262756348</v>
      </c>
    </row>
    <row r="39" spans="17:26" x14ac:dyDescent="0.25">
      <c r="Q39" s="4">
        <f>Q38+1</f>
        <v>2018</v>
      </c>
      <c r="S39">
        <v>0.13027502596378326</v>
      </c>
      <c r="U39">
        <v>0.15727913379669189</v>
      </c>
      <c r="V39">
        <v>0.1690225750207901</v>
      </c>
      <c r="W39">
        <v>0.16292569041252136</v>
      </c>
      <c r="Y39">
        <v>0.12902092933654785</v>
      </c>
      <c r="Z39">
        <v>0.14046488702297211</v>
      </c>
    </row>
    <row r="40" spans="17:26" x14ac:dyDescent="0.25">
      <c r="Q40" s="4">
        <v>2019</v>
      </c>
      <c r="S40">
        <v>0.1119672879576683</v>
      </c>
      <c r="U40">
        <v>0.12993171811103821</v>
      </c>
      <c r="V40">
        <v>0.13019730150699615</v>
      </c>
      <c r="W40">
        <v>0.14649122953414917</v>
      </c>
      <c r="Y40">
        <v>0.11087720841169357</v>
      </c>
      <c r="Z40">
        <v>0.11905425786972046</v>
      </c>
    </row>
    <row r="41" spans="17:26" x14ac:dyDescent="0.25">
      <c r="Q41" s="4">
        <v>2020</v>
      </c>
      <c r="S41">
        <v>9.3758024275302887E-2</v>
      </c>
      <c r="U41">
        <v>0.12292538583278656</v>
      </c>
      <c r="V41">
        <v>0.12191213667392731</v>
      </c>
      <c r="W41">
        <v>0.11599357426166534</v>
      </c>
      <c r="Y41">
        <v>0.11755292117595673</v>
      </c>
      <c r="Z41">
        <v>0.13096338510513306</v>
      </c>
    </row>
    <row r="42" spans="17:26" x14ac:dyDescent="0.25">
      <c r="Q42" s="4">
        <v>2021</v>
      </c>
      <c r="S42">
        <v>5.2612371742725372E-2</v>
      </c>
      <c r="U42">
        <v>7.5299888849258423E-2</v>
      </c>
      <c r="V42">
        <v>8.5357248783111572E-2</v>
      </c>
      <c r="W42">
        <v>0.11006379127502441</v>
      </c>
      <c r="Y42">
        <v>8.0702155828475952E-2</v>
      </c>
      <c r="Z42">
        <v>9.6405081450939178E-2</v>
      </c>
    </row>
    <row r="43" spans="17:26" x14ac:dyDescent="0.25">
      <c r="Q43" s="4">
        <v>2022</v>
      </c>
      <c r="S43">
        <v>9.3960724771022797E-2</v>
      </c>
      <c r="U43">
        <v>0.10755141079425812</v>
      </c>
      <c r="V43">
        <v>9.4627223908901215E-2</v>
      </c>
      <c r="W43">
        <v>8.5189618170261383E-2</v>
      </c>
      <c r="Y43">
        <v>0.19320192933082581</v>
      </c>
      <c r="Z43">
        <v>0.18128235638141632</v>
      </c>
    </row>
    <row r="44" spans="17:26" ht="15.6" x14ac:dyDescent="0.25">
      <c r="Q44" s="4"/>
      <c r="R44" s="7"/>
    </row>
    <row r="45" spans="17:26" ht="15.6" x14ac:dyDescent="0.25">
      <c r="Q45" s="4" t="s">
        <v>112</v>
      </c>
      <c r="R45" s="58"/>
      <c r="S45" s="58">
        <f>+S40-S36</f>
        <v>-5.1507167518138885E-2</v>
      </c>
      <c r="U45" s="58">
        <f>+U40-U36</f>
        <v>-4.2214348912239075E-2</v>
      </c>
      <c r="W45" s="58">
        <f>+W40-W36</f>
        <v>-4.9835875630378723E-2</v>
      </c>
    </row>
    <row r="46" spans="17:26" ht="15.6" x14ac:dyDescent="0.25">
      <c r="Q46" s="4" t="s">
        <v>113</v>
      </c>
      <c r="R46" s="58"/>
      <c r="S46" s="58">
        <f>+S43-S41</f>
        <v>2.0270049571990967E-4</v>
      </c>
      <c r="U46" s="58">
        <f>+U43-U41</f>
        <v>-1.5373975038528442E-2</v>
      </c>
      <c r="V46" s="57"/>
      <c r="W46" s="58">
        <f>+W43-W41</f>
        <v>-3.0803956091403961E-2</v>
      </c>
      <c r="X46" s="57"/>
      <c r="Y46" s="57"/>
      <c r="Z46" s="57"/>
    </row>
    <row r="47" spans="17:26" ht="15.6" x14ac:dyDescent="0.25">
      <c r="Q47" s="4"/>
      <c r="R47" s="7"/>
      <c r="U47" s="53"/>
      <c r="V47" s="57"/>
      <c r="X47" s="57"/>
      <c r="Y47" s="57"/>
      <c r="Z47" s="57"/>
    </row>
    <row r="48" spans="17:26" ht="15.6" x14ac:dyDescent="0.25">
      <c r="Q48" s="4"/>
      <c r="R48" s="7"/>
      <c r="U48" s="53"/>
      <c r="V48" s="57"/>
      <c r="X48" s="57"/>
      <c r="Y48" s="57"/>
      <c r="Z48" s="57"/>
    </row>
    <row r="49" spans="17:26" ht="15.6" x14ac:dyDescent="0.25">
      <c r="Q49" s="4"/>
      <c r="R49" s="7"/>
      <c r="U49" s="53"/>
      <c r="V49" s="57"/>
      <c r="X49" s="57"/>
      <c r="Y49" s="57"/>
      <c r="Z49" s="57"/>
    </row>
    <row r="50" spans="17:26" x14ac:dyDescent="0.25">
      <c r="Q50" s="4" t="s">
        <v>114</v>
      </c>
      <c r="R50" s="45"/>
      <c r="U50" s="53"/>
      <c r="V50" s="57"/>
      <c r="X50" s="57"/>
      <c r="Y50" s="57"/>
      <c r="Z50" s="57"/>
    </row>
    <row r="51" spans="17:26" ht="15.6" x14ac:dyDescent="0.25">
      <c r="Q51" s="4" t="s">
        <v>112</v>
      </c>
      <c r="R51" s="58"/>
      <c r="S51" s="58">
        <f>+S40/S36-1</f>
        <v>-0.31507777388352576</v>
      </c>
      <c r="U51" s="58">
        <f>+U40/U36-1</f>
        <v>-0.24522401029662166</v>
      </c>
      <c r="V51" s="57"/>
      <c r="W51" s="58">
        <f>+W40/W36-1</f>
        <v>-0.25384103528962443</v>
      </c>
      <c r="X51" s="57"/>
      <c r="Y51" s="57"/>
      <c r="Z51" s="57"/>
    </row>
    <row r="52" spans="17:26" ht="15.6" x14ac:dyDescent="0.25">
      <c r="Q52" s="4" t="s">
        <v>113</v>
      </c>
      <c r="R52" s="58"/>
      <c r="S52" s="58">
        <f>+S43/S41-1</f>
        <v>2.1619535744985541E-3</v>
      </c>
      <c r="U52" s="58">
        <f>+U43/U41-1</f>
        <v>-0.12506753535385617</v>
      </c>
      <c r="V52" s="57"/>
      <c r="W52" s="58">
        <f>+W43/W41-1</f>
        <v>-0.26556605646028741</v>
      </c>
      <c r="X52" s="57"/>
      <c r="Y52" s="57"/>
      <c r="Z52" s="57"/>
    </row>
    <row r="53" spans="17:26" ht="15.6" x14ac:dyDescent="0.25">
      <c r="Q53" s="4"/>
      <c r="R53" s="7"/>
      <c r="U53" s="53"/>
      <c r="V53" s="57"/>
      <c r="W53" s="57"/>
      <c r="X53" s="57"/>
      <c r="Y53" s="57"/>
      <c r="Z53" s="57"/>
    </row>
    <row r="54" spans="17:26" ht="15.6" x14ac:dyDescent="0.25">
      <c r="Q54" s="4"/>
      <c r="R54" s="7"/>
    </row>
    <row r="65" spans="1:20" ht="69.75" customHeight="1" x14ac:dyDescent="0.25">
      <c r="A65" s="152" t="s">
        <v>358</v>
      </c>
      <c r="B65" s="153"/>
      <c r="C65" s="153"/>
      <c r="D65" s="153"/>
      <c r="E65" s="153"/>
      <c r="F65" s="153"/>
      <c r="G65" s="153"/>
      <c r="H65" s="153"/>
      <c r="I65" s="153"/>
      <c r="J65" s="153"/>
      <c r="K65" s="153"/>
      <c r="L65" s="153"/>
      <c r="M65" s="153"/>
      <c r="N65" s="153"/>
      <c r="O65" s="153"/>
    </row>
    <row r="66" spans="1:20" x14ac:dyDescent="0.25">
      <c r="A66" s="56"/>
      <c r="B66" s="56"/>
      <c r="C66" s="56"/>
      <c r="D66" s="56"/>
      <c r="E66" s="56"/>
      <c r="F66" s="56"/>
      <c r="G66" s="56"/>
      <c r="H66" s="56"/>
      <c r="I66" s="56"/>
      <c r="J66" s="56"/>
      <c r="K66" s="56"/>
      <c r="L66" s="56"/>
      <c r="M66" s="56"/>
      <c r="N66" s="56"/>
      <c r="O66" s="56"/>
    </row>
    <row r="68" spans="1:20" x14ac:dyDescent="0.25">
      <c r="R68" s="13"/>
      <c r="S68" s="13"/>
      <c r="T68" s="13"/>
    </row>
    <row r="86" spans="21:26" x14ac:dyDescent="0.25">
      <c r="U86" s="3"/>
      <c r="V86" s="3"/>
      <c r="W86" s="3"/>
      <c r="X86" s="3"/>
      <c r="Y86" s="3"/>
      <c r="Z86" s="3"/>
    </row>
    <row r="87" spans="21:26" x14ac:dyDescent="0.25">
      <c r="U87" s="2"/>
      <c r="V87" s="2"/>
      <c r="W87" s="2"/>
      <c r="X87" s="2"/>
      <c r="Y87" s="2"/>
      <c r="Z87" s="2"/>
    </row>
    <row r="88" spans="21:26" x14ac:dyDescent="0.25">
      <c r="U88" s="2"/>
      <c r="V88" s="2"/>
      <c r="W88" s="2"/>
      <c r="X88" s="2"/>
      <c r="Y88" s="2"/>
      <c r="Z88" s="2"/>
    </row>
    <row r="89" spans="21:26" x14ac:dyDescent="0.25">
      <c r="U89" s="2"/>
      <c r="V89" s="2"/>
      <c r="W89" s="2"/>
      <c r="X89" s="2"/>
      <c r="Y89" s="2"/>
      <c r="Z89" s="2"/>
    </row>
    <row r="90" spans="21:26" x14ac:dyDescent="0.25">
      <c r="U90" s="2"/>
      <c r="V90" s="2"/>
      <c r="W90" s="2"/>
      <c r="X90" s="2"/>
      <c r="Y90" s="2"/>
      <c r="Z90" s="2"/>
    </row>
    <row r="91" spans="21:26" x14ac:dyDescent="0.25">
      <c r="U91" s="2"/>
      <c r="V91" s="2"/>
      <c r="W91" s="2"/>
      <c r="X91" s="2"/>
      <c r="Y91" s="2"/>
      <c r="Z91" s="2"/>
    </row>
    <row r="92" spans="21:26" x14ac:dyDescent="0.25">
      <c r="U92" s="2"/>
      <c r="V92" s="2"/>
      <c r="W92" s="2"/>
      <c r="X92" s="2"/>
      <c r="Y92" s="2"/>
      <c r="Z92" s="2"/>
    </row>
    <row r="93" spans="21:26" x14ac:dyDescent="0.25">
      <c r="U93" s="2"/>
      <c r="V93" s="2"/>
      <c r="W93" s="2"/>
      <c r="X93" s="2"/>
      <c r="Y93" s="2"/>
      <c r="Z93" s="2"/>
    </row>
    <row r="94" spans="21:26" x14ac:dyDescent="0.25">
      <c r="U94" s="2"/>
      <c r="V94" s="2"/>
      <c r="W94" s="2"/>
      <c r="X94" s="2"/>
      <c r="Y94" s="2"/>
      <c r="Z94" s="2"/>
    </row>
    <row r="95" spans="21:26" x14ac:dyDescent="0.25">
      <c r="U95" s="2"/>
      <c r="V95" s="2"/>
      <c r="W95" s="2"/>
      <c r="X95" s="2"/>
      <c r="Y95" s="2"/>
      <c r="Z95" s="2"/>
    </row>
    <row r="96" spans="21:26" x14ac:dyDescent="0.25">
      <c r="U96" s="2"/>
      <c r="V96" s="2"/>
      <c r="W96" s="2"/>
      <c r="X96" s="2"/>
      <c r="Y96" s="2"/>
      <c r="Z96" s="2"/>
    </row>
    <row r="97" spans="21:26" x14ac:dyDescent="0.25">
      <c r="U97" s="2"/>
      <c r="V97" s="2"/>
      <c r="W97" s="2"/>
      <c r="X97" s="2"/>
      <c r="Y97" s="2"/>
      <c r="Z97" s="2"/>
    </row>
    <row r="98" spans="21:26" x14ac:dyDescent="0.25">
      <c r="U98" s="2"/>
      <c r="V98" s="2"/>
      <c r="W98" s="2"/>
      <c r="X98" s="2"/>
      <c r="Y98" s="2"/>
      <c r="Z98" s="2"/>
    </row>
    <row r="99" spans="21:26" x14ac:dyDescent="0.25">
      <c r="U99" s="2"/>
      <c r="V99" s="2"/>
      <c r="W99" s="2"/>
      <c r="X99" s="2"/>
      <c r="Y99" s="2"/>
      <c r="Z99" s="2"/>
    </row>
    <row r="100" spans="21:26" x14ac:dyDescent="0.25">
      <c r="U100" s="2"/>
      <c r="V100" s="2"/>
      <c r="W100" s="2"/>
      <c r="X100" s="2"/>
      <c r="Y100" s="2"/>
      <c r="Z100" s="2"/>
    </row>
    <row r="101" spans="21:26" x14ac:dyDescent="0.25">
      <c r="U101" s="2"/>
      <c r="V101" s="2"/>
      <c r="W101" s="2"/>
      <c r="X101" s="2"/>
      <c r="Y101" s="2"/>
      <c r="Z101" s="2"/>
    </row>
    <row r="102" spans="21:26" x14ac:dyDescent="0.25">
      <c r="U102" s="2"/>
      <c r="V102" s="2"/>
      <c r="W102" s="2"/>
      <c r="X102" s="2"/>
      <c r="Y102" s="2"/>
      <c r="Z102" s="2"/>
    </row>
    <row r="103" spans="21:26" x14ac:dyDescent="0.25">
      <c r="U103" s="2"/>
      <c r="V103" s="2"/>
      <c r="W103" s="2"/>
      <c r="X103" s="2"/>
      <c r="Y103" s="2"/>
      <c r="Z103" s="2"/>
    </row>
    <row r="104" spans="21:26" x14ac:dyDescent="0.25">
      <c r="U104" s="2"/>
      <c r="V104" s="2"/>
      <c r="W104" s="2"/>
      <c r="X104" s="2"/>
      <c r="Y104" s="2"/>
      <c r="Z104" s="2"/>
    </row>
    <row r="105" spans="21:26" x14ac:dyDescent="0.25">
      <c r="U105" s="2"/>
      <c r="V105" s="2"/>
      <c r="W105" s="2"/>
      <c r="X105" s="2"/>
      <c r="Y105" s="2"/>
      <c r="Z105" s="2"/>
    </row>
    <row r="106" spans="21:26" x14ac:dyDescent="0.25">
      <c r="U106" s="2"/>
      <c r="V106" s="2"/>
      <c r="W106" s="2"/>
      <c r="X106" s="2"/>
      <c r="Y106" s="2"/>
      <c r="Z106" s="2"/>
    </row>
    <row r="107" spans="21:26" x14ac:dyDescent="0.25">
      <c r="U107" s="2"/>
      <c r="V107" s="2"/>
      <c r="W107" s="2"/>
      <c r="X107" s="2"/>
      <c r="Y107" s="2"/>
      <c r="Z107" s="2"/>
    </row>
    <row r="108" spans="21:26" x14ac:dyDescent="0.25">
      <c r="U108" s="2"/>
      <c r="V108" s="2"/>
      <c r="W108" s="2"/>
      <c r="X108" s="2"/>
      <c r="Y108" s="2"/>
      <c r="Z108" s="2"/>
    </row>
    <row r="109" spans="21:26" x14ac:dyDescent="0.25">
      <c r="U109" s="2"/>
      <c r="V109" s="2"/>
      <c r="W109" s="2"/>
      <c r="X109" s="2"/>
      <c r="Y109" s="2"/>
      <c r="Z109" s="2"/>
    </row>
    <row r="110" spans="21:26" x14ac:dyDescent="0.25">
      <c r="U110" s="2"/>
      <c r="V110" s="2"/>
      <c r="W110" s="2"/>
      <c r="X110" s="2"/>
      <c r="Y110" s="2"/>
      <c r="Z110" s="2"/>
    </row>
    <row r="111" spans="21:26" x14ac:dyDescent="0.25">
      <c r="U111" s="2"/>
      <c r="V111" s="2"/>
      <c r="W111" s="2"/>
      <c r="X111" s="2"/>
      <c r="Y111" s="2"/>
      <c r="Z111" s="2"/>
    </row>
    <row r="112" spans="21:26" x14ac:dyDescent="0.25">
      <c r="U112" s="2"/>
      <c r="V112" s="2"/>
      <c r="W112" s="2"/>
      <c r="X112" s="2"/>
      <c r="Y112" s="2"/>
      <c r="Z112" s="2"/>
    </row>
    <row r="113" spans="21:26" x14ac:dyDescent="0.25">
      <c r="U113" s="2"/>
      <c r="V113" s="2"/>
      <c r="W113" s="2"/>
      <c r="X113" s="2"/>
      <c r="Y113" s="2"/>
      <c r="Z113" s="2"/>
    </row>
    <row r="114" spans="21:26" x14ac:dyDescent="0.25">
      <c r="U114" s="2"/>
      <c r="V114" s="2"/>
      <c r="W114" s="2"/>
      <c r="X114" s="2"/>
      <c r="Y114" s="2"/>
      <c r="Z114" s="2"/>
    </row>
    <row r="115" spans="21:26" x14ac:dyDescent="0.25">
      <c r="U115" s="2"/>
      <c r="V115" s="2"/>
      <c r="W115" s="2"/>
      <c r="X115" s="2"/>
      <c r="Y115" s="2"/>
      <c r="Z115" s="2"/>
    </row>
    <row r="116" spans="21:26" x14ac:dyDescent="0.25">
      <c r="U116" s="2"/>
      <c r="V116" s="2"/>
      <c r="W116" s="2"/>
      <c r="X116" s="2"/>
      <c r="Y116" s="2"/>
      <c r="Z116" s="2"/>
    </row>
    <row r="117" spans="21:26" x14ac:dyDescent="0.25">
      <c r="U117" s="2"/>
      <c r="V117" s="2"/>
      <c r="W117" s="2"/>
      <c r="X117" s="2"/>
      <c r="Y117" s="2"/>
      <c r="Z117" s="2"/>
    </row>
    <row r="118" spans="21:26" x14ac:dyDescent="0.25">
      <c r="U118" s="2"/>
      <c r="V118" s="2"/>
      <c r="W118" s="2"/>
      <c r="X118" s="2"/>
      <c r="Y118" s="2"/>
      <c r="Z118" s="2"/>
    </row>
    <row r="119" spans="21:26" x14ac:dyDescent="0.25">
      <c r="U119" s="2"/>
      <c r="V119" s="2"/>
      <c r="W119" s="2"/>
      <c r="X119" s="2"/>
      <c r="Y119" s="2"/>
      <c r="Z119" s="2"/>
    </row>
    <row r="120" spans="21:26" x14ac:dyDescent="0.25">
      <c r="U120" s="2"/>
      <c r="V120" s="2"/>
      <c r="W120" s="2"/>
      <c r="X120" s="2"/>
      <c r="Y120" s="2"/>
      <c r="Z120" s="2"/>
    </row>
    <row r="121" spans="21:26" x14ac:dyDescent="0.25">
      <c r="U121" s="2"/>
      <c r="V121" s="2"/>
      <c r="W121" s="2"/>
      <c r="X121" s="2"/>
      <c r="Y121" s="2"/>
      <c r="Z121" s="2"/>
    </row>
    <row r="122" spans="21:26" x14ac:dyDescent="0.25">
      <c r="U122" s="2"/>
      <c r="V122" s="2"/>
      <c r="W122" s="2"/>
      <c r="X122" s="2"/>
      <c r="Y122" s="2"/>
      <c r="Z122" s="2"/>
    </row>
    <row r="123" spans="21:26" x14ac:dyDescent="0.25">
      <c r="U123" s="2"/>
      <c r="V123" s="2"/>
      <c r="W123" s="2"/>
      <c r="X123" s="2"/>
      <c r="Y123" s="2"/>
      <c r="Z123" s="2"/>
    </row>
    <row r="124" spans="21:26" x14ac:dyDescent="0.25">
      <c r="U124" s="2"/>
      <c r="V124" s="2"/>
      <c r="W124" s="2"/>
      <c r="X124" s="2"/>
      <c r="Y124" s="2"/>
      <c r="Z124" s="2"/>
    </row>
    <row r="125" spans="21:26" x14ac:dyDescent="0.25">
      <c r="U125" s="2"/>
      <c r="V125" s="2"/>
      <c r="W125" s="2"/>
      <c r="X125" s="2"/>
      <c r="Y125" s="2"/>
      <c r="Z125" s="2"/>
    </row>
    <row r="126" spans="21:26" x14ac:dyDescent="0.25">
      <c r="U126" s="2"/>
      <c r="V126" s="2"/>
      <c r="W126" s="2"/>
      <c r="X126" s="2"/>
      <c r="Y126" s="2"/>
      <c r="Z126" s="2"/>
    </row>
    <row r="127" spans="21:26" x14ac:dyDescent="0.25">
      <c r="U127" s="2"/>
      <c r="V127" s="2"/>
      <c r="W127" s="2"/>
      <c r="X127" s="2"/>
      <c r="Y127" s="2"/>
      <c r="Z127" s="2"/>
    </row>
    <row r="128" spans="21:26" x14ac:dyDescent="0.25">
      <c r="U128" s="2"/>
      <c r="V128" s="2"/>
      <c r="W128" s="2"/>
      <c r="X128" s="2"/>
      <c r="Y128" s="2"/>
      <c r="Z128" s="2"/>
    </row>
    <row r="129" spans="21:26" x14ac:dyDescent="0.25">
      <c r="U129" s="2"/>
      <c r="V129" s="2"/>
      <c r="W129" s="2"/>
      <c r="X129" s="2"/>
      <c r="Y129" s="2"/>
      <c r="Z129" s="2"/>
    </row>
    <row r="130" spans="21:26" x14ac:dyDescent="0.25">
      <c r="U130" s="2"/>
      <c r="V130" s="2"/>
      <c r="W130" s="2"/>
      <c r="X130" s="2"/>
      <c r="Y130" s="2"/>
      <c r="Z130" s="2"/>
    </row>
    <row r="131" spans="21:26" x14ac:dyDescent="0.25">
      <c r="U131" s="2"/>
      <c r="V131" s="2"/>
      <c r="W131" s="2"/>
      <c r="X131" s="2"/>
      <c r="Y131" s="2"/>
      <c r="Z131" s="2"/>
    </row>
    <row r="132" spans="21:26" x14ac:dyDescent="0.25">
      <c r="U132" s="2"/>
      <c r="V132" s="2"/>
      <c r="W132" s="2"/>
      <c r="X132" s="2"/>
      <c r="Y132" s="2"/>
      <c r="Z132" s="2"/>
    </row>
    <row r="133" spans="21:26" x14ac:dyDescent="0.25">
      <c r="U133" s="2"/>
      <c r="V133" s="2"/>
      <c r="W133" s="2"/>
      <c r="X133" s="2"/>
      <c r="Y133" s="2"/>
      <c r="Z133" s="2"/>
    </row>
    <row r="134" spans="21:26" x14ac:dyDescent="0.25">
      <c r="U134" s="2"/>
      <c r="V134" s="2"/>
      <c r="W134" s="2"/>
      <c r="X134" s="2"/>
      <c r="Y134" s="2"/>
      <c r="Z134" s="2"/>
    </row>
    <row r="135" spans="21:26" x14ac:dyDescent="0.25">
      <c r="U135" s="2"/>
      <c r="V135" s="2"/>
      <c r="W135" s="2"/>
      <c r="X135" s="2"/>
      <c r="Y135" s="2"/>
      <c r="Z135" s="2"/>
    </row>
    <row r="136" spans="21:26" x14ac:dyDescent="0.25">
      <c r="U136" s="2"/>
      <c r="V136" s="2"/>
      <c r="W136" s="2"/>
      <c r="X136" s="2"/>
      <c r="Y136" s="2"/>
      <c r="Z136" s="2"/>
    </row>
    <row r="137" spans="21:26" x14ac:dyDescent="0.25">
      <c r="U137" s="2"/>
      <c r="V137" s="2"/>
      <c r="W137" s="2"/>
      <c r="X137" s="2"/>
      <c r="Y137" s="2"/>
      <c r="Z137" s="2"/>
    </row>
    <row r="138" spans="21:26" x14ac:dyDescent="0.25">
      <c r="U138" s="2"/>
      <c r="V138" s="2"/>
      <c r="W138" s="2"/>
      <c r="X138" s="2"/>
      <c r="Y138" s="2"/>
      <c r="Z138" s="2"/>
    </row>
    <row r="139" spans="21:26" x14ac:dyDescent="0.25">
      <c r="U139" s="2"/>
      <c r="V139" s="2"/>
      <c r="W139" s="2"/>
      <c r="X139" s="2"/>
      <c r="Y139" s="2"/>
      <c r="Z139" s="2"/>
    </row>
    <row r="140" spans="21:26" x14ac:dyDescent="0.25">
      <c r="U140" s="2"/>
      <c r="V140" s="2"/>
      <c r="W140" s="2"/>
      <c r="X140" s="2"/>
      <c r="Y140" s="2"/>
      <c r="Z140" s="2"/>
    </row>
    <row r="141" spans="21:26" x14ac:dyDescent="0.25">
      <c r="U141" s="2"/>
      <c r="V141" s="2"/>
      <c r="W141" s="2"/>
      <c r="X141" s="2"/>
      <c r="Y141" s="2"/>
      <c r="Z141" s="2"/>
    </row>
    <row r="142" spans="21:26" x14ac:dyDescent="0.25">
      <c r="U142" s="2"/>
      <c r="V142" s="2"/>
      <c r="W142" s="2"/>
      <c r="X142" s="2"/>
      <c r="Y142" s="2"/>
      <c r="Z142" s="2"/>
    </row>
    <row r="143" spans="21:26" x14ac:dyDescent="0.25">
      <c r="U143" s="2"/>
      <c r="V143" s="2"/>
      <c r="W143" s="2"/>
      <c r="X143" s="2"/>
      <c r="Y143" s="2"/>
      <c r="Z143" s="2"/>
    </row>
    <row r="144" spans="21:26" x14ac:dyDescent="0.25">
      <c r="U144" s="2"/>
      <c r="V144" s="2"/>
      <c r="W144" s="2"/>
      <c r="X144" s="2"/>
      <c r="Y144" s="2"/>
      <c r="Z144" s="2"/>
    </row>
    <row r="145" spans="21:26" x14ac:dyDescent="0.25">
      <c r="U145" s="2"/>
      <c r="V145" s="2"/>
      <c r="W145" s="2"/>
      <c r="X145" s="2"/>
      <c r="Y145" s="2"/>
      <c r="Z145" s="2"/>
    </row>
    <row r="146" spans="21:26" x14ac:dyDescent="0.25">
      <c r="U146" s="2"/>
      <c r="V146" s="2"/>
      <c r="W146" s="2"/>
      <c r="X146" s="2"/>
      <c r="Y146" s="2"/>
      <c r="Z146" s="2"/>
    </row>
    <row r="147" spans="21:26" x14ac:dyDescent="0.25">
      <c r="U147" s="2"/>
      <c r="V147" s="2"/>
      <c r="W147" s="2"/>
      <c r="X147" s="2"/>
      <c r="Y147" s="2"/>
      <c r="Z147" s="2"/>
    </row>
    <row r="148" spans="21:26" x14ac:dyDescent="0.25">
      <c r="U148" s="2"/>
      <c r="V148" s="2"/>
      <c r="W148" s="2"/>
      <c r="X148" s="2"/>
      <c r="Y148" s="2"/>
      <c r="Z148" s="2"/>
    </row>
    <row r="149" spans="21:26" x14ac:dyDescent="0.25">
      <c r="U149" s="2"/>
      <c r="V149" s="2"/>
      <c r="W149" s="2"/>
      <c r="X149" s="2"/>
      <c r="Y149" s="2"/>
      <c r="Z149" s="2"/>
    </row>
    <row r="150" spans="21:26" x14ac:dyDescent="0.25">
      <c r="U150" s="2"/>
      <c r="V150" s="2"/>
      <c r="W150" s="2"/>
      <c r="X150" s="2"/>
      <c r="Y150" s="2"/>
      <c r="Z150" s="2"/>
    </row>
    <row r="151" spans="21:26" x14ac:dyDescent="0.25">
      <c r="U151" s="2"/>
      <c r="V151" s="2"/>
      <c r="W151" s="2"/>
      <c r="X151" s="2"/>
      <c r="Y151" s="2"/>
      <c r="Z151" s="2"/>
    </row>
    <row r="152" spans="21:26" x14ac:dyDescent="0.25">
      <c r="U152" s="2"/>
      <c r="V152" s="2"/>
      <c r="W152" s="2"/>
      <c r="X152" s="2"/>
      <c r="Y152" s="2"/>
      <c r="Z152" s="2"/>
    </row>
    <row r="153" spans="21:26" x14ac:dyDescent="0.25">
      <c r="U153" s="2"/>
      <c r="V153" s="2"/>
      <c r="W153" s="2"/>
      <c r="X153" s="2"/>
      <c r="Y153" s="2"/>
      <c r="Z153" s="2"/>
    </row>
    <row r="154" spans="21:26" x14ac:dyDescent="0.25">
      <c r="U154" s="2"/>
      <c r="V154" s="2"/>
      <c r="W154" s="2"/>
      <c r="X154" s="2"/>
      <c r="Y154" s="2"/>
      <c r="Z154" s="2"/>
    </row>
    <row r="155" spans="21:26" x14ac:dyDescent="0.25">
      <c r="U155" s="2"/>
      <c r="V155" s="2"/>
      <c r="W155" s="2"/>
      <c r="X155" s="2"/>
      <c r="Y155" s="2"/>
      <c r="Z155" s="2"/>
    </row>
    <row r="156" spans="21:26" x14ac:dyDescent="0.25">
      <c r="U156" s="2"/>
      <c r="V156" s="2"/>
      <c r="W156" s="2"/>
      <c r="X156" s="2"/>
      <c r="Y156" s="2"/>
      <c r="Z156" s="2"/>
    </row>
    <row r="157" spans="21:26" x14ac:dyDescent="0.25">
      <c r="U157" s="2"/>
      <c r="V157" s="2"/>
      <c r="W157" s="2"/>
      <c r="X157" s="2"/>
      <c r="Y157" s="2"/>
      <c r="Z157" s="2"/>
    </row>
    <row r="158" spans="21:26" x14ac:dyDescent="0.25">
      <c r="U158" s="2"/>
      <c r="V158" s="2"/>
      <c r="W158" s="2"/>
      <c r="X158" s="2"/>
      <c r="Y158" s="2"/>
      <c r="Z158" s="2"/>
    </row>
    <row r="159" spans="21:26" x14ac:dyDescent="0.25">
      <c r="U159" s="2"/>
      <c r="V159" s="2"/>
      <c r="W159" s="2"/>
      <c r="X159" s="2"/>
      <c r="Y159" s="2"/>
      <c r="Z159" s="2"/>
    </row>
    <row r="160" spans="21:26" x14ac:dyDescent="0.25">
      <c r="U160" s="2"/>
      <c r="V160" s="2"/>
      <c r="W160" s="2"/>
      <c r="X160" s="2"/>
      <c r="Y160" s="2"/>
      <c r="Z160" s="2"/>
    </row>
    <row r="161" spans="21:26" x14ac:dyDescent="0.25">
      <c r="U161" s="2"/>
      <c r="V161" s="2"/>
      <c r="W161" s="2"/>
      <c r="X161" s="2"/>
      <c r="Y161" s="2"/>
      <c r="Z161" s="2"/>
    </row>
    <row r="162" spans="21:26" x14ac:dyDescent="0.25">
      <c r="U162" s="2"/>
      <c r="V162" s="2"/>
      <c r="W162" s="2"/>
      <c r="X162" s="2"/>
      <c r="Y162" s="2"/>
      <c r="Z162" s="2"/>
    </row>
    <row r="163" spans="21:26" x14ac:dyDescent="0.25">
      <c r="U163" s="2"/>
      <c r="V163" s="2"/>
      <c r="W163" s="2"/>
      <c r="X163" s="2"/>
      <c r="Y163" s="2"/>
      <c r="Z163" s="2"/>
    </row>
    <row r="164" spans="21:26" x14ac:dyDescent="0.25">
      <c r="U164" s="2"/>
      <c r="V164" s="2"/>
      <c r="W164" s="2"/>
      <c r="X164" s="2"/>
      <c r="Y164" s="2"/>
      <c r="Z164" s="2"/>
    </row>
    <row r="165" spans="21:26" x14ac:dyDescent="0.25">
      <c r="U165" s="2"/>
      <c r="V165" s="2"/>
      <c r="W165" s="2"/>
      <c r="X165" s="2"/>
      <c r="Y165" s="2"/>
      <c r="Z165" s="2"/>
    </row>
    <row r="166" spans="21:26" x14ac:dyDescent="0.25">
      <c r="U166" s="2"/>
      <c r="V166" s="2"/>
      <c r="W166" s="2"/>
      <c r="X166" s="2"/>
      <c r="Y166" s="2"/>
      <c r="Z166" s="2"/>
    </row>
    <row r="167" spans="21:26" x14ac:dyDescent="0.25">
      <c r="U167" s="2"/>
      <c r="V167" s="2"/>
      <c r="W167" s="2"/>
      <c r="X167" s="2"/>
      <c r="Y167" s="2"/>
      <c r="Z167" s="2"/>
    </row>
    <row r="168" spans="21:26" x14ac:dyDescent="0.25">
      <c r="U168" s="2"/>
      <c r="V168" s="2"/>
      <c r="W168" s="2"/>
      <c r="X168" s="2"/>
      <c r="Y168" s="2"/>
      <c r="Z168" s="2"/>
    </row>
    <row r="169" spans="21:26" x14ac:dyDescent="0.25">
      <c r="U169" s="2"/>
      <c r="V169" s="2"/>
      <c r="W169" s="2"/>
      <c r="X169" s="2"/>
      <c r="Y169" s="2"/>
      <c r="Z169" s="2"/>
    </row>
    <row r="170" spans="21:26" x14ac:dyDescent="0.25">
      <c r="U170" s="2"/>
      <c r="V170" s="2"/>
      <c r="W170" s="2"/>
      <c r="X170" s="2"/>
      <c r="Y170" s="2"/>
      <c r="Z170" s="2"/>
    </row>
    <row r="171" spans="21:26" x14ac:dyDescent="0.25">
      <c r="U171" s="2"/>
      <c r="V171" s="2"/>
      <c r="W171" s="2"/>
      <c r="X171" s="2"/>
      <c r="Y171" s="2"/>
      <c r="Z171" s="2"/>
    </row>
    <row r="172" spans="21:26" x14ac:dyDescent="0.25">
      <c r="U172" s="2"/>
      <c r="V172" s="2"/>
      <c r="W172" s="2"/>
      <c r="X172" s="2"/>
      <c r="Y172" s="2"/>
      <c r="Z172" s="2"/>
    </row>
    <row r="173" spans="21:26" x14ac:dyDescent="0.25">
      <c r="U173" s="2"/>
      <c r="V173" s="2"/>
      <c r="W173" s="2"/>
      <c r="X173" s="2"/>
      <c r="Y173" s="2"/>
      <c r="Z173" s="2"/>
    </row>
    <row r="174" spans="21:26" x14ac:dyDescent="0.25">
      <c r="U174" s="2"/>
      <c r="V174" s="2"/>
      <c r="W174" s="2"/>
      <c r="X174" s="2"/>
      <c r="Y174" s="2"/>
      <c r="Z174" s="2"/>
    </row>
    <row r="175" spans="21:26" x14ac:dyDescent="0.25">
      <c r="U175" s="2"/>
      <c r="V175" s="2"/>
      <c r="W175" s="2"/>
      <c r="X175" s="2"/>
      <c r="Y175" s="2"/>
      <c r="Z175" s="2"/>
    </row>
    <row r="176" spans="21:26" x14ac:dyDescent="0.25">
      <c r="U176" s="2"/>
      <c r="V176" s="2"/>
      <c r="W176" s="2"/>
      <c r="X176" s="2"/>
      <c r="Y176" s="2"/>
      <c r="Z176" s="2"/>
    </row>
    <row r="177" spans="21:26" x14ac:dyDescent="0.25">
      <c r="U177" s="2"/>
      <c r="V177" s="2"/>
      <c r="W177" s="2"/>
      <c r="X177" s="2"/>
      <c r="Y177" s="2"/>
      <c r="Z177" s="2"/>
    </row>
    <row r="178" spans="21:26" x14ac:dyDescent="0.25">
      <c r="U178" s="2"/>
      <c r="V178" s="2"/>
      <c r="W178" s="2"/>
      <c r="X178" s="2"/>
      <c r="Y178" s="2"/>
      <c r="Z178" s="2"/>
    </row>
    <row r="179" spans="21:26" x14ac:dyDescent="0.25">
      <c r="U179" s="2"/>
      <c r="V179" s="2"/>
      <c r="W179" s="2"/>
      <c r="X179" s="2"/>
      <c r="Y179" s="2"/>
      <c r="Z179" s="2"/>
    </row>
    <row r="180" spans="21:26" x14ac:dyDescent="0.25">
      <c r="U180" s="2"/>
      <c r="V180" s="2"/>
      <c r="W180" s="2"/>
      <c r="X180" s="2"/>
      <c r="Y180" s="2"/>
      <c r="Z180" s="2"/>
    </row>
    <row r="181" spans="21:26" x14ac:dyDescent="0.25">
      <c r="U181" s="2"/>
      <c r="V181" s="2"/>
      <c r="W181" s="2"/>
      <c r="X181" s="2"/>
      <c r="Y181" s="2"/>
      <c r="Z181" s="2"/>
    </row>
    <row r="182" spans="21:26" x14ac:dyDescent="0.25">
      <c r="U182" s="2"/>
      <c r="V182" s="2"/>
      <c r="W182" s="2"/>
      <c r="X182" s="2"/>
      <c r="Y182" s="2"/>
      <c r="Z182" s="2"/>
    </row>
    <row r="183" spans="21:26" x14ac:dyDescent="0.25">
      <c r="U183" s="2"/>
      <c r="V183" s="2"/>
      <c r="W183" s="2"/>
      <c r="X183" s="2"/>
      <c r="Y183" s="2"/>
      <c r="Z183" s="2"/>
    </row>
    <row r="184" spans="21:26" x14ac:dyDescent="0.25">
      <c r="U184" s="2"/>
      <c r="V184" s="2"/>
      <c r="W184" s="2"/>
      <c r="X184" s="2"/>
      <c r="Y184" s="2"/>
      <c r="Z184" s="2"/>
    </row>
    <row r="185" spans="21:26" x14ac:dyDescent="0.25">
      <c r="U185" s="2"/>
      <c r="V185" s="2"/>
      <c r="W185" s="2"/>
      <c r="X185" s="2"/>
      <c r="Y185" s="2"/>
      <c r="Z185" s="2"/>
    </row>
    <row r="186" spans="21:26" x14ac:dyDescent="0.25">
      <c r="U186" s="2"/>
      <c r="V186" s="2"/>
      <c r="W186" s="2"/>
      <c r="X186" s="2"/>
      <c r="Y186" s="2"/>
      <c r="Z186" s="2"/>
    </row>
    <row r="187" spans="21:26" x14ac:dyDescent="0.25">
      <c r="U187" s="2"/>
      <c r="V187" s="2"/>
      <c r="W187" s="2"/>
      <c r="X187" s="2"/>
      <c r="Y187" s="2"/>
      <c r="Z187" s="2"/>
    </row>
    <row r="188" spans="21:26" x14ac:dyDescent="0.25">
      <c r="U188" s="2"/>
      <c r="V188" s="2"/>
      <c r="W188" s="2"/>
      <c r="X188" s="2"/>
      <c r="Y188" s="2"/>
      <c r="Z188" s="2"/>
    </row>
    <row r="189" spans="21:26" x14ac:dyDescent="0.25">
      <c r="U189" s="2"/>
      <c r="V189" s="2"/>
      <c r="W189" s="2"/>
      <c r="X189" s="2"/>
      <c r="Y189" s="2"/>
      <c r="Z189" s="2"/>
    </row>
    <row r="190" spans="21:26" x14ac:dyDescent="0.25">
      <c r="U190" s="2"/>
      <c r="V190" s="2"/>
      <c r="W190" s="2"/>
      <c r="X190" s="2"/>
      <c r="Y190" s="2"/>
      <c r="Z190" s="2"/>
    </row>
    <row r="191" spans="21:26" x14ac:dyDescent="0.25">
      <c r="U191" s="2"/>
      <c r="V191" s="2"/>
      <c r="W191" s="2"/>
      <c r="X191" s="2"/>
      <c r="Y191" s="2"/>
      <c r="Z191" s="2"/>
    </row>
    <row r="192" spans="21:26" x14ac:dyDescent="0.25">
      <c r="U192" s="2"/>
      <c r="V192" s="2"/>
      <c r="W192" s="2"/>
      <c r="X192" s="2"/>
      <c r="Y192" s="2"/>
      <c r="Z192" s="2"/>
    </row>
    <row r="193" spans="21:26" x14ac:dyDescent="0.25">
      <c r="U193" s="2"/>
      <c r="V193" s="2"/>
      <c r="W193" s="2"/>
      <c r="X193" s="2"/>
      <c r="Y193" s="2"/>
      <c r="Z193" s="2"/>
    </row>
    <row r="194" spans="21:26" x14ac:dyDescent="0.25">
      <c r="U194" s="2"/>
      <c r="V194" s="2"/>
      <c r="W194" s="2"/>
      <c r="X194" s="2"/>
      <c r="Y194" s="2"/>
      <c r="Z194" s="2"/>
    </row>
    <row r="195" spans="21:26" x14ac:dyDescent="0.25">
      <c r="U195" s="2"/>
      <c r="V195" s="2"/>
      <c r="W195" s="2"/>
      <c r="X195" s="2"/>
      <c r="Y195" s="2"/>
      <c r="Z195" s="2"/>
    </row>
    <row r="196" spans="21:26" x14ac:dyDescent="0.25">
      <c r="U196" s="2"/>
      <c r="V196" s="2"/>
      <c r="W196" s="2"/>
      <c r="X196" s="2"/>
      <c r="Y196" s="2"/>
      <c r="Z196" s="2"/>
    </row>
    <row r="197" spans="21:26" x14ac:dyDescent="0.25">
      <c r="U197" s="2"/>
      <c r="V197" s="2"/>
      <c r="W197" s="2"/>
      <c r="X197" s="2"/>
      <c r="Y197" s="2"/>
      <c r="Z197" s="2"/>
    </row>
    <row r="198" spans="21:26" x14ac:dyDescent="0.25">
      <c r="U198" s="2"/>
      <c r="V198" s="2"/>
      <c r="W198" s="2"/>
      <c r="X198" s="2"/>
      <c r="Y198" s="2"/>
      <c r="Z198" s="2"/>
    </row>
    <row r="199" spans="21:26" x14ac:dyDescent="0.25">
      <c r="U199" s="2"/>
      <c r="V199" s="2"/>
      <c r="W199" s="2"/>
      <c r="X199" s="2"/>
      <c r="Y199" s="2"/>
      <c r="Z199" s="2"/>
    </row>
    <row r="200" spans="21:26" x14ac:dyDescent="0.25">
      <c r="U200" s="2"/>
      <c r="V200" s="2"/>
      <c r="W200" s="2"/>
      <c r="X200" s="2"/>
      <c r="Y200" s="2"/>
      <c r="Z200" s="2"/>
    </row>
    <row r="201" spans="21:26" x14ac:dyDescent="0.25">
      <c r="U201" s="2"/>
      <c r="V201" s="2"/>
      <c r="W201" s="2"/>
      <c r="X201" s="2"/>
      <c r="Y201" s="2"/>
      <c r="Z201" s="2"/>
    </row>
    <row r="202" spans="21:26" x14ac:dyDescent="0.25">
      <c r="U202" s="2"/>
      <c r="V202" s="2"/>
      <c r="W202" s="2"/>
      <c r="X202" s="2"/>
      <c r="Y202" s="2"/>
      <c r="Z202" s="2"/>
    </row>
    <row r="203" spans="21:26" x14ac:dyDescent="0.25">
      <c r="U203" s="2"/>
      <c r="V203" s="2"/>
      <c r="W203" s="2"/>
      <c r="X203" s="2"/>
      <c r="Y203" s="2"/>
      <c r="Z203" s="2"/>
    </row>
    <row r="204" spans="21:26" x14ac:dyDescent="0.25">
      <c r="U204" s="2"/>
      <c r="V204" s="2"/>
      <c r="W204" s="2"/>
      <c r="X204" s="2"/>
      <c r="Y204" s="2"/>
      <c r="Z204" s="2"/>
    </row>
    <row r="205" spans="21:26" x14ac:dyDescent="0.25">
      <c r="U205" s="2"/>
      <c r="V205" s="2"/>
      <c r="W205" s="2"/>
      <c r="X205" s="2"/>
      <c r="Y205" s="2"/>
      <c r="Z205" s="2"/>
    </row>
    <row r="206" spans="21:26" x14ac:dyDescent="0.25">
      <c r="U206" s="2"/>
      <c r="V206" s="2"/>
      <c r="W206" s="2"/>
      <c r="X206" s="2"/>
      <c r="Y206" s="2"/>
      <c r="Z206" s="2"/>
    </row>
    <row r="207" spans="21:26" x14ac:dyDescent="0.25">
      <c r="U207" s="2"/>
      <c r="V207" s="2"/>
      <c r="W207" s="2"/>
      <c r="X207" s="2"/>
      <c r="Y207" s="2"/>
      <c r="Z207" s="2"/>
    </row>
    <row r="208" spans="21:26" x14ac:dyDescent="0.25">
      <c r="U208" s="2"/>
      <c r="V208" s="2"/>
      <c r="W208" s="2"/>
      <c r="X208" s="2"/>
      <c r="Y208" s="2"/>
      <c r="Z208" s="2"/>
    </row>
    <row r="209" spans="21:26" x14ac:dyDescent="0.25">
      <c r="U209" s="2"/>
      <c r="V209" s="2"/>
      <c r="W209" s="2"/>
      <c r="X209" s="2"/>
      <c r="Y209" s="2"/>
      <c r="Z209" s="2"/>
    </row>
    <row r="210" spans="21:26" x14ac:dyDescent="0.25">
      <c r="U210" s="2"/>
      <c r="V210" s="2"/>
      <c r="W210" s="2"/>
      <c r="X210" s="2"/>
      <c r="Y210" s="2"/>
      <c r="Z210" s="2"/>
    </row>
    <row r="211" spans="21:26" x14ac:dyDescent="0.25">
      <c r="U211" s="2"/>
      <c r="V211" s="2"/>
      <c r="W211" s="2"/>
      <c r="X211" s="2"/>
      <c r="Y211" s="2"/>
      <c r="Z211" s="2"/>
    </row>
    <row r="212" spans="21:26" x14ac:dyDescent="0.25">
      <c r="U212" s="2"/>
      <c r="V212" s="2"/>
      <c r="W212" s="2"/>
      <c r="X212" s="2"/>
      <c r="Y212" s="2"/>
      <c r="Z212" s="2"/>
    </row>
    <row r="213" spans="21:26" x14ac:dyDescent="0.25">
      <c r="U213" s="2"/>
      <c r="V213" s="2"/>
      <c r="W213" s="2"/>
      <c r="X213" s="2"/>
      <c r="Y213" s="2"/>
      <c r="Z213" s="2"/>
    </row>
    <row r="214" spans="21:26" x14ac:dyDescent="0.25">
      <c r="U214" s="2"/>
      <c r="V214" s="2"/>
      <c r="W214" s="2"/>
      <c r="X214" s="2"/>
      <c r="Y214" s="2"/>
      <c r="Z214" s="2"/>
    </row>
    <row r="215" spans="21:26" x14ac:dyDescent="0.25">
      <c r="U215" s="2"/>
      <c r="V215" s="2"/>
      <c r="W215" s="2"/>
      <c r="X215" s="2"/>
      <c r="Y215" s="2"/>
      <c r="Z215" s="2"/>
    </row>
    <row r="216" spans="21:26" x14ac:dyDescent="0.25">
      <c r="U216" s="2"/>
      <c r="V216" s="2"/>
      <c r="W216" s="2"/>
      <c r="X216" s="2"/>
      <c r="Y216" s="2"/>
      <c r="Z216" s="2"/>
    </row>
    <row r="217" spans="21:26" x14ac:dyDescent="0.25">
      <c r="U217" s="2"/>
      <c r="V217" s="2"/>
      <c r="W217" s="2"/>
      <c r="X217" s="2"/>
      <c r="Y217" s="2"/>
      <c r="Z217" s="2"/>
    </row>
    <row r="218" spans="21:26" x14ac:dyDescent="0.25">
      <c r="U218" s="2"/>
      <c r="V218" s="2"/>
      <c r="W218" s="2"/>
      <c r="X218" s="2"/>
      <c r="Y218" s="2"/>
      <c r="Z218" s="2"/>
    </row>
    <row r="219" spans="21:26" x14ac:dyDescent="0.25">
      <c r="U219" s="2"/>
      <c r="V219" s="2"/>
      <c r="W219" s="2"/>
      <c r="X219" s="2"/>
      <c r="Y219" s="2"/>
      <c r="Z219" s="2"/>
    </row>
    <row r="220" spans="21:26" x14ac:dyDescent="0.25">
      <c r="U220" s="2"/>
      <c r="V220" s="2"/>
      <c r="W220" s="2"/>
      <c r="X220" s="2"/>
      <c r="Y220" s="2"/>
      <c r="Z220" s="2"/>
    </row>
    <row r="221" spans="21:26" x14ac:dyDescent="0.25">
      <c r="U221" s="2"/>
      <c r="V221" s="2"/>
      <c r="W221" s="2"/>
      <c r="X221" s="2"/>
      <c r="Y221" s="2"/>
      <c r="Z221" s="2"/>
    </row>
    <row r="222" spans="21:26" x14ac:dyDescent="0.25">
      <c r="U222" s="2"/>
      <c r="V222" s="2"/>
      <c r="W222" s="2"/>
      <c r="X222" s="2"/>
      <c r="Y222" s="2"/>
      <c r="Z222" s="2"/>
    </row>
    <row r="223" spans="21:26" x14ac:dyDescent="0.25">
      <c r="U223" s="2"/>
      <c r="V223" s="2"/>
      <c r="W223" s="2"/>
      <c r="X223" s="2"/>
      <c r="Y223" s="2"/>
      <c r="Z223" s="2"/>
    </row>
    <row r="224" spans="21:26" x14ac:dyDescent="0.25">
      <c r="U224" s="2"/>
      <c r="V224" s="2"/>
      <c r="W224" s="2"/>
      <c r="X224" s="2"/>
      <c r="Y224" s="2"/>
      <c r="Z224" s="2"/>
    </row>
    <row r="225" spans="21:26" x14ac:dyDescent="0.25">
      <c r="U225" s="2"/>
      <c r="V225" s="2"/>
      <c r="W225" s="2"/>
      <c r="X225" s="2"/>
      <c r="Y225" s="2"/>
      <c r="Z225" s="2"/>
    </row>
    <row r="226" spans="21:26" x14ac:dyDescent="0.25">
      <c r="U226" s="2"/>
      <c r="V226" s="2"/>
      <c r="W226" s="2"/>
      <c r="X226" s="2"/>
      <c r="Y226" s="2"/>
      <c r="Z226" s="2"/>
    </row>
    <row r="227" spans="21:26" x14ac:dyDescent="0.25">
      <c r="U227" s="2"/>
      <c r="V227" s="2"/>
      <c r="W227" s="2"/>
      <c r="X227" s="2"/>
      <c r="Y227" s="2"/>
      <c r="Z227" s="2"/>
    </row>
    <row r="228" spans="21:26" x14ac:dyDescent="0.25">
      <c r="U228" s="2"/>
      <c r="V228" s="2"/>
      <c r="W228" s="2"/>
      <c r="X228" s="2"/>
      <c r="Y228" s="2"/>
      <c r="Z228" s="2"/>
    </row>
    <row r="229" spans="21:26" x14ac:dyDescent="0.25">
      <c r="U229" s="2"/>
      <c r="V229" s="2"/>
      <c r="W229" s="2"/>
      <c r="X229" s="2"/>
      <c r="Y229" s="2"/>
      <c r="Z229" s="2"/>
    </row>
    <row r="230" spans="21:26" x14ac:dyDescent="0.25">
      <c r="U230" s="2"/>
      <c r="V230" s="2"/>
      <c r="W230" s="2"/>
      <c r="X230" s="2"/>
      <c r="Y230" s="2"/>
      <c r="Z230" s="2"/>
    </row>
    <row r="231" spans="21:26" x14ac:dyDescent="0.25">
      <c r="U231" s="2"/>
      <c r="V231" s="2"/>
      <c r="W231" s="2"/>
      <c r="X231" s="2"/>
      <c r="Y231" s="2"/>
      <c r="Z231" s="2"/>
    </row>
    <row r="232" spans="21:26" x14ac:dyDescent="0.25">
      <c r="U232" s="2"/>
      <c r="V232" s="2"/>
      <c r="W232" s="2"/>
      <c r="X232" s="2"/>
      <c r="Y232" s="2"/>
      <c r="Z232" s="2"/>
    </row>
    <row r="233" spans="21:26" x14ac:dyDescent="0.25">
      <c r="U233" s="2"/>
      <c r="V233" s="2"/>
      <c r="W233" s="2"/>
      <c r="X233" s="2"/>
      <c r="Y233" s="2"/>
      <c r="Z233" s="2"/>
    </row>
    <row r="234" spans="21:26" x14ac:dyDescent="0.25">
      <c r="U234" s="2"/>
      <c r="V234" s="2"/>
      <c r="W234" s="2"/>
      <c r="X234" s="2"/>
      <c r="Y234" s="2"/>
      <c r="Z234" s="2"/>
    </row>
    <row r="235" spans="21:26" x14ac:dyDescent="0.25">
      <c r="U235" s="2"/>
      <c r="V235" s="2"/>
      <c r="W235" s="2"/>
      <c r="X235" s="2"/>
      <c r="Y235" s="2"/>
      <c r="Z235" s="2"/>
    </row>
    <row r="236" spans="21:26" x14ac:dyDescent="0.25">
      <c r="U236" s="2"/>
      <c r="V236" s="2"/>
      <c r="W236" s="2"/>
      <c r="X236" s="2"/>
      <c r="Y236" s="2"/>
      <c r="Z236" s="2"/>
    </row>
    <row r="237" spans="21:26" x14ac:dyDescent="0.25">
      <c r="U237" s="2"/>
      <c r="V237" s="2"/>
      <c r="W237" s="2"/>
      <c r="X237" s="2"/>
      <c r="Y237" s="2"/>
      <c r="Z237" s="2"/>
    </row>
    <row r="238" spans="21:26" x14ac:dyDescent="0.25">
      <c r="U238" s="2"/>
      <c r="V238" s="2"/>
      <c r="W238" s="2"/>
      <c r="X238" s="2"/>
      <c r="Y238" s="2"/>
      <c r="Z238" s="2"/>
    </row>
    <row r="239" spans="21:26" x14ac:dyDescent="0.25">
      <c r="U239" s="2"/>
      <c r="V239" s="2"/>
      <c r="W239" s="2"/>
      <c r="X239" s="2"/>
      <c r="Y239" s="2"/>
      <c r="Z239" s="2"/>
    </row>
    <row r="240" spans="21:26" x14ac:dyDescent="0.25">
      <c r="U240" s="2"/>
      <c r="V240" s="2"/>
      <c r="W240" s="2"/>
      <c r="X240" s="2"/>
      <c r="Y240" s="2"/>
      <c r="Z240" s="2"/>
    </row>
    <row r="241" spans="21:26" x14ac:dyDescent="0.25">
      <c r="U241" s="2"/>
      <c r="V241" s="2"/>
      <c r="W241" s="2"/>
      <c r="X241" s="2"/>
      <c r="Y241" s="2"/>
      <c r="Z241" s="2"/>
    </row>
    <row r="242" spans="21:26" x14ac:dyDescent="0.25">
      <c r="U242" s="2"/>
      <c r="V242" s="2"/>
      <c r="W242" s="2"/>
      <c r="X242" s="2"/>
      <c r="Y242" s="2"/>
      <c r="Z242" s="2"/>
    </row>
    <row r="243" spans="21:26" x14ac:dyDescent="0.25">
      <c r="U243" s="2"/>
      <c r="V243" s="2"/>
      <c r="W243" s="2"/>
      <c r="X243" s="2"/>
      <c r="Y243" s="2"/>
      <c r="Z243" s="2"/>
    </row>
    <row r="244" spans="21:26" x14ac:dyDescent="0.25">
      <c r="U244" s="2"/>
      <c r="V244" s="2"/>
      <c r="W244" s="2"/>
      <c r="X244" s="2"/>
      <c r="Y244" s="2"/>
      <c r="Z244" s="2"/>
    </row>
    <row r="245" spans="21:26" x14ac:dyDescent="0.25">
      <c r="U245" s="2"/>
      <c r="V245" s="2"/>
      <c r="W245" s="2"/>
      <c r="X245" s="2"/>
      <c r="Y245" s="2"/>
      <c r="Z245" s="2"/>
    </row>
    <row r="246" spans="21:26" x14ac:dyDescent="0.25">
      <c r="U246" s="2"/>
      <c r="V246" s="2"/>
      <c r="W246" s="2"/>
      <c r="X246" s="2"/>
      <c r="Y246" s="2"/>
      <c r="Z246" s="2"/>
    </row>
    <row r="247" spans="21:26" x14ac:dyDescent="0.25">
      <c r="U247" s="2"/>
      <c r="V247" s="2"/>
      <c r="W247" s="2"/>
      <c r="X247" s="2"/>
      <c r="Y247" s="2"/>
      <c r="Z247" s="2"/>
    </row>
    <row r="248" spans="21:26" x14ac:dyDescent="0.25">
      <c r="U248" s="2"/>
      <c r="V248" s="2"/>
      <c r="W248" s="2"/>
      <c r="X248" s="2"/>
      <c r="Y248" s="2"/>
      <c r="Z248" s="2"/>
    </row>
    <row r="249" spans="21:26" x14ac:dyDescent="0.25">
      <c r="U249" s="2"/>
      <c r="V249" s="2"/>
      <c r="W249" s="2"/>
      <c r="X249" s="2"/>
      <c r="Y249" s="2"/>
      <c r="Z249" s="2"/>
    </row>
    <row r="250" spans="21:26" x14ac:dyDescent="0.25">
      <c r="U250" s="2"/>
      <c r="V250" s="2"/>
      <c r="W250" s="2"/>
      <c r="X250" s="2"/>
      <c r="Y250" s="2"/>
      <c r="Z250" s="2"/>
    </row>
    <row r="251" spans="21:26" x14ac:dyDescent="0.25">
      <c r="U251" s="2"/>
      <c r="V251" s="2"/>
      <c r="W251" s="2"/>
      <c r="X251" s="2"/>
      <c r="Y251" s="2"/>
      <c r="Z251" s="2"/>
    </row>
    <row r="252" spans="21:26" x14ac:dyDescent="0.25">
      <c r="U252" s="2"/>
      <c r="V252" s="2"/>
      <c r="W252" s="2"/>
      <c r="X252" s="2"/>
      <c r="Y252" s="2"/>
      <c r="Z252" s="2"/>
    </row>
    <row r="253" spans="21:26" x14ac:dyDescent="0.25">
      <c r="U253" s="2"/>
      <c r="V253" s="2"/>
      <c r="W253" s="2"/>
      <c r="X253" s="2"/>
      <c r="Y253" s="2"/>
      <c r="Z253" s="2"/>
    </row>
    <row r="254" spans="21:26" x14ac:dyDescent="0.25">
      <c r="U254" s="2"/>
      <c r="V254" s="2"/>
      <c r="W254" s="2"/>
      <c r="X254" s="2"/>
      <c r="Y254" s="2"/>
      <c r="Z254" s="2"/>
    </row>
    <row r="255" spans="21:26" x14ac:dyDescent="0.25">
      <c r="U255" s="2"/>
      <c r="V255" s="2"/>
      <c r="W255" s="2"/>
      <c r="X255" s="2"/>
      <c r="Y255" s="2"/>
      <c r="Z255" s="2"/>
    </row>
    <row r="256" spans="21:26" x14ac:dyDescent="0.25">
      <c r="U256" s="2"/>
      <c r="V256" s="2"/>
      <c r="W256" s="2"/>
      <c r="X256" s="2"/>
      <c r="Y256" s="2"/>
      <c r="Z256" s="2"/>
    </row>
    <row r="257" spans="21:26" x14ac:dyDescent="0.25">
      <c r="U257" s="2"/>
      <c r="V257" s="2"/>
      <c r="W257" s="2"/>
      <c r="X257" s="2"/>
      <c r="Y257" s="2"/>
      <c r="Z257" s="2"/>
    </row>
    <row r="258" spans="21:26" x14ac:dyDescent="0.25">
      <c r="U258" s="2"/>
      <c r="V258" s="2"/>
      <c r="W258" s="2"/>
      <c r="X258" s="2"/>
      <c r="Y258" s="2"/>
      <c r="Z258" s="2"/>
    </row>
    <row r="259" spans="21:26" x14ac:dyDescent="0.25">
      <c r="U259" s="2"/>
      <c r="V259" s="2"/>
      <c r="W259" s="2"/>
      <c r="X259" s="2"/>
      <c r="Y259" s="2"/>
      <c r="Z259" s="2"/>
    </row>
    <row r="260" spans="21:26" x14ac:dyDescent="0.25">
      <c r="U260" s="2"/>
      <c r="V260" s="2"/>
      <c r="W260" s="2"/>
      <c r="X260" s="2"/>
      <c r="Y260" s="2"/>
      <c r="Z260" s="2"/>
    </row>
    <row r="261" spans="21:26" x14ac:dyDescent="0.25">
      <c r="U261" s="2"/>
      <c r="V261" s="2"/>
      <c r="W261" s="2"/>
      <c r="X261" s="2"/>
      <c r="Y261" s="2"/>
      <c r="Z261" s="2"/>
    </row>
    <row r="262" spans="21:26" x14ac:dyDescent="0.25">
      <c r="U262" s="2"/>
      <c r="V262" s="2"/>
      <c r="W262" s="2"/>
      <c r="X262" s="2"/>
      <c r="Y262" s="2"/>
      <c r="Z262" s="2"/>
    </row>
    <row r="263" spans="21:26" x14ac:dyDescent="0.25">
      <c r="U263" s="2"/>
      <c r="V263" s="2"/>
      <c r="W263" s="2"/>
      <c r="X263" s="2"/>
      <c r="Y263" s="2"/>
      <c r="Z263" s="2"/>
    </row>
    <row r="264" spans="21:26" x14ac:dyDescent="0.25">
      <c r="U264" s="2"/>
      <c r="V264" s="2"/>
      <c r="W264" s="2"/>
      <c r="X264" s="2"/>
      <c r="Y264" s="2"/>
      <c r="Z264" s="2"/>
    </row>
    <row r="265" spans="21:26" x14ac:dyDescent="0.25">
      <c r="U265" s="2"/>
      <c r="V265" s="2"/>
      <c r="W265" s="2"/>
      <c r="X265" s="2"/>
      <c r="Y265" s="2"/>
      <c r="Z265" s="2"/>
    </row>
    <row r="266" spans="21:26" x14ac:dyDescent="0.25">
      <c r="U266" s="2"/>
      <c r="V266" s="2"/>
      <c r="W266" s="2"/>
      <c r="X266" s="2"/>
      <c r="Y266" s="2"/>
      <c r="Z266" s="2"/>
    </row>
    <row r="267" spans="21:26" x14ac:dyDescent="0.25">
      <c r="U267" s="2"/>
      <c r="V267" s="2"/>
      <c r="W267" s="2"/>
      <c r="X267" s="2"/>
      <c r="Y267" s="2"/>
      <c r="Z267" s="2"/>
    </row>
    <row r="268" spans="21:26" x14ac:dyDescent="0.25">
      <c r="U268" s="2"/>
      <c r="V268" s="2"/>
      <c r="W268" s="2"/>
      <c r="X268" s="2"/>
      <c r="Y268" s="2"/>
      <c r="Z268" s="2"/>
    </row>
    <row r="269" spans="21:26" x14ac:dyDescent="0.25">
      <c r="U269" s="2"/>
      <c r="V269" s="2"/>
      <c r="W269" s="2"/>
      <c r="X269" s="2"/>
      <c r="Y269" s="2"/>
      <c r="Z269" s="2"/>
    </row>
    <row r="270" spans="21:26" x14ac:dyDescent="0.25">
      <c r="U270" s="2"/>
      <c r="V270" s="2"/>
      <c r="W270" s="2"/>
      <c r="X270" s="2"/>
      <c r="Y270" s="2"/>
      <c r="Z270" s="2"/>
    </row>
    <row r="271" spans="21:26" x14ac:dyDescent="0.25">
      <c r="U271" s="2"/>
      <c r="V271" s="2"/>
      <c r="W271" s="2"/>
      <c r="X271" s="2"/>
      <c r="Y271" s="2"/>
      <c r="Z271" s="2"/>
    </row>
    <row r="272" spans="21:26" x14ac:dyDescent="0.25">
      <c r="U272" s="2"/>
      <c r="V272" s="2"/>
      <c r="W272" s="2"/>
      <c r="X272" s="2"/>
      <c r="Y272" s="2"/>
      <c r="Z272" s="2"/>
    </row>
    <row r="273" spans="21:26" x14ac:dyDescent="0.25">
      <c r="U273" s="2"/>
      <c r="V273" s="2"/>
      <c r="W273" s="2"/>
      <c r="X273" s="2"/>
      <c r="Y273" s="2"/>
      <c r="Z273" s="2"/>
    </row>
    <row r="274" spans="21:26" x14ac:dyDescent="0.25">
      <c r="U274" s="2"/>
      <c r="V274" s="2"/>
      <c r="W274" s="2"/>
      <c r="X274" s="2"/>
      <c r="Y274" s="2"/>
      <c r="Z274" s="2"/>
    </row>
    <row r="275" spans="21:26" x14ac:dyDescent="0.25">
      <c r="U275" s="2"/>
      <c r="V275" s="2"/>
      <c r="W275" s="2"/>
      <c r="X275" s="2"/>
      <c r="Y275" s="2"/>
      <c r="Z275" s="2"/>
    </row>
    <row r="276" spans="21:26" x14ac:dyDescent="0.25">
      <c r="U276" s="2"/>
      <c r="V276" s="2"/>
      <c r="W276" s="2"/>
      <c r="X276" s="2"/>
      <c r="Y276" s="2"/>
      <c r="Z276" s="2"/>
    </row>
    <row r="277" spans="21:26" x14ac:dyDescent="0.25">
      <c r="U277" s="2"/>
      <c r="V277" s="2"/>
      <c r="W277" s="2"/>
      <c r="X277" s="2"/>
      <c r="Y277" s="2"/>
      <c r="Z277" s="2"/>
    </row>
    <row r="278" spans="21:26" x14ac:dyDescent="0.25">
      <c r="U278" s="2"/>
      <c r="V278" s="2"/>
      <c r="W278" s="2"/>
      <c r="X278" s="2"/>
      <c r="Y278" s="2"/>
      <c r="Z278" s="2"/>
    </row>
    <row r="279" spans="21:26" x14ac:dyDescent="0.25">
      <c r="U279" s="2"/>
      <c r="V279" s="2"/>
      <c r="W279" s="2"/>
      <c r="X279" s="2"/>
      <c r="Y279" s="2"/>
      <c r="Z279" s="2"/>
    </row>
    <row r="280" spans="21:26" x14ac:dyDescent="0.25">
      <c r="U280" s="2"/>
      <c r="V280" s="2"/>
      <c r="W280" s="2"/>
      <c r="X280" s="2"/>
      <c r="Y280" s="2"/>
      <c r="Z280" s="2"/>
    </row>
    <row r="281" spans="21:26" x14ac:dyDescent="0.25">
      <c r="U281" s="2"/>
      <c r="V281" s="2"/>
      <c r="W281" s="2"/>
      <c r="X281" s="2"/>
      <c r="Y281" s="2"/>
      <c r="Z281" s="2"/>
    </row>
    <row r="282" spans="21:26" x14ac:dyDescent="0.25">
      <c r="U282" s="2"/>
      <c r="V282" s="2"/>
      <c r="W282" s="2"/>
      <c r="X282" s="2"/>
      <c r="Y282" s="2"/>
      <c r="Z282" s="2"/>
    </row>
    <row r="283" spans="21:26" x14ac:dyDescent="0.25">
      <c r="U283" s="2"/>
      <c r="V283" s="2"/>
      <c r="W283" s="2"/>
      <c r="X283" s="2"/>
      <c r="Y283" s="2"/>
      <c r="Z283" s="2"/>
    </row>
    <row r="284" spans="21:26" x14ac:dyDescent="0.25">
      <c r="U284" s="2"/>
      <c r="V284" s="2"/>
      <c r="W284" s="2"/>
      <c r="X284" s="2"/>
      <c r="Y284" s="2"/>
      <c r="Z284" s="2"/>
    </row>
    <row r="285" spans="21:26" x14ac:dyDescent="0.25">
      <c r="U285" s="2"/>
      <c r="V285" s="2"/>
      <c r="W285" s="2"/>
      <c r="X285" s="2"/>
      <c r="Y285" s="2"/>
      <c r="Z285" s="2"/>
    </row>
    <row r="286" spans="21:26" x14ac:dyDescent="0.25">
      <c r="U286" s="2"/>
      <c r="V286" s="2"/>
      <c r="W286" s="2"/>
      <c r="X286" s="2"/>
      <c r="Y286" s="2"/>
      <c r="Z286" s="2"/>
    </row>
    <row r="287" spans="21:26" x14ac:dyDescent="0.25">
      <c r="U287" s="2"/>
      <c r="V287" s="2"/>
      <c r="W287" s="2"/>
      <c r="X287" s="2"/>
      <c r="Y287" s="2"/>
      <c r="Z287" s="2"/>
    </row>
    <row r="288" spans="21:26" x14ac:dyDescent="0.25">
      <c r="U288" s="2"/>
      <c r="V288" s="2"/>
      <c r="W288" s="2"/>
      <c r="X288" s="2"/>
      <c r="Y288" s="2"/>
      <c r="Z288" s="2"/>
    </row>
    <row r="289" spans="21:26" x14ac:dyDescent="0.25">
      <c r="U289" s="2"/>
      <c r="V289" s="2"/>
      <c r="W289" s="2"/>
      <c r="X289" s="2"/>
      <c r="Y289" s="2"/>
      <c r="Z289" s="2"/>
    </row>
    <row r="290" spans="21:26" x14ac:dyDescent="0.25">
      <c r="U290" s="2"/>
      <c r="V290" s="2"/>
      <c r="W290" s="2"/>
      <c r="X290" s="2"/>
      <c r="Y290" s="2"/>
      <c r="Z290" s="2"/>
    </row>
    <row r="291" spans="21:26" x14ac:dyDescent="0.25">
      <c r="U291" s="2"/>
      <c r="V291" s="2"/>
      <c r="W291" s="2"/>
      <c r="X291" s="2"/>
      <c r="Y291" s="2"/>
      <c r="Z291" s="2"/>
    </row>
    <row r="292" spans="21:26" x14ac:dyDescent="0.25">
      <c r="U292" s="2"/>
      <c r="V292" s="2"/>
      <c r="W292" s="2"/>
      <c r="X292" s="2"/>
      <c r="Y292" s="2"/>
      <c r="Z292" s="2"/>
    </row>
    <row r="293" spans="21:26" x14ac:dyDescent="0.25">
      <c r="U293" s="2"/>
      <c r="V293" s="2"/>
      <c r="W293" s="2"/>
      <c r="X293" s="2"/>
      <c r="Y293" s="2"/>
      <c r="Z293" s="2"/>
    </row>
    <row r="294" spans="21:26" x14ac:dyDescent="0.25">
      <c r="U294" s="2"/>
      <c r="V294" s="2"/>
      <c r="W294" s="2"/>
      <c r="X294" s="2"/>
      <c r="Y294" s="2"/>
      <c r="Z294" s="2"/>
    </row>
    <row r="295" spans="21:26" x14ac:dyDescent="0.25">
      <c r="U295" s="2"/>
      <c r="V295" s="2"/>
      <c r="W295" s="2"/>
      <c r="X295" s="2"/>
      <c r="Y295" s="2"/>
      <c r="Z295" s="2"/>
    </row>
    <row r="296" spans="21:26" x14ac:dyDescent="0.25">
      <c r="U296" s="2"/>
      <c r="V296" s="2"/>
      <c r="W296" s="2"/>
      <c r="X296" s="2"/>
      <c r="Y296" s="2"/>
      <c r="Z296" s="2"/>
    </row>
    <row r="297" spans="21:26" x14ac:dyDescent="0.25">
      <c r="U297" s="2"/>
      <c r="V297" s="2"/>
      <c r="W297" s="2"/>
      <c r="X297" s="2"/>
      <c r="Y297" s="2"/>
      <c r="Z297" s="2"/>
    </row>
    <row r="298" spans="21:26" x14ac:dyDescent="0.25">
      <c r="U298" s="2"/>
      <c r="V298" s="2"/>
      <c r="W298" s="2"/>
      <c r="X298" s="2"/>
      <c r="Y298" s="2"/>
      <c r="Z298" s="2"/>
    </row>
    <row r="299" spans="21:26" x14ac:dyDescent="0.25">
      <c r="U299" s="2"/>
      <c r="V299" s="2"/>
      <c r="W299" s="2"/>
      <c r="X299" s="2"/>
      <c r="Y299" s="2"/>
      <c r="Z299" s="2"/>
    </row>
    <row r="300" spans="21:26" x14ac:dyDescent="0.25">
      <c r="U300" s="2"/>
      <c r="V300" s="2"/>
      <c r="W300" s="2"/>
      <c r="X300" s="2"/>
      <c r="Y300" s="2"/>
      <c r="Z300" s="2"/>
    </row>
    <row r="301" spans="21:26" x14ac:dyDescent="0.25">
      <c r="U301" s="2"/>
      <c r="V301" s="2"/>
      <c r="W301" s="2"/>
      <c r="X301" s="2"/>
      <c r="Y301" s="2"/>
      <c r="Z301" s="2"/>
    </row>
    <row r="302" spans="21:26" x14ac:dyDescent="0.25">
      <c r="U302" s="2"/>
      <c r="V302" s="2"/>
      <c r="W302" s="2"/>
      <c r="X302" s="2"/>
      <c r="Y302" s="2"/>
      <c r="Z302" s="2"/>
    </row>
    <row r="303" spans="21:26" x14ac:dyDescent="0.25">
      <c r="U303" s="2"/>
      <c r="V303" s="2"/>
      <c r="W303" s="2"/>
      <c r="X303" s="2"/>
      <c r="Y303" s="2"/>
      <c r="Z303" s="2"/>
    </row>
    <row r="304" spans="21:26" x14ac:dyDescent="0.25">
      <c r="U304" s="2"/>
      <c r="V304" s="2"/>
      <c r="W304" s="2"/>
      <c r="X304" s="2"/>
      <c r="Y304" s="2"/>
      <c r="Z304" s="2"/>
    </row>
    <row r="305" spans="21:26" x14ac:dyDescent="0.25">
      <c r="U305" s="2"/>
      <c r="V305" s="2"/>
      <c r="W305" s="2"/>
      <c r="X305" s="2"/>
      <c r="Y305" s="2"/>
      <c r="Z305" s="2"/>
    </row>
    <row r="306" spans="21:26" x14ac:dyDescent="0.25">
      <c r="U306" s="2"/>
      <c r="V306" s="2"/>
      <c r="W306" s="2"/>
      <c r="X306" s="2"/>
      <c r="Y306" s="2"/>
      <c r="Z306" s="2"/>
    </row>
    <row r="307" spans="21:26" x14ac:dyDescent="0.25">
      <c r="U307" s="2"/>
      <c r="V307" s="2"/>
      <c r="W307" s="2"/>
      <c r="X307" s="2"/>
      <c r="Y307" s="2"/>
      <c r="Z307" s="2"/>
    </row>
    <row r="308" spans="21:26" x14ac:dyDescent="0.25">
      <c r="U308" s="2"/>
      <c r="V308" s="2"/>
      <c r="W308" s="2"/>
      <c r="X308" s="2"/>
      <c r="Y308" s="2"/>
      <c r="Z308" s="2"/>
    </row>
    <row r="309" spans="21:26" x14ac:dyDescent="0.25">
      <c r="U309" s="2"/>
      <c r="V309" s="2"/>
      <c r="W309" s="2"/>
      <c r="X309" s="2"/>
      <c r="Y309" s="2"/>
      <c r="Z309" s="2"/>
    </row>
    <row r="310" spans="21:26" x14ac:dyDescent="0.25">
      <c r="U310" s="2"/>
      <c r="V310" s="2"/>
      <c r="W310" s="2"/>
      <c r="X310" s="2"/>
      <c r="Y310" s="2"/>
      <c r="Z310" s="2"/>
    </row>
    <row r="311" spans="21:26" x14ac:dyDescent="0.25">
      <c r="U311" s="2"/>
      <c r="V311" s="2"/>
      <c r="W311" s="2"/>
      <c r="X311" s="2"/>
      <c r="Y311" s="2"/>
      <c r="Z311" s="2"/>
    </row>
    <row r="312" spans="21:26" x14ac:dyDescent="0.25">
      <c r="U312" s="2"/>
      <c r="V312" s="2"/>
      <c r="W312" s="2"/>
      <c r="X312" s="2"/>
      <c r="Y312" s="2"/>
      <c r="Z312" s="2"/>
    </row>
    <row r="313" spans="21:26" x14ac:dyDescent="0.25">
      <c r="U313" s="2"/>
      <c r="V313" s="2"/>
      <c r="W313" s="2"/>
      <c r="X313" s="2"/>
      <c r="Y313" s="2"/>
      <c r="Z313" s="2"/>
    </row>
    <row r="314" spans="21:26" x14ac:dyDescent="0.25">
      <c r="U314" s="2"/>
      <c r="V314" s="2"/>
      <c r="W314" s="2"/>
      <c r="X314" s="2"/>
      <c r="Y314" s="2"/>
      <c r="Z314" s="2"/>
    </row>
    <row r="315" spans="21:26" x14ac:dyDescent="0.25">
      <c r="U315" s="2"/>
      <c r="V315" s="2"/>
      <c r="W315" s="2"/>
      <c r="X315" s="2"/>
      <c r="Y315" s="2"/>
      <c r="Z315" s="2"/>
    </row>
    <row r="316" spans="21:26" x14ac:dyDescent="0.25">
      <c r="U316" s="2"/>
      <c r="V316" s="2"/>
      <c r="W316" s="2"/>
      <c r="X316" s="2"/>
      <c r="Y316" s="2"/>
      <c r="Z316" s="2"/>
    </row>
    <row r="317" spans="21:26" x14ac:dyDescent="0.25">
      <c r="U317" s="2"/>
      <c r="V317" s="2"/>
      <c r="W317" s="2"/>
      <c r="X317" s="2"/>
      <c r="Y317" s="2"/>
      <c r="Z317" s="2"/>
    </row>
    <row r="318" spans="21:26" x14ac:dyDescent="0.25">
      <c r="U318" s="2"/>
      <c r="V318" s="2"/>
      <c r="W318" s="2"/>
      <c r="X318" s="2"/>
      <c r="Y318" s="2"/>
      <c r="Z318" s="2"/>
    </row>
    <row r="319" spans="21:26" x14ac:dyDescent="0.25">
      <c r="U319" s="2"/>
      <c r="V319" s="2"/>
      <c r="W319" s="2"/>
      <c r="X319" s="2"/>
      <c r="Y319" s="2"/>
      <c r="Z319" s="2"/>
    </row>
    <row r="320" spans="21:26" x14ac:dyDescent="0.25">
      <c r="U320" s="2"/>
      <c r="V320" s="2"/>
      <c r="W320" s="2"/>
      <c r="X320" s="2"/>
      <c r="Y320" s="2"/>
      <c r="Z320" s="2"/>
    </row>
    <row r="321" spans="21:26" x14ac:dyDescent="0.25">
      <c r="U321" s="2"/>
      <c r="V321" s="2"/>
      <c r="W321" s="2"/>
      <c r="X321" s="2"/>
      <c r="Y321" s="2"/>
      <c r="Z321" s="2"/>
    </row>
    <row r="322" spans="21:26" x14ac:dyDescent="0.25">
      <c r="U322" s="2"/>
      <c r="V322" s="2"/>
      <c r="W322" s="2"/>
      <c r="X322" s="2"/>
      <c r="Y322" s="2"/>
      <c r="Z322" s="2"/>
    </row>
    <row r="323" spans="21:26" x14ac:dyDescent="0.25">
      <c r="U323" s="2"/>
      <c r="V323" s="2"/>
      <c r="W323" s="2"/>
      <c r="X323" s="2"/>
      <c r="Y323" s="2"/>
      <c r="Z323" s="2"/>
    </row>
    <row r="324" spans="21:26" x14ac:dyDescent="0.25">
      <c r="U324" s="2"/>
      <c r="V324" s="2"/>
      <c r="W324" s="2"/>
      <c r="X324" s="2"/>
      <c r="Y324" s="2"/>
      <c r="Z324" s="2"/>
    </row>
    <row r="325" spans="21:26" x14ac:dyDescent="0.25">
      <c r="U325" s="2"/>
      <c r="V325" s="2"/>
      <c r="W325" s="2"/>
      <c r="X325" s="2"/>
      <c r="Y325" s="2"/>
      <c r="Z325" s="2"/>
    </row>
    <row r="326" spans="21:26" x14ac:dyDescent="0.25">
      <c r="U326" s="2"/>
      <c r="V326" s="2"/>
      <c r="W326" s="2"/>
      <c r="X326" s="2"/>
      <c r="Y326" s="2"/>
      <c r="Z326" s="2"/>
    </row>
    <row r="327" spans="21:26" x14ac:dyDescent="0.25">
      <c r="U327" s="2"/>
      <c r="V327" s="2"/>
      <c r="W327" s="2"/>
      <c r="X327" s="2"/>
      <c r="Y327" s="2"/>
      <c r="Z327" s="2"/>
    </row>
    <row r="328" spans="21:26" x14ac:dyDescent="0.25">
      <c r="U328" s="2"/>
      <c r="V328" s="2"/>
      <c r="W328" s="2"/>
      <c r="X328" s="2"/>
      <c r="Y328" s="2"/>
      <c r="Z328" s="2"/>
    </row>
    <row r="329" spans="21:26" x14ac:dyDescent="0.25">
      <c r="U329" s="2"/>
      <c r="V329" s="2"/>
      <c r="W329" s="2"/>
      <c r="X329" s="2"/>
      <c r="Y329" s="2"/>
      <c r="Z329" s="2"/>
    </row>
    <row r="330" spans="21:26" x14ac:dyDescent="0.25">
      <c r="U330" s="2"/>
      <c r="V330" s="2"/>
      <c r="W330" s="2"/>
      <c r="X330" s="2"/>
      <c r="Y330" s="2"/>
      <c r="Z330" s="2"/>
    </row>
    <row r="331" spans="21:26" x14ac:dyDescent="0.25">
      <c r="U331" s="2"/>
      <c r="V331" s="2"/>
      <c r="W331" s="2"/>
      <c r="X331" s="2"/>
      <c r="Y331" s="2"/>
      <c r="Z331" s="2"/>
    </row>
    <row r="332" spans="21:26" x14ac:dyDescent="0.25">
      <c r="U332" s="2"/>
      <c r="V332" s="2"/>
      <c r="W332" s="2"/>
      <c r="X332" s="2"/>
      <c r="Y332" s="2"/>
      <c r="Z332" s="2"/>
    </row>
    <row r="333" spans="21:26" x14ac:dyDescent="0.25">
      <c r="U333" s="2"/>
      <c r="V333" s="2"/>
      <c r="W333" s="2"/>
      <c r="X333" s="2"/>
      <c r="Y333" s="2"/>
      <c r="Z333" s="2"/>
    </row>
    <row r="334" spans="21:26" x14ac:dyDescent="0.25">
      <c r="U334" s="2"/>
      <c r="V334" s="2"/>
      <c r="W334" s="2"/>
      <c r="X334" s="2"/>
      <c r="Y334" s="2"/>
      <c r="Z334" s="2"/>
    </row>
    <row r="335" spans="21:26" x14ac:dyDescent="0.25">
      <c r="U335" s="2"/>
      <c r="V335" s="2"/>
      <c r="W335" s="2"/>
      <c r="X335" s="2"/>
      <c r="Y335" s="2"/>
      <c r="Z335" s="2"/>
    </row>
    <row r="336" spans="21:26" x14ac:dyDescent="0.25">
      <c r="U336" s="2"/>
      <c r="V336" s="2"/>
      <c r="W336" s="2"/>
      <c r="X336" s="2"/>
      <c r="Y336" s="2"/>
      <c r="Z336" s="2"/>
    </row>
    <row r="337" spans="21:26" x14ac:dyDescent="0.25">
      <c r="U337" s="2"/>
      <c r="V337" s="2"/>
      <c r="W337" s="2"/>
      <c r="X337" s="2"/>
      <c r="Y337" s="2"/>
      <c r="Z337" s="2"/>
    </row>
    <row r="338" spans="21:26" x14ac:dyDescent="0.25">
      <c r="U338" s="2"/>
      <c r="V338" s="2"/>
      <c r="W338" s="2"/>
      <c r="X338" s="2"/>
      <c r="Y338" s="2"/>
      <c r="Z338" s="2"/>
    </row>
    <row r="339" spans="21:26" x14ac:dyDescent="0.25">
      <c r="U339" s="2"/>
      <c r="V339" s="2"/>
      <c r="W339" s="2"/>
      <c r="X339" s="2"/>
      <c r="Y339" s="2"/>
      <c r="Z339" s="2"/>
    </row>
    <row r="340" spans="21:26" x14ac:dyDescent="0.25">
      <c r="U340" s="2"/>
      <c r="V340" s="2"/>
      <c r="W340" s="2"/>
      <c r="X340" s="2"/>
      <c r="Y340" s="2"/>
      <c r="Z340" s="2"/>
    </row>
    <row r="341" spans="21:26" x14ac:dyDescent="0.25">
      <c r="U341" s="2"/>
      <c r="V341" s="2"/>
      <c r="W341" s="2"/>
      <c r="X341" s="2"/>
      <c r="Y341" s="2"/>
      <c r="Z341" s="2"/>
    </row>
    <row r="342" spans="21:26" x14ac:dyDescent="0.25">
      <c r="U342" s="2"/>
      <c r="V342" s="2"/>
      <c r="W342" s="2"/>
      <c r="X342" s="2"/>
      <c r="Y342" s="2"/>
      <c r="Z342" s="2"/>
    </row>
    <row r="343" spans="21:26" x14ac:dyDescent="0.25">
      <c r="U343" s="2"/>
      <c r="V343" s="2"/>
      <c r="W343" s="2"/>
      <c r="X343" s="2"/>
      <c r="Y343" s="2"/>
      <c r="Z343" s="2"/>
    </row>
    <row r="344" spans="21:26" x14ac:dyDescent="0.25">
      <c r="U344" s="2"/>
      <c r="V344" s="2"/>
      <c r="W344" s="2"/>
      <c r="X344" s="2"/>
      <c r="Y344" s="2"/>
      <c r="Z344" s="2"/>
    </row>
    <row r="345" spans="21:26" x14ac:dyDescent="0.25">
      <c r="U345" s="2"/>
      <c r="V345" s="2"/>
      <c r="W345" s="2"/>
      <c r="X345" s="2"/>
      <c r="Y345" s="2"/>
      <c r="Z345" s="2"/>
    </row>
    <row r="346" spans="21:26" x14ac:dyDescent="0.25">
      <c r="U346" s="2"/>
      <c r="V346" s="2"/>
      <c r="W346" s="2"/>
      <c r="X346" s="2"/>
      <c r="Y346" s="2"/>
      <c r="Z346" s="2"/>
    </row>
    <row r="347" spans="21:26" x14ac:dyDescent="0.25">
      <c r="U347" s="2"/>
      <c r="V347" s="2"/>
      <c r="W347" s="2"/>
      <c r="X347" s="2"/>
      <c r="Y347" s="2"/>
      <c r="Z347" s="2"/>
    </row>
    <row r="348" spans="21:26" x14ac:dyDescent="0.25">
      <c r="U348" s="2"/>
      <c r="V348" s="2"/>
      <c r="W348" s="2"/>
      <c r="X348" s="2"/>
      <c r="Y348" s="2"/>
      <c r="Z348" s="2"/>
    </row>
    <row r="349" spans="21:26" x14ac:dyDescent="0.25">
      <c r="U349" s="2"/>
      <c r="V349" s="2"/>
      <c r="W349" s="2"/>
      <c r="X349" s="2"/>
      <c r="Y349" s="2"/>
      <c r="Z349" s="2"/>
    </row>
    <row r="350" spans="21:26" x14ac:dyDescent="0.25">
      <c r="U350" s="2"/>
      <c r="V350" s="2"/>
      <c r="W350" s="2"/>
      <c r="X350" s="2"/>
      <c r="Y350" s="2"/>
      <c r="Z350" s="2"/>
    </row>
    <row r="351" spans="21:26" x14ac:dyDescent="0.25">
      <c r="U351" s="2"/>
      <c r="V351" s="2"/>
      <c r="W351" s="2"/>
      <c r="X351" s="2"/>
      <c r="Y351" s="2"/>
      <c r="Z351" s="2"/>
    </row>
    <row r="352" spans="21:26" x14ac:dyDescent="0.25">
      <c r="U352" s="2"/>
      <c r="V352" s="2"/>
      <c r="W352" s="2"/>
      <c r="X352" s="2"/>
      <c r="Y352" s="2"/>
      <c r="Z352" s="2"/>
    </row>
    <row r="353" spans="21:26" x14ac:dyDescent="0.25">
      <c r="U353" s="2"/>
      <c r="V353" s="2"/>
      <c r="W353" s="2"/>
      <c r="X353" s="2"/>
      <c r="Y353" s="2"/>
      <c r="Z353" s="2"/>
    </row>
    <row r="354" spans="21:26" x14ac:dyDescent="0.25">
      <c r="U354" s="2"/>
      <c r="V354" s="2"/>
      <c r="W354" s="2"/>
      <c r="X354" s="2"/>
      <c r="Y354" s="2"/>
      <c r="Z354" s="2"/>
    </row>
    <row r="355" spans="21:26" x14ac:dyDescent="0.25">
      <c r="U355" s="2"/>
      <c r="V355" s="2"/>
      <c r="W355" s="2"/>
      <c r="X355" s="2"/>
      <c r="Y355" s="2"/>
      <c r="Z355" s="2"/>
    </row>
    <row r="356" spans="21:26" x14ac:dyDescent="0.25">
      <c r="U356" s="2"/>
      <c r="V356" s="2"/>
      <c r="W356" s="2"/>
      <c r="X356" s="2"/>
      <c r="Y356" s="2"/>
      <c r="Z356" s="2"/>
    </row>
    <row r="357" spans="21:26" x14ac:dyDescent="0.25">
      <c r="U357" s="2"/>
      <c r="V357" s="2"/>
      <c r="W357" s="2"/>
      <c r="X357" s="2"/>
      <c r="Y357" s="2"/>
      <c r="Z357" s="2"/>
    </row>
    <row r="358" spans="21:26" x14ac:dyDescent="0.25">
      <c r="U358" s="2"/>
      <c r="V358" s="2"/>
      <c r="W358" s="2"/>
      <c r="X358" s="2"/>
      <c r="Y358" s="2"/>
      <c r="Z358" s="2"/>
    </row>
    <row r="359" spans="21:26" x14ac:dyDescent="0.25">
      <c r="U359" s="2"/>
      <c r="V359" s="2"/>
      <c r="W359" s="2"/>
      <c r="X359" s="2"/>
      <c r="Y359" s="2"/>
      <c r="Z359" s="2"/>
    </row>
    <row r="360" spans="21:26" x14ac:dyDescent="0.25">
      <c r="U360" s="2"/>
      <c r="V360" s="2"/>
      <c r="W360" s="2"/>
      <c r="X360" s="2"/>
      <c r="Y360" s="2"/>
      <c r="Z360" s="2"/>
    </row>
    <row r="361" spans="21:26" x14ac:dyDescent="0.25">
      <c r="U361" s="2"/>
      <c r="V361" s="2"/>
      <c r="W361" s="2"/>
      <c r="X361" s="2"/>
      <c r="Y361" s="2"/>
      <c r="Z361" s="2"/>
    </row>
    <row r="362" spans="21:26" x14ac:dyDescent="0.25">
      <c r="U362" s="2"/>
      <c r="V362" s="2"/>
      <c r="W362" s="2"/>
      <c r="X362" s="2"/>
      <c r="Y362" s="2"/>
      <c r="Z362" s="2"/>
    </row>
    <row r="363" spans="21:26" x14ac:dyDescent="0.25">
      <c r="U363" s="2"/>
      <c r="V363" s="2"/>
      <c r="W363" s="2"/>
      <c r="X363" s="2"/>
      <c r="Y363" s="2"/>
      <c r="Z363" s="2"/>
    </row>
    <row r="364" spans="21:26" x14ac:dyDescent="0.25">
      <c r="U364" s="2"/>
      <c r="V364" s="2"/>
      <c r="W364" s="2"/>
      <c r="X364" s="2"/>
      <c r="Y364" s="2"/>
      <c r="Z364" s="2"/>
    </row>
    <row r="365" spans="21:26" x14ac:dyDescent="0.25">
      <c r="U365" s="2"/>
      <c r="V365" s="2"/>
      <c r="W365" s="2"/>
      <c r="X365" s="2"/>
      <c r="Y365" s="2"/>
      <c r="Z365" s="2"/>
    </row>
    <row r="366" spans="21:26" x14ac:dyDescent="0.25">
      <c r="U366" s="2"/>
      <c r="V366" s="2"/>
      <c r="W366" s="2"/>
      <c r="X366" s="2"/>
      <c r="Y366" s="2"/>
      <c r="Z366" s="2"/>
    </row>
    <row r="367" spans="21:26" x14ac:dyDescent="0.25">
      <c r="U367" s="2"/>
      <c r="V367" s="2"/>
      <c r="W367" s="2"/>
      <c r="X367" s="2"/>
      <c r="Y367" s="2"/>
      <c r="Z367" s="2"/>
    </row>
    <row r="368" spans="21:26" x14ac:dyDescent="0.25">
      <c r="U368" s="2"/>
      <c r="V368" s="2"/>
      <c r="W368" s="2"/>
      <c r="X368" s="2"/>
      <c r="Y368" s="2"/>
      <c r="Z368" s="2"/>
    </row>
    <row r="369" spans="21:26" x14ac:dyDescent="0.25">
      <c r="U369" s="2"/>
      <c r="V369" s="2"/>
      <c r="W369" s="2"/>
      <c r="X369" s="2"/>
      <c r="Y369" s="2"/>
      <c r="Z369" s="2"/>
    </row>
    <row r="370" spans="21:26" x14ac:dyDescent="0.25">
      <c r="U370" s="2"/>
      <c r="V370" s="2"/>
      <c r="W370" s="2"/>
      <c r="X370" s="2"/>
      <c r="Y370" s="2"/>
      <c r="Z370" s="2"/>
    </row>
    <row r="371" spans="21:26" x14ac:dyDescent="0.25">
      <c r="U371" s="2"/>
      <c r="V371" s="2"/>
      <c r="W371" s="2"/>
      <c r="X371" s="2"/>
      <c r="Y371" s="2"/>
      <c r="Z371" s="2"/>
    </row>
    <row r="372" spans="21:26" x14ac:dyDescent="0.25">
      <c r="U372" s="2"/>
      <c r="V372" s="2"/>
      <c r="W372" s="2"/>
      <c r="X372" s="2"/>
      <c r="Y372" s="2"/>
      <c r="Z372" s="2"/>
    </row>
    <row r="373" spans="21:26" x14ac:dyDescent="0.25">
      <c r="U373" s="2"/>
      <c r="V373" s="2"/>
      <c r="W373" s="2"/>
      <c r="X373" s="2"/>
      <c r="Y373" s="2"/>
      <c r="Z373" s="2"/>
    </row>
    <row r="374" spans="21:26" x14ac:dyDescent="0.25">
      <c r="U374" s="2"/>
      <c r="V374" s="2"/>
      <c r="W374" s="2"/>
      <c r="X374" s="2"/>
      <c r="Y374" s="2"/>
      <c r="Z374" s="2"/>
    </row>
    <row r="375" spans="21:26" x14ac:dyDescent="0.25">
      <c r="U375" s="2"/>
      <c r="V375" s="2"/>
      <c r="W375" s="2"/>
      <c r="X375" s="2"/>
      <c r="Y375" s="2"/>
      <c r="Z375" s="2"/>
    </row>
    <row r="376" spans="21:26" x14ac:dyDescent="0.25">
      <c r="U376" s="2"/>
      <c r="V376" s="2"/>
      <c r="W376" s="2"/>
      <c r="X376" s="2"/>
      <c r="Y376" s="2"/>
      <c r="Z376" s="2"/>
    </row>
    <row r="377" spans="21:26" x14ac:dyDescent="0.25">
      <c r="U377" s="2"/>
      <c r="V377" s="2"/>
      <c r="W377" s="2"/>
      <c r="X377" s="2"/>
      <c r="Y377" s="2"/>
      <c r="Z377" s="2"/>
    </row>
    <row r="378" spans="21:26" x14ac:dyDescent="0.25">
      <c r="U378" s="2"/>
      <c r="V378" s="2"/>
      <c r="W378" s="2"/>
      <c r="X378" s="2"/>
      <c r="Y378" s="2"/>
      <c r="Z378" s="2"/>
    </row>
    <row r="379" spans="21:26" x14ac:dyDescent="0.25">
      <c r="U379" s="2"/>
      <c r="V379" s="2"/>
      <c r="W379" s="2"/>
      <c r="X379" s="2"/>
      <c r="Y379" s="2"/>
      <c r="Z379" s="2"/>
    </row>
    <row r="380" spans="21:26" x14ac:dyDescent="0.25">
      <c r="U380" s="2"/>
      <c r="V380" s="2"/>
      <c r="W380" s="2"/>
      <c r="X380" s="2"/>
      <c r="Y380" s="2"/>
      <c r="Z380" s="2"/>
    </row>
    <row r="381" spans="21:26" x14ac:dyDescent="0.25">
      <c r="U381" s="2"/>
      <c r="V381" s="2"/>
      <c r="W381" s="2"/>
      <c r="X381" s="2"/>
      <c r="Y381" s="2"/>
      <c r="Z381" s="2"/>
    </row>
    <row r="382" spans="21:26" x14ac:dyDescent="0.25">
      <c r="U382" s="2"/>
      <c r="V382" s="2"/>
      <c r="W382" s="2"/>
      <c r="X382" s="2"/>
      <c r="Y382" s="2"/>
      <c r="Z382" s="2"/>
    </row>
    <row r="383" spans="21:26" x14ac:dyDescent="0.25">
      <c r="U383" s="2"/>
      <c r="V383" s="2"/>
      <c r="W383" s="2"/>
      <c r="X383" s="2"/>
      <c r="Y383" s="2"/>
      <c r="Z383" s="2"/>
    </row>
    <row r="384" spans="21:26" x14ac:dyDescent="0.25">
      <c r="U384" s="2"/>
      <c r="V384" s="2"/>
      <c r="W384" s="2"/>
      <c r="X384" s="2"/>
      <c r="Y384" s="2"/>
      <c r="Z384" s="2"/>
    </row>
    <row r="385" spans="21:26" x14ac:dyDescent="0.25">
      <c r="U385" s="2"/>
      <c r="V385" s="2"/>
      <c r="W385" s="2"/>
      <c r="X385" s="2"/>
      <c r="Y385" s="2"/>
      <c r="Z385" s="2"/>
    </row>
    <row r="386" spans="21:26" x14ac:dyDescent="0.25">
      <c r="U386" s="2"/>
      <c r="V386" s="2"/>
      <c r="W386" s="2"/>
      <c r="X386" s="2"/>
      <c r="Y386" s="2"/>
      <c r="Z386" s="2"/>
    </row>
    <row r="387" spans="21:26" x14ac:dyDescent="0.25">
      <c r="U387" s="2"/>
      <c r="V387" s="2"/>
      <c r="W387" s="2"/>
      <c r="X387" s="2"/>
      <c r="Y387" s="2"/>
      <c r="Z387" s="2"/>
    </row>
    <row r="388" spans="21:26" x14ac:dyDescent="0.25">
      <c r="U388" s="2"/>
      <c r="V388" s="2"/>
      <c r="W388" s="2"/>
      <c r="X388" s="2"/>
      <c r="Y388" s="2"/>
      <c r="Z388" s="2"/>
    </row>
    <row r="389" spans="21:26" x14ac:dyDescent="0.25">
      <c r="U389" s="2"/>
      <c r="V389" s="2"/>
      <c r="W389" s="2"/>
      <c r="X389" s="2"/>
      <c r="Y389" s="2"/>
      <c r="Z389" s="2"/>
    </row>
    <row r="390" spans="21:26" x14ac:dyDescent="0.25">
      <c r="U390" s="2"/>
      <c r="V390" s="2"/>
      <c r="W390" s="2"/>
      <c r="X390" s="2"/>
      <c r="Y390" s="2"/>
      <c r="Z390" s="2"/>
    </row>
    <row r="391" spans="21:26" x14ac:dyDescent="0.25">
      <c r="U391" s="2"/>
      <c r="V391" s="2"/>
      <c r="W391" s="2"/>
      <c r="X391" s="2"/>
      <c r="Y391" s="2"/>
      <c r="Z391" s="2"/>
    </row>
    <row r="392" spans="21:26" x14ac:dyDescent="0.25">
      <c r="U392" s="2"/>
      <c r="V392" s="2"/>
      <c r="W392" s="2"/>
      <c r="X392" s="2"/>
      <c r="Y392" s="2"/>
      <c r="Z392" s="2"/>
    </row>
    <row r="393" spans="21:26" x14ac:dyDescent="0.25">
      <c r="U393" s="2"/>
      <c r="V393" s="2"/>
      <c r="W393" s="2"/>
      <c r="X393" s="2"/>
      <c r="Y393" s="2"/>
      <c r="Z393" s="2"/>
    </row>
    <row r="394" spans="21:26" x14ac:dyDescent="0.25">
      <c r="U394" s="2"/>
      <c r="V394" s="2"/>
      <c r="W394" s="2"/>
      <c r="X394" s="2"/>
      <c r="Y394" s="2"/>
      <c r="Z394" s="2"/>
    </row>
    <row r="395" spans="21:26" x14ac:dyDescent="0.25">
      <c r="U395" s="2"/>
      <c r="V395" s="2"/>
      <c r="W395" s="2"/>
      <c r="X395" s="2"/>
      <c r="Y395" s="2"/>
      <c r="Z395" s="2"/>
    </row>
    <row r="396" spans="21:26" x14ac:dyDescent="0.25">
      <c r="U396" s="2"/>
      <c r="V396" s="2"/>
      <c r="W396" s="2"/>
      <c r="X396" s="2"/>
      <c r="Y396" s="2"/>
      <c r="Z396" s="2"/>
    </row>
    <row r="397" spans="21:26" x14ac:dyDescent="0.25">
      <c r="U397" s="2"/>
      <c r="V397" s="2"/>
      <c r="W397" s="2"/>
      <c r="X397" s="2"/>
      <c r="Y397" s="2"/>
      <c r="Z397" s="2"/>
    </row>
    <row r="398" spans="21:26" x14ac:dyDescent="0.25">
      <c r="U398" s="2"/>
      <c r="V398" s="2"/>
      <c r="W398" s="2"/>
      <c r="X398" s="2"/>
      <c r="Y398" s="2"/>
      <c r="Z398" s="2"/>
    </row>
    <row r="399" spans="21:26" x14ac:dyDescent="0.25">
      <c r="U399" s="2"/>
      <c r="V399" s="2"/>
      <c r="W399" s="2"/>
      <c r="X399" s="2"/>
      <c r="Y399" s="2"/>
      <c r="Z399" s="2"/>
    </row>
    <row r="400" spans="21:26" x14ac:dyDescent="0.25">
      <c r="U400" s="2"/>
      <c r="V400" s="2"/>
      <c r="W400" s="2"/>
      <c r="X400" s="2"/>
      <c r="Y400" s="2"/>
      <c r="Z400" s="2"/>
    </row>
    <row r="401" spans="21:26" x14ac:dyDescent="0.25">
      <c r="U401" s="2"/>
      <c r="V401" s="2"/>
      <c r="W401" s="2"/>
      <c r="X401" s="2"/>
      <c r="Y401" s="2"/>
      <c r="Z401" s="2"/>
    </row>
    <row r="402" spans="21:26" x14ac:dyDescent="0.25">
      <c r="U402" s="2"/>
      <c r="V402" s="2"/>
      <c r="W402" s="2"/>
      <c r="X402" s="2"/>
      <c r="Y402" s="2"/>
      <c r="Z402" s="2"/>
    </row>
    <row r="403" spans="21:26" x14ac:dyDescent="0.25">
      <c r="U403" s="2"/>
      <c r="V403" s="2"/>
      <c r="W403" s="2"/>
      <c r="X403" s="2"/>
      <c r="Y403" s="2"/>
      <c r="Z403" s="2"/>
    </row>
    <row r="404" spans="21:26" x14ac:dyDescent="0.25">
      <c r="U404" s="2"/>
      <c r="V404" s="2"/>
      <c r="W404" s="2"/>
      <c r="X404" s="2"/>
      <c r="Y404" s="2"/>
      <c r="Z404" s="2"/>
    </row>
    <row r="405" spans="21:26" x14ac:dyDescent="0.25">
      <c r="U405" s="2"/>
      <c r="V405" s="2"/>
      <c r="W405" s="2"/>
      <c r="X405" s="2"/>
      <c r="Y405" s="2"/>
      <c r="Z405" s="2"/>
    </row>
    <row r="406" spans="21:26" x14ac:dyDescent="0.25">
      <c r="U406" s="2"/>
      <c r="V406" s="2"/>
      <c r="W406" s="2"/>
      <c r="X406" s="2"/>
      <c r="Y406" s="2"/>
      <c r="Z406" s="2"/>
    </row>
    <row r="407" spans="21:26" x14ac:dyDescent="0.25">
      <c r="U407" s="2"/>
      <c r="V407" s="2"/>
      <c r="W407" s="2"/>
      <c r="X407" s="2"/>
      <c r="Y407" s="2"/>
      <c r="Z407" s="2"/>
    </row>
    <row r="408" spans="21:26" x14ac:dyDescent="0.25">
      <c r="U408" s="2"/>
      <c r="V408" s="2"/>
      <c r="W408" s="2"/>
      <c r="X408" s="2"/>
      <c r="Y408" s="2"/>
      <c r="Z408" s="2"/>
    </row>
    <row r="409" spans="21:26" x14ac:dyDescent="0.25">
      <c r="U409" s="2"/>
      <c r="V409" s="2"/>
      <c r="W409" s="2"/>
      <c r="X409" s="2"/>
      <c r="Y409" s="2"/>
      <c r="Z409" s="2"/>
    </row>
    <row r="410" spans="21:26" x14ac:dyDescent="0.25">
      <c r="U410" s="2"/>
      <c r="V410" s="2"/>
      <c r="W410" s="2"/>
      <c r="X410" s="2"/>
      <c r="Y410" s="2"/>
      <c r="Z410" s="2"/>
    </row>
    <row r="411" spans="21:26" x14ac:dyDescent="0.25">
      <c r="U411" s="2"/>
      <c r="V411" s="2"/>
      <c r="W411" s="2"/>
      <c r="X411" s="2"/>
      <c r="Y411" s="2"/>
      <c r="Z411" s="2"/>
    </row>
    <row r="412" spans="21:26" x14ac:dyDescent="0.25">
      <c r="U412" s="2"/>
      <c r="V412" s="2"/>
      <c r="W412" s="2"/>
      <c r="X412" s="2"/>
      <c r="Y412" s="2"/>
      <c r="Z412" s="2"/>
    </row>
    <row r="413" spans="21:26" x14ac:dyDescent="0.25">
      <c r="U413" s="2"/>
      <c r="V413" s="2"/>
      <c r="W413" s="2"/>
      <c r="X413" s="2"/>
      <c r="Y413" s="2"/>
      <c r="Z413" s="2"/>
    </row>
    <row r="414" spans="21:26" x14ac:dyDescent="0.25">
      <c r="U414" s="2"/>
      <c r="V414" s="2"/>
      <c r="W414" s="2"/>
      <c r="X414" s="2"/>
      <c r="Y414" s="2"/>
      <c r="Z414" s="2"/>
    </row>
    <row r="415" spans="21:26" x14ac:dyDescent="0.25">
      <c r="U415" s="2"/>
      <c r="V415" s="2"/>
      <c r="W415" s="2"/>
      <c r="X415" s="2"/>
      <c r="Y415" s="2"/>
      <c r="Z415" s="2"/>
    </row>
    <row r="416" spans="21:26" x14ac:dyDescent="0.25">
      <c r="U416" s="2"/>
      <c r="V416" s="2"/>
      <c r="W416" s="2"/>
      <c r="X416" s="2"/>
      <c r="Y416" s="2"/>
      <c r="Z416" s="2"/>
    </row>
    <row r="417" spans="21:26" x14ac:dyDescent="0.25">
      <c r="U417" s="2"/>
      <c r="V417" s="2"/>
      <c r="W417" s="2"/>
      <c r="X417" s="2"/>
      <c r="Y417" s="2"/>
      <c r="Z417" s="2"/>
    </row>
    <row r="418" spans="21:26" x14ac:dyDescent="0.25">
      <c r="U418" s="2"/>
      <c r="V418" s="2"/>
      <c r="W418" s="2"/>
      <c r="X418" s="2"/>
      <c r="Y418" s="2"/>
      <c r="Z418" s="2"/>
    </row>
    <row r="419" spans="21:26" x14ac:dyDescent="0.25">
      <c r="U419" s="2"/>
      <c r="V419" s="2"/>
      <c r="W419" s="2"/>
      <c r="X419" s="2"/>
      <c r="Y419" s="2"/>
      <c r="Z419" s="2"/>
    </row>
    <row r="420" spans="21:26" x14ac:dyDescent="0.25">
      <c r="U420" s="2"/>
      <c r="V420" s="2"/>
      <c r="W420" s="2"/>
      <c r="X420" s="2"/>
      <c r="Y420" s="2"/>
      <c r="Z420" s="2"/>
    </row>
    <row r="421" spans="21:26" x14ac:dyDescent="0.25">
      <c r="U421" s="2"/>
      <c r="V421" s="2"/>
      <c r="W421" s="2"/>
      <c r="X421" s="2"/>
      <c r="Y421" s="2"/>
      <c r="Z421" s="2"/>
    </row>
    <row r="422" spans="21:26" x14ac:dyDescent="0.25">
      <c r="U422" s="2"/>
      <c r="V422" s="2"/>
      <c r="W422" s="2"/>
      <c r="X422" s="2"/>
      <c r="Y422" s="2"/>
      <c r="Z422" s="2"/>
    </row>
    <row r="423" spans="21:26" x14ac:dyDescent="0.25">
      <c r="U423" s="2"/>
      <c r="V423" s="2"/>
      <c r="W423" s="2"/>
      <c r="X423" s="2"/>
      <c r="Y423" s="2"/>
      <c r="Z423" s="2"/>
    </row>
    <row r="424" spans="21:26" x14ac:dyDescent="0.25">
      <c r="U424" s="2"/>
      <c r="V424" s="2"/>
      <c r="W424" s="2"/>
      <c r="X424" s="2"/>
      <c r="Y424" s="2"/>
      <c r="Z424" s="2"/>
    </row>
    <row r="425" spans="21:26" x14ac:dyDescent="0.25">
      <c r="U425" s="2"/>
      <c r="V425" s="2"/>
      <c r="W425" s="2"/>
      <c r="X425" s="2"/>
      <c r="Y425" s="2"/>
      <c r="Z425" s="2"/>
    </row>
    <row r="426" spans="21:26" x14ac:dyDescent="0.25">
      <c r="U426" s="2"/>
      <c r="V426" s="2"/>
      <c r="W426" s="2"/>
      <c r="X426" s="2"/>
      <c r="Y426" s="2"/>
      <c r="Z426" s="2"/>
    </row>
    <row r="427" spans="21:26" x14ac:dyDescent="0.25">
      <c r="U427" s="2"/>
      <c r="V427" s="2"/>
      <c r="W427" s="2"/>
      <c r="X427" s="2"/>
      <c r="Y427" s="2"/>
      <c r="Z427" s="2"/>
    </row>
    <row r="428" spans="21:26" x14ac:dyDescent="0.25">
      <c r="U428" s="2"/>
      <c r="V428" s="2"/>
      <c r="W428" s="2"/>
      <c r="X428" s="2"/>
      <c r="Y428" s="2"/>
      <c r="Z428" s="2"/>
    </row>
    <row r="429" spans="21:26" x14ac:dyDescent="0.25">
      <c r="U429" s="2"/>
      <c r="V429" s="2"/>
      <c r="W429" s="2"/>
      <c r="X429" s="2"/>
      <c r="Y429" s="2"/>
      <c r="Z429" s="2"/>
    </row>
    <row r="430" spans="21:26" x14ac:dyDescent="0.25">
      <c r="U430" s="2"/>
      <c r="V430" s="2"/>
      <c r="W430" s="2"/>
      <c r="X430" s="2"/>
      <c r="Y430" s="2"/>
      <c r="Z430" s="2"/>
    </row>
    <row r="431" spans="21:26" x14ac:dyDescent="0.25">
      <c r="U431" s="2"/>
      <c r="V431" s="2"/>
      <c r="W431" s="2"/>
      <c r="X431" s="2"/>
      <c r="Y431" s="2"/>
      <c r="Z431" s="2"/>
    </row>
    <row r="432" spans="21:26" x14ac:dyDescent="0.25">
      <c r="U432" s="2"/>
      <c r="V432" s="2"/>
      <c r="W432" s="2"/>
      <c r="X432" s="2"/>
      <c r="Y432" s="2"/>
      <c r="Z432" s="2"/>
    </row>
    <row r="433" spans="21:26" x14ac:dyDescent="0.25">
      <c r="U433" s="2"/>
      <c r="V433" s="2"/>
      <c r="W433" s="2"/>
      <c r="X433" s="2"/>
      <c r="Y433" s="2"/>
      <c r="Z433" s="2"/>
    </row>
    <row r="434" spans="21:26" x14ac:dyDescent="0.25">
      <c r="U434" s="2"/>
      <c r="V434" s="2"/>
      <c r="W434" s="2"/>
      <c r="X434" s="2"/>
      <c r="Y434" s="2"/>
      <c r="Z434" s="2"/>
    </row>
    <row r="435" spans="21:26" x14ac:dyDescent="0.25">
      <c r="U435" s="2"/>
      <c r="V435" s="2"/>
      <c r="W435" s="2"/>
      <c r="X435" s="2"/>
      <c r="Y435" s="2"/>
      <c r="Z435" s="2"/>
    </row>
    <row r="436" spans="21:26" x14ac:dyDescent="0.25">
      <c r="U436" s="2"/>
      <c r="V436" s="2"/>
      <c r="W436" s="2"/>
      <c r="X436" s="2"/>
      <c r="Y436" s="2"/>
      <c r="Z436" s="2"/>
    </row>
    <row r="437" spans="21:26" x14ac:dyDescent="0.25">
      <c r="U437" s="2"/>
      <c r="V437" s="2"/>
      <c r="W437" s="2"/>
      <c r="X437" s="2"/>
      <c r="Y437" s="2"/>
      <c r="Z437" s="2"/>
    </row>
    <row r="438" spans="21:26" x14ac:dyDescent="0.25">
      <c r="U438" s="2"/>
      <c r="V438" s="2"/>
      <c r="W438" s="2"/>
      <c r="X438" s="2"/>
      <c r="Y438" s="2"/>
      <c r="Z438" s="2"/>
    </row>
    <row r="439" spans="21:26" x14ac:dyDescent="0.25">
      <c r="U439" s="2"/>
      <c r="V439" s="2"/>
      <c r="W439" s="2"/>
      <c r="X439" s="2"/>
      <c r="Y439" s="2"/>
      <c r="Z439" s="2"/>
    </row>
    <row r="440" spans="21:26" x14ac:dyDescent="0.25">
      <c r="U440" s="2"/>
      <c r="V440" s="2"/>
      <c r="W440" s="2"/>
      <c r="X440" s="2"/>
      <c r="Y440" s="2"/>
      <c r="Z440" s="2"/>
    </row>
    <row r="441" spans="21:26" x14ac:dyDescent="0.25">
      <c r="U441" s="2"/>
      <c r="V441" s="2"/>
      <c r="W441" s="2"/>
      <c r="X441" s="2"/>
      <c r="Y441" s="2"/>
      <c r="Z441" s="2"/>
    </row>
    <row r="442" spans="21:26" x14ac:dyDescent="0.25">
      <c r="U442" s="2"/>
      <c r="V442" s="2"/>
      <c r="W442" s="2"/>
      <c r="X442" s="2"/>
      <c r="Y442" s="2"/>
      <c r="Z442" s="2"/>
    </row>
    <row r="443" spans="21:26" x14ac:dyDescent="0.25">
      <c r="U443" s="2"/>
      <c r="V443" s="2"/>
      <c r="W443" s="2"/>
      <c r="X443" s="2"/>
      <c r="Y443" s="2"/>
      <c r="Z443" s="2"/>
    </row>
    <row r="444" spans="21:26" x14ac:dyDescent="0.25">
      <c r="U444" s="2"/>
      <c r="V444" s="2"/>
      <c r="W444" s="2"/>
      <c r="X444" s="2"/>
      <c r="Y444" s="2"/>
      <c r="Z444" s="2"/>
    </row>
    <row r="445" spans="21:26" x14ac:dyDescent="0.25">
      <c r="U445" s="2"/>
      <c r="V445" s="2"/>
      <c r="W445" s="2"/>
      <c r="X445" s="2"/>
      <c r="Y445" s="2"/>
      <c r="Z445" s="2"/>
    </row>
    <row r="446" spans="21:26" x14ac:dyDescent="0.25">
      <c r="U446" s="2"/>
      <c r="V446" s="2"/>
      <c r="W446" s="2"/>
      <c r="X446" s="2"/>
      <c r="Y446" s="2"/>
      <c r="Z446" s="2"/>
    </row>
    <row r="447" spans="21:26" x14ac:dyDescent="0.25">
      <c r="U447" s="2"/>
      <c r="V447" s="2"/>
      <c r="W447" s="2"/>
      <c r="X447" s="2"/>
      <c r="Y447" s="2"/>
      <c r="Z447" s="2"/>
    </row>
    <row r="448" spans="21:26" x14ac:dyDescent="0.25">
      <c r="U448" s="2"/>
      <c r="V448" s="2"/>
      <c r="W448" s="2"/>
      <c r="X448" s="2"/>
      <c r="Y448" s="2"/>
      <c r="Z448" s="2"/>
    </row>
    <row r="449" spans="21:26" x14ac:dyDescent="0.25">
      <c r="U449" s="2"/>
      <c r="V449" s="2"/>
      <c r="W449" s="2"/>
      <c r="X449" s="2"/>
      <c r="Y449" s="2"/>
      <c r="Z449" s="2"/>
    </row>
    <row r="450" spans="21:26" x14ac:dyDescent="0.25">
      <c r="U450" s="2"/>
      <c r="V450" s="2"/>
      <c r="W450" s="2"/>
      <c r="X450" s="2"/>
      <c r="Y450" s="2"/>
      <c r="Z450" s="2"/>
    </row>
    <row r="451" spans="21:26" x14ac:dyDescent="0.25">
      <c r="U451" s="2"/>
      <c r="V451" s="2"/>
      <c r="W451" s="2"/>
      <c r="X451" s="2"/>
      <c r="Y451" s="2"/>
      <c r="Z451" s="2"/>
    </row>
    <row r="452" spans="21:26" x14ac:dyDescent="0.25">
      <c r="U452" s="2"/>
      <c r="V452" s="2"/>
      <c r="W452" s="2"/>
      <c r="X452" s="2"/>
      <c r="Y452" s="2"/>
      <c r="Z452" s="2"/>
    </row>
    <row r="453" spans="21:26" x14ac:dyDescent="0.25">
      <c r="U453" s="2"/>
      <c r="V453" s="2"/>
      <c r="W453" s="2"/>
      <c r="X453" s="2"/>
      <c r="Y453" s="2"/>
      <c r="Z453" s="2"/>
    </row>
    <row r="454" spans="21:26" x14ac:dyDescent="0.25">
      <c r="U454" s="2"/>
      <c r="V454" s="2"/>
      <c r="W454" s="2"/>
      <c r="X454" s="2"/>
      <c r="Y454" s="2"/>
      <c r="Z454" s="2"/>
    </row>
    <row r="455" spans="21:26" x14ac:dyDescent="0.25">
      <c r="U455" s="2"/>
      <c r="V455" s="2"/>
      <c r="W455" s="2"/>
      <c r="X455" s="2"/>
      <c r="Y455" s="2"/>
      <c r="Z455" s="2"/>
    </row>
    <row r="456" spans="21:26" x14ac:dyDescent="0.25">
      <c r="U456" s="2"/>
      <c r="V456" s="2"/>
      <c r="W456" s="2"/>
      <c r="X456" s="2"/>
      <c r="Y456" s="2"/>
      <c r="Z456" s="2"/>
    </row>
    <row r="457" spans="21:26" x14ac:dyDescent="0.25">
      <c r="U457" s="2"/>
      <c r="V457" s="2"/>
      <c r="W457" s="2"/>
      <c r="X457" s="2"/>
      <c r="Y457" s="2"/>
      <c r="Z457" s="2"/>
    </row>
    <row r="458" spans="21:26" x14ac:dyDescent="0.25">
      <c r="U458" s="2"/>
      <c r="V458" s="2"/>
      <c r="W458" s="2"/>
      <c r="X458" s="2"/>
      <c r="Y458" s="2"/>
      <c r="Z458" s="2"/>
    </row>
    <row r="459" spans="21:26" x14ac:dyDescent="0.25">
      <c r="U459" s="2"/>
      <c r="V459" s="2"/>
      <c r="W459" s="2"/>
      <c r="X459" s="2"/>
      <c r="Y459" s="2"/>
      <c r="Z459" s="2"/>
    </row>
    <row r="460" spans="21:26" x14ac:dyDescent="0.25">
      <c r="U460" s="2"/>
      <c r="V460" s="2"/>
      <c r="W460" s="2"/>
      <c r="X460" s="2"/>
      <c r="Y460" s="2"/>
      <c r="Z460" s="2"/>
    </row>
    <row r="461" spans="21:26" x14ac:dyDescent="0.25">
      <c r="U461" s="2"/>
      <c r="V461" s="2"/>
      <c r="W461" s="2"/>
      <c r="X461" s="2"/>
      <c r="Y461" s="2"/>
      <c r="Z461" s="2"/>
    </row>
    <row r="462" spans="21:26" x14ac:dyDescent="0.25">
      <c r="U462" s="2"/>
      <c r="V462" s="2"/>
      <c r="W462" s="2"/>
      <c r="X462" s="2"/>
      <c r="Y462" s="2"/>
      <c r="Z462" s="2"/>
    </row>
    <row r="463" spans="21:26" x14ac:dyDescent="0.25">
      <c r="U463" s="2"/>
      <c r="V463" s="2"/>
      <c r="W463" s="2"/>
      <c r="X463" s="2"/>
      <c r="Y463" s="2"/>
      <c r="Z463" s="2"/>
    </row>
    <row r="464" spans="21:26" x14ac:dyDescent="0.25">
      <c r="U464" s="2"/>
      <c r="V464" s="2"/>
      <c r="W464" s="2"/>
      <c r="X464" s="2"/>
      <c r="Y464" s="2"/>
      <c r="Z464" s="2"/>
    </row>
    <row r="465" spans="21:26" x14ac:dyDescent="0.25">
      <c r="U465" s="2"/>
      <c r="V465" s="2"/>
      <c r="W465" s="2"/>
      <c r="X465" s="2"/>
      <c r="Y465" s="2"/>
      <c r="Z465" s="2"/>
    </row>
    <row r="466" spans="21:26" x14ac:dyDescent="0.25">
      <c r="U466" s="2"/>
      <c r="V466" s="2"/>
      <c r="W466" s="2"/>
      <c r="X466" s="2"/>
      <c r="Y466" s="2"/>
      <c r="Z466" s="2"/>
    </row>
    <row r="467" spans="21:26" x14ac:dyDescent="0.25">
      <c r="U467" s="2"/>
      <c r="V467" s="2"/>
      <c r="W467" s="2"/>
      <c r="X467" s="2"/>
      <c r="Y467" s="2"/>
      <c r="Z467" s="2"/>
    </row>
    <row r="468" spans="21:26" x14ac:dyDescent="0.25">
      <c r="U468" s="2"/>
      <c r="V468" s="2"/>
      <c r="W468" s="2"/>
      <c r="X468" s="2"/>
      <c r="Y468" s="2"/>
      <c r="Z468" s="2"/>
    </row>
    <row r="469" spans="21:26" x14ac:dyDescent="0.25">
      <c r="U469" s="2"/>
      <c r="V469" s="2"/>
      <c r="W469" s="2"/>
      <c r="X469" s="2"/>
      <c r="Y469" s="2"/>
      <c r="Z469" s="2"/>
    </row>
    <row r="470" spans="21:26" x14ac:dyDescent="0.25">
      <c r="U470" s="2"/>
      <c r="V470" s="2"/>
      <c r="W470" s="2"/>
      <c r="X470" s="2"/>
      <c r="Y470" s="2"/>
      <c r="Z470" s="2"/>
    </row>
    <row r="471" spans="21:26" x14ac:dyDescent="0.25">
      <c r="U471" s="2"/>
      <c r="V471" s="2"/>
      <c r="W471" s="2"/>
      <c r="X471" s="2"/>
      <c r="Y471" s="2"/>
      <c r="Z471" s="2"/>
    </row>
    <row r="472" spans="21:26" x14ac:dyDescent="0.25">
      <c r="U472" s="2"/>
      <c r="V472" s="2"/>
      <c r="W472" s="2"/>
      <c r="X472" s="2"/>
      <c r="Y472" s="2"/>
      <c r="Z472" s="2"/>
    </row>
    <row r="473" spans="21:26" x14ac:dyDescent="0.25">
      <c r="U473" s="2"/>
      <c r="V473" s="2"/>
      <c r="W473" s="2"/>
      <c r="X473" s="2"/>
      <c r="Y473" s="2"/>
      <c r="Z473" s="2"/>
    </row>
    <row r="474" spans="21:26" x14ac:dyDescent="0.25">
      <c r="U474" s="2"/>
      <c r="V474" s="2"/>
      <c r="W474" s="2"/>
      <c r="X474" s="2"/>
      <c r="Y474" s="2"/>
      <c r="Z474" s="2"/>
    </row>
    <row r="475" spans="21:26" x14ac:dyDescent="0.25">
      <c r="U475" s="2"/>
      <c r="V475" s="2"/>
      <c r="W475" s="2"/>
      <c r="X475" s="2"/>
      <c r="Y475" s="2"/>
      <c r="Z475" s="2"/>
    </row>
    <row r="476" spans="21:26" x14ac:dyDescent="0.25">
      <c r="U476" s="2"/>
      <c r="V476" s="2"/>
      <c r="W476" s="2"/>
      <c r="X476" s="2"/>
      <c r="Y476" s="2"/>
      <c r="Z476" s="2"/>
    </row>
    <row r="477" spans="21:26" x14ac:dyDescent="0.25">
      <c r="U477" s="2"/>
      <c r="V477" s="2"/>
      <c r="W477" s="2"/>
      <c r="X477" s="2"/>
      <c r="Y477" s="2"/>
      <c r="Z477" s="2"/>
    </row>
    <row r="478" spans="21:26" x14ac:dyDescent="0.25">
      <c r="U478" s="2"/>
      <c r="V478" s="2"/>
      <c r="W478" s="2"/>
      <c r="X478" s="2"/>
      <c r="Y478" s="2"/>
      <c r="Z478" s="2"/>
    </row>
    <row r="479" spans="21:26" x14ac:dyDescent="0.25">
      <c r="U479" s="2"/>
      <c r="V479" s="2"/>
      <c r="W479" s="2"/>
      <c r="X479" s="2"/>
      <c r="Y479" s="2"/>
      <c r="Z479" s="2"/>
    </row>
    <row r="480" spans="21:26" x14ac:dyDescent="0.25">
      <c r="U480" s="2"/>
      <c r="V480" s="2"/>
      <c r="W480" s="2"/>
      <c r="X480" s="2"/>
      <c r="Y480" s="2"/>
      <c r="Z480" s="2"/>
    </row>
    <row r="481" spans="21:26" x14ac:dyDescent="0.25">
      <c r="U481" s="2"/>
      <c r="V481" s="2"/>
      <c r="W481" s="2"/>
      <c r="X481" s="2"/>
      <c r="Y481" s="2"/>
      <c r="Z481" s="2"/>
    </row>
    <row r="482" spans="21:26" x14ac:dyDescent="0.25">
      <c r="U482" s="2"/>
      <c r="V482" s="2"/>
      <c r="W482" s="2"/>
      <c r="X482" s="2"/>
      <c r="Y482" s="2"/>
      <c r="Z482" s="2"/>
    </row>
    <row r="483" spans="21:26" x14ac:dyDescent="0.25">
      <c r="U483" s="2"/>
      <c r="V483" s="2"/>
      <c r="W483" s="2"/>
      <c r="X483" s="2"/>
      <c r="Y483" s="2"/>
      <c r="Z483" s="2"/>
    </row>
    <row r="484" spans="21:26" x14ac:dyDescent="0.25">
      <c r="U484" s="2"/>
      <c r="V484" s="2"/>
      <c r="W484" s="2"/>
      <c r="X484" s="2"/>
      <c r="Y484" s="2"/>
      <c r="Z484" s="2"/>
    </row>
    <row r="485" spans="21:26" x14ac:dyDescent="0.25">
      <c r="U485" s="2"/>
      <c r="V485" s="2"/>
      <c r="W485" s="2"/>
      <c r="X485" s="2"/>
      <c r="Y485" s="2"/>
      <c r="Z485" s="2"/>
    </row>
    <row r="486" spans="21:26" x14ac:dyDescent="0.25">
      <c r="U486" s="2"/>
      <c r="V486" s="2"/>
      <c r="W486" s="2"/>
      <c r="X486" s="2"/>
      <c r="Y486" s="2"/>
      <c r="Z486" s="2"/>
    </row>
    <row r="487" spans="21:26" x14ac:dyDescent="0.25">
      <c r="U487" s="2"/>
      <c r="V487" s="2"/>
      <c r="W487" s="2"/>
      <c r="X487" s="2"/>
      <c r="Y487" s="2"/>
      <c r="Z487" s="2"/>
    </row>
    <row r="488" spans="21:26" x14ac:dyDescent="0.25">
      <c r="U488" s="2"/>
      <c r="V488" s="2"/>
      <c r="W488" s="2"/>
      <c r="X488" s="2"/>
      <c r="Y488" s="2"/>
      <c r="Z488" s="2"/>
    </row>
    <row r="489" spans="21:26" x14ac:dyDescent="0.25">
      <c r="U489" s="2"/>
      <c r="V489" s="2"/>
      <c r="W489" s="2"/>
      <c r="X489" s="2"/>
      <c r="Y489" s="2"/>
      <c r="Z489" s="2"/>
    </row>
    <row r="490" spans="21:26" x14ac:dyDescent="0.25">
      <c r="U490" s="2"/>
      <c r="V490" s="2"/>
      <c r="W490" s="2"/>
      <c r="X490" s="2"/>
      <c r="Y490" s="2"/>
      <c r="Z490" s="2"/>
    </row>
    <row r="491" spans="21:26" x14ac:dyDescent="0.25">
      <c r="U491" s="2"/>
      <c r="V491" s="2"/>
      <c r="W491" s="2"/>
      <c r="X491" s="2"/>
      <c r="Y491" s="2"/>
      <c r="Z491" s="2"/>
    </row>
    <row r="492" spans="21:26" x14ac:dyDescent="0.25">
      <c r="U492" s="2"/>
      <c r="V492" s="2"/>
      <c r="W492" s="2"/>
      <c r="X492" s="2"/>
      <c r="Y492" s="2"/>
      <c r="Z492" s="2"/>
    </row>
    <row r="493" spans="21:26" x14ac:dyDescent="0.25">
      <c r="U493" s="2"/>
      <c r="V493" s="2"/>
      <c r="W493" s="2"/>
      <c r="X493" s="2"/>
      <c r="Y493" s="2"/>
      <c r="Z493" s="2"/>
    </row>
    <row r="494" spans="21:26" x14ac:dyDescent="0.25">
      <c r="U494" s="2"/>
      <c r="V494" s="2"/>
      <c r="W494" s="2"/>
      <c r="X494" s="2"/>
      <c r="Y494" s="2"/>
      <c r="Z494" s="2"/>
    </row>
    <row r="495" spans="21:26" x14ac:dyDescent="0.25">
      <c r="U495" s="2"/>
      <c r="V495" s="2"/>
      <c r="W495" s="2"/>
      <c r="X495" s="2"/>
      <c r="Y495" s="2"/>
      <c r="Z495" s="2"/>
    </row>
    <row r="496" spans="21:26" x14ac:dyDescent="0.25">
      <c r="U496" s="2"/>
      <c r="V496" s="2"/>
      <c r="W496" s="2"/>
      <c r="X496" s="2"/>
      <c r="Y496" s="2"/>
      <c r="Z496" s="2"/>
    </row>
    <row r="497" spans="21:26" x14ac:dyDescent="0.25">
      <c r="U497" s="2"/>
      <c r="V497" s="2"/>
      <c r="W497" s="2"/>
      <c r="X497" s="2"/>
      <c r="Y497" s="2"/>
      <c r="Z497" s="2"/>
    </row>
    <row r="498" spans="21:26" x14ac:dyDescent="0.25">
      <c r="U498" s="2"/>
      <c r="V498" s="2"/>
      <c r="W498" s="2"/>
      <c r="X498" s="2"/>
      <c r="Y498" s="2"/>
      <c r="Z498" s="2"/>
    </row>
    <row r="499" spans="21:26" x14ac:dyDescent="0.25">
      <c r="U499" s="2"/>
      <c r="V499" s="2"/>
      <c r="W499" s="2"/>
      <c r="X499" s="2"/>
      <c r="Y499" s="2"/>
      <c r="Z499" s="2"/>
    </row>
    <row r="500" spans="21:26" x14ac:dyDescent="0.25">
      <c r="U500" s="2"/>
      <c r="V500" s="2"/>
      <c r="W500" s="2"/>
      <c r="X500" s="2"/>
      <c r="Y500" s="2"/>
      <c r="Z500" s="2"/>
    </row>
    <row r="501" spans="21:26" x14ac:dyDescent="0.25">
      <c r="U501" s="2"/>
      <c r="V501" s="2"/>
      <c r="W501" s="2"/>
      <c r="X501" s="2"/>
      <c r="Y501" s="2"/>
      <c r="Z501" s="2"/>
    </row>
    <row r="502" spans="21:26" x14ac:dyDescent="0.25">
      <c r="U502" s="2"/>
      <c r="V502" s="2"/>
      <c r="W502" s="2"/>
      <c r="X502" s="2"/>
      <c r="Y502" s="2"/>
      <c r="Z502" s="2"/>
    </row>
    <row r="503" spans="21:26" x14ac:dyDescent="0.25">
      <c r="U503" s="2"/>
      <c r="V503" s="2"/>
      <c r="W503" s="2"/>
      <c r="X503" s="2"/>
      <c r="Y503" s="2"/>
      <c r="Z503" s="2"/>
    </row>
    <row r="504" spans="21:26" x14ac:dyDescent="0.25">
      <c r="U504" s="2"/>
      <c r="V504" s="2"/>
      <c r="W504" s="2"/>
      <c r="X504" s="2"/>
      <c r="Y504" s="2"/>
      <c r="Z504" s="2"/>
    </row>
    <row r="505" spans="21:26" x14ac:dyDescent="0.25">
      <c r="U505" s="2"/>
      <c r="V505" s="2"/>
      <c r="W505" s="2"/>
      <c r="X505" s="2"/>
      <c r="Y505" s="2"/>
      <c r="Z505" s="2"/>
    </row>
    <row r="506" spans="21:26" x14ac:dyDescent="0.25">
      <c r="U506" s="2"/>
      <c r="V506" s="2"/>
      <c r="W506" s="2"/>
      <c r="X506" s="2"/>
      <c r="Y506" s="2"/>
      <c r="Z506" s="2"/>
    </row>
    <row r="507" spans="21:26" x14ac:dyDescent="0.25">
      <c r="U507" s="2"/>
      <c r="V507" s="2"/>
      <c r="W507" s="2"/>
      <c r="X507" s="2"/>
      <c r="Y507" s="2"/>
      <c r="Z507" s="2"/>
    </row>
    <row r="508" spans="21:26" x14ac:dyDescent="0.25">
      <c r="U508" s="2"/>
      <c r="V508" s="2"/>
      <c r="W508" s="2"/>
      <c r="X508" s="2"/>
      <c r="Y508" s="2"/>
      <c r="Z508" s="2"/>
    </row>
    <row r="509" spans="21:26" x14ac:dyDescent="0.25">
      <c r="U509" s="2"/>
      <c r="V509" s="2"/>
      <c r="W509" s="2"/>
      <c r="X509" s="2"/>
      <c r="Y509" s="2"/>
      <c r="Z509" s="2"/>
    </row>
    <row r="510" spans="21:26" x14ac:dyDescent="0.25">
      <c r="U510" s="2"/>
      <c r="V510" s="2"/>
      <c r="W510" s="2"/>
      <c r="X510" s="2"/>
      <c r="Y510" s="2"/>
      <c r="Z510" s="2"/>
    </row>
    <row r="511" spans="21:26" x14ac:dyDescent="0.25">
      <c r="U511" s="2"/>
      <c r="V511" s="2"/>
      <c r="W511" s="2"/>
      <c r="X511" s="2"/>
      <c r="Y511" s="2"/>
      <c r="Z511" s="2"/>
    </row>
    <row r="512" spans="21:26" x14ac:dyDescent="0.25">
      <c r="U512" s="2"/>
      <c r="V512" s="2"/>
      <c r="W512" s="2"/>
      <c r="X512" s="2"/>
      <c r="Y512" s="2"/>
      <c r="Z512" s="2"/>
    </row>
    <row r="513" spans="21:26" x14ac:dyDescent="0.25">
      <c r="U513" s="2"/>
      <c r="V513" s="2"/>
      <c r="W513" s="2"/>
      <c r="X513" s="2"/>
      <c r="Y513" s="2"/>
      <c r="Z513" s="2"/>
    </row>
    <row r="514" spans="21:26" x14ac:dyDescent="0.25">
      <c r="U514" s="2"/>
      <c r="V514" s="2"/>
      <c r="W514" s="2"/>
      <c r="X514" s="2"/>
      <c r="Y514" s="2"/>
      <c r="Z514" s="2"/>
    </row>
    <row r="515" spans="21:26" x14ac:dyDescent="0.25">
      <c r="U515" s="2"/>
      <c r="V515" s="2"/>
      <c r="W515" s="2"/>
      <c r="X515" s="2"/>
      <c r="Y515" s="2"/>
      <c r="Z515" s="2"/>
    </row>
    <row r="516" spans="21:26" x14ac:dyDescent="0.25">
      <c r="U516" s="2"/>
      <c r="V516" s="2"/>
      <c r="W516" s="2"/>
      <c r="X516" s="2"/>
      <c r="Y516" s="2"/>
      <c r="Z516" s="2"/>
    </row>
    <row r="517" spans="21:26" x14ac:dyDescent="0.25">
      <c r="U517" s="2"/>
      <c r="V517" s="2"/>
      <c r="W517" s="2"/>
      <c r="X517" s="2"/>
      <c r="Y517" s="2"/>
      <c r="Z517" s="2"/>
    </row>
    <row r="518" spans="21:26" x14ac:dyDescent="0.25">
      <c r="U518" s="2"/>
      <c r="V518" s="2"/>
      <c r="W518" s="2"/>
      <c r="X518" s="2"/>
      <c r="Y518" s="2"/>
      <c r="Z518" s="2"/>
    </row>
    <row r="519" spans="21:26" x14ac:dyDescent="0.25">
      <c r="U519" s="2"/>
      <c r="V519" s="2"/>
      <c r="W519" s="2"/>
      <c r="X519" s="2"/>
      <c r="Y519" s="2"/>
      <c r="Z519" s="2"/>
    </row>
    <row r="520" spans="21:26" x14ac:dyDescent="0.25">
      <c r="U520" s="2"/>
      <c r="V520" s="2"/>
      <c r="W520" s="2"/>
      <c r="X520" s="2"/>
      <c r="Y520" s="2"/>
      <c r="Z520" s="2"/>
    </row>
    <row r="521" spans="21:26" x14ac:dyDescent="0.25">
      <c r="U521" s="2"/>
      <c r="V521" s="2"/>
      <c r="W521" s="2"/>
      <c r="X521" s="2"/>
      <c r="Y521" s="2"/>
      <c r="Z521" s="2"/>
    </row>
    <row r="522" spans="21:26" x14ac:dyDescent="0.25">
      <c r="U522" s="2"/>
      <c r="V522" s="2"/>
      <c r="W522" s="2"/>
      <c r="X522" s="2"/>
      <c r="Y522" s="2"/>
      <c r="Z522" s="2"/>
    </row>
    <row r="523" spans="21:26" x14ac:dyDescent="0.25">
      <c r="U523" s="2"/>
      <c r="V523" s="2"/>
      <c r="W523" s="2"/>
      <c r="X523" s="2"/>
      <c r="Y523" s="2"/>
      <c r="Z523" s="2"/>
    </row>
    <row r="524" spans="21:26" x14ac:dyDescent="0.25">
      <c r="U524" s="2"/>
      <c r="V524" s="2"/>
      <c r="W524" s="2"/>
      <c r="X524" s="2"/>
      <c r="Y524" s="2"/>
      <c r="Z524" s="2"/>
    </row>
    <row r="525" spans="21:26" x14ac:dyDescent="0.25">
      <c r="U525" s="2"/>
      <c r="V525" s="2"/>
      <c r="W525" s="2"/>
      <c r="X525" s="2"/>
      <c r="Y525" s="2"/>
      <c r="Z525" s="2"/>
    </row>
    <row r="526" spans="21:26" x14ac:dyDescent="0.25">
      <c r="U526" s="2"/>
      <c r="V526" s="2"/>
      <c r="W526" s="2"/>
      <c r="X526" s="2"/>
      <c r="Y526" s="2"/>
      <c r="Z526" s="2"/>
    </row>
    <row r="527" spans="21:26" x14ac:dyDescent="0.25">
      <c r="U527" s="2"/>
      <c r="V527" s="2"/>
      <c r="W527" s="2"/>
      <c r="X527" s="2"/>
      <c r="Y527" s="2"/>
      <c r="Z527" s="2"/>
    </row>
    <row r="528" spans="21:26" x14ac:dyDescent="0.25">
      <c r="U528" s="2"/>
      <c r="V528" s="2"/>
      <c r="W528" s="2"/>
      <c r="X528" s="2"/>
      <c r="Y528" s="2"/>
      <c r="Z528" s="2"/>
    </row>
    <row r="529" spans="21:26" x14ac:dyDescent="0.25">
      <c r="U529" s="2"/>
      <c r="V529" s="2"/>
      <c r="W529" s="2"/>
      <c r="X529" s="2"/>
      <c r="Y529" s="2"/>
      <c r="Z529" s="2"/>
    </row>
    <row r="530" spans="21:26" x14ac:dyDescent="0.25">
      <c r="U530" s="2"/>
      <c r="V530" s="2"/>
      <c r="W530" s="2"/>
      <c r="X530" s="2"/>
      <c r="Y530" s="2"/>
      <c r="Z530" s="2"/>
    </row>
    <row r="531" spans="21:26" x14ac:dyDescent="0.25">
      <c r="U531" s="2"/>
      <c r="V531" s="2"/>
      <c r="W531" s="2"/>
      <c r="X531" s="2"/>
      <c r="Y531" s="2"/>
      <c r="Z531" s="2"/>
    </row>
    <row r="532" spans="21:26" x14ac:dyDescent="0.25">
      <c r="U532" s="2"/>
      <c r="V532" s="2"/>
      <c r="W532" s="2"/>
      <c r="X532" s="2"/>
      <c r="Y532" s="2"/>
      <c r="Z532" s="2"/>
    </row>
    <row r="533" spans="21:26" x14ac:dyDescent="0.25">
      <c r="U533" s="2"/>
      <c r="V533" s="2"/>
      <c r="W533" s="2"/>
      <c r="X533" s="2"/>
      <c r="Y533" s="2"/>
      <c r="Z533" s="2"/>
    </row>
    <row r="534" spans="21:26" x14ac:dyDescent="0.25">
      <c r="U534" s="2"/>
      <c r="V534" s="2"/>
      <c r="W534" s="2"/>
      <c r="X534" s="2"/>
      <c r="Y534" s="2"/>
      <c r="Z534" s="2"/>
    </row>
    <row r="535" spans="21:26" x14ac:dyDescent="0.25">
      <c r="U535" s="2"/>
      <c r="V535" s="2"/>
      <c r="W535" s="2"/>
      <c r="X535" s="2"/>
      <c r="Y535" s="2"/>
      <c r="Z535" s="2"/>
    </row>
    <row r="536" spans="21:26" x14ac:dyDescent="0.25">
      <c r="U536" s="2"/>
      <c r="V536" s="2"/>
      <c r="W536" s="2"/>
      <c r="X536" s="2"/>
      <c r="Y536" s="2"/>
      <c r="Z536" s="2"/>
    </row>
    <row r="537" spans="21:26" x14ac:dyDescent="0.25">
      <c r="U537" s="2"/>
      <c r="V537" s="2"/>
      <c r="W537" s="2"/>
      <c r="X537" s="2"/>
      <c r="Y537" s="2"/>
      <c r="Z537" s="2"/>
    </row>
    <row r="538" spans="21:26" x14ac:dyDescent="0.25">
      <c r="U538" s="2"/>
      <c r="V538" s="2"/>
      <c r="W538" s="2"/>
      <c r="X538" s="2"/>
      <c r="Y538" s="2"/>
      <c r="Z538" s="2"/>
    </row>
    <row r="539" spans="21:26" x14ac:dyDescent="0.25">
      <c r="U539" s="2"/>
      <c r="V539" s="2"/>
      <c r="W539" s="2"/>
      <c r="X539" s="2"/>
      <c r="Y539" s="2"/>
      <c r="Z539" s="2"/>
    </row>
    <row r="540" spans="21:26" x14ac:dyDescent="0.25">
      <c r="U540" s="2"/>
      <c r="V540" s="2"/>
      <c r="W540" s="2"/>
      <c r="X540" s="2"/>
      <c r="Y540" s="2"/>
      <c r="Z540" s="2"/>
    </row>
    <row r="541" spans="21:26" x14ac:dyDescent="0.25">
      <c r="U541" s="2"/>
      <c r="V541" s="2"/>
      <c r="W541" s="2"/>
      <c r="X541" s="2"/>
      <c r="Y541" s="2"/>
      <c r="Z541" s="2"/>
    </row>
    <row r="542" spans="21:26" x14ac:dyDescent="0.25">
      <c r="U542" s="2"/>
      <c r="V542" s="2"/>
      <c r="W542" s="2"/>
      <c r="X542" s="2"/>
      <c r="Y542" s="2"/>
      <c r="Z542" s="2"/>
    </row>
    <row r="543" spans="21:26" x14ac:dyDescent="0.25">
      <c r="U543" s="2"/>
      <c r="V543" s="2"/>
      <c r="W543" s="2"/>
      <c r="X543" s="2"/>
      <c r="Y543" s="2"/>
      <c r="Z543" s="2"/>
    </row>
    <row r="544" spans="21:26" x14ac:dyDescent="0.25">
      <c r="U544" s="2"/>
      <c r="V544" s="2"/>
      <c r="W544" s="2"/>
      <c r="X544" s="2"/>
      <c r="Y544" s="2"/>
      <c r="Z544" s="2"/>
    </row>
    <row r="545" spans="21:26" x14ac:dyDescent="0.25">
      <c r="U545" s="2"/>
      <c r="V545" s="2"/>
      <c r="W545" s="2"/>
      <c r="X545" s="2"/>
      <c r="Y545" s="2"/>
      <c r="Z545" s="2"/>
    </row>
    <row r="546" spans="21:26" x14ac:dyDescent="0.25">
      <c r="U546" s="2"/>
      <c r="V546" s="2"/>
      <c r="W546" s="2"/>
      <c r="X546" s="2"/>
      <c r="Y546" s="2"/>
      <c r="Z546" s="2"/>
    </row>
    <row r="547" spans="21:26" x14ac:dyDescent="0.25">
      <c r="U547" s="2"/>
      <c r="V547" s="2"/>
      <c r="W547" s="2"/>
      <c r="X547" s="2"/>
      <c r="Y547" s="2"/>
      <c r="Z547" s="2"/>
    </row>
    <row r="548" spans="21:26" x14ac:dyDescent="0.25">
      <c r="U548" s="2"/>
      <c r="V548" s="2"/>
      <c r="W548" s="2"/>
      <c r="X548" s="2"/>
      <c r="Y548" s="2"/>
      <c r="Z548" s="2"/>
    </row>
    <row r="549" spans="21:26" x14ac:dyDescent="0.25">
      <c r="U549" s="2"/>
      <c r="V549" s="2"/>
      <c r="W549" s="2"/>
      <c r="X549" s="2"/>
      <c r="Y549" s="2"/>
      <c r="Z549" s="2"/>
    </row>
    <row r="550" spans="21:26" x14ac:dyDescent="0.25">
      <c r="U550" s="2"/>
      <c r="V550" s="2"/>
      <c r="W550" s="2"/>
      <c r="X550" s="2"/>
      <c r="Y550" s="2"/>
      <c r="Z550" s="2"/>
    </row>
    <row r="551" spans="21:26" x14ac:dyDescent="0.25">
      <c r="U551" s="2"/>
      <c r="V551" s="2"/>
      <c r="W551" s="2"/>
      <c r="X551" s="2"/>
      <c r="Y551" s="2"/>
      <c r="Z551" s="2"/>
    </row>
    <row r="552" spans="21:26" x14ac:dyDescent="0.25">
      <c r="U552" s="2"/>
      <c r="V552" s="2"/>
      <c r="W552" s="2"/>
      <c r="X552" s="2"/>
      <c r="Y552" s="2"/>
      <c r="Z552" s="2"/>
    </row>
    <row r="553" spans="21:26" x14ac:dyDescent="0.25">
      <c r="U553" s="2"/>
      <c r="V553" s="2"/>
      <c r="W553" s="2"/>
      <c r="X553" s="2"/>
      <c r="Y553" s="2"/>
      <c r="Z553" s="2"/>
    </row>
    <row r="554" spans="21:26" x14ac:dyDescent="0.25">
      <c r="U554" s="2"/>
      <c r="V554" s="2"/>
      <c r="W554" s="2"/>
      <c r="X554" s="2"/>
      <c r="Y554" s="2"/>
      <c r="Z554" s="2"/>
    </row>
    <row r="555" spans="21:26" x14ac:dyDescent="0.25">
      <c r="U555" s="2"/>
      <c r="V555" s="2"/>
      <c r="W555" s="2"/>
      <c r="X555" s="2"/>
      <c r="Y555" s="2"/>
      <c r="Z555" s="2"/>
    </row>
    <row r="556" spans="21:26" x14ac:dyDescent="0.25">
      <c r="U556" s="2"/>
      <c r="V556" s="2"/>
      <c r="W556" s="2"/>
      <c r="X556" s="2"/>
      <c r="Y556" s="2"/>
      <c r="Z556" s="2"/>
    </row>
    <row r="557" spans="21:26" x14ac:dyDescent="0.25">
      <c r="U557" s="2"/>
      <c r="V557" s="2"/>
      <c r="W557" s="2"/>
      <c r="X557" s="2"/>
      <c r="Y557" s="2"/>
      <c r="Z557" s="2"/>
    </row>
    <row r="558" spans="21:26" x14ac:dyDescent="0.25">
      <c r="U558" s="2"/>
      <c r="V558" s="2"/>
      <c r="W558" s="2"/>
      <c r="X558" s="2"/>
      <c r="Y558" s="2"/>
      <c r="Z558" s="2"/>
    </row>
    <row r="559" spans="21:26" x14ac:dyDescent="0.25">
      <c r="U559" s="2"/>
      <c r="V559" s="2"/>
      <c r="W559" s="2"/>
      <c r="X559" s="2"/>
      <c r="Y559" s="2"/>
      <c r="Z559" s="2"/>
    </row>
  </sheetData>
  <mergeCells count="2">
    <mergeCell ref="A65:O65"/>
    <mergeCell ref="AA1:AC1"/>
  </mergeCells>
  <printOptions horizontalCentered="1" verticalCentered="1"/>
  <pageMargins left="0.75" right="0.75" top="1" bottom="1" header="0.5" footer="0.5"/>
  <pageSetup scale="63"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3C777-A2F1-4E1A-856A-402217C9D1DF}">
  <sheetPr>
    <pageSetUpPr fitToPage="1"/>
  </sheetPr>
  <dimension ref="A1:AL295"/>
  <sheetViews>
    <sheetView zoomScale="96" zoomScaleNormal="96" zoomScaleSheetLayoutView="55" workbookViewId="0"/>
  </sheetViews>
  <sheetFormatPr defaultRowHeight="13.2" x14ac:dyDescent="0.25"/>
  <cols>
    <col min="3" max="3" width="15.5546875" customWidth="1"/>
  </cols>
  <sheetData>
    <row r="1" spans="16:38" ht="16.5" customHeight="1" x14ac:dyDescent="0.25">
      <c r="P1" s="1" t="s">
        <v>198</v>
      </c>
      <c r="Y1" s="9"/>
      <c r="Z1" s="9"/>
      <c r="AA1" s="9"/>
      <c r="AB1" s="9"/>
      <c r="AC1" s="9"/>
      <c r="AD1" s="9"/>
      <c r="AE1" s="9"/>
    </row>
    <row r="2" spans="16:38" ht="16.5" customHeight="1" x14ac:dyDescent="0.25">
      <c r="Q2" t="s">
        <v>0</v>
      </c>
      <c r="R2" s="9" t="s">
        <v>66</v>
      </c>
      <c r="S2" s="9" t="s">
        <v>67</v>
      </c>
      <c r="T2" s="9" t="s">
        <v>64</v>
      </c>
      <c r="U2" s="9" t="s">
        <v>68</v>
      </c>
      <c r="V2" s="9" t="s">
        <v>69</v>
      </c>
      <c r="W2" s="9" t="s">
        <v>65</v>
      </c>
      <c r="X2" s="9"/>
    </row>
    <row r="3" spans="16:38" ht="16.5" customHeight="1" x14ac:dyDescent="0.25">
      <c r="Q3" s="20">
        <v>2015</v>
      </c>
    </row>
    <row r="4" spans="16:38" ht="16.5" customHeight="1" x14ac:dyDescent="0.25">
      <c r="Q4" s="20">
        <v>2016</v>
      </c>
    </row>
    <row r="5" spans="16:38" ht="16.5" customHeight="1" x14ac:dyDescent="0.25">
      <c r="Q5" s="4">
        <v>2017</v>
      </c>
    </row>
    <row r="6" spans="16:38" ht="16.5" customHeight="1" x14ac:dyDescent="0.25">
      <c r="Q6" s="4">
        <v>2018</v>
      </c>
    </row>
    <row r="7" spans="16:38" ht="16.5" customHeight="1" x14ac:dyDescent="0.25">
      <c r="Q7" s="4">
        <v>2019</v>
      </c>
    </row>
    <row r="8" spans="16:38" ht="16.5" customHeight="1" x14ac:dyDescent="0.25">
      <c r="Q8" s="4">
        <v>2020</v>
      </c>
      <c r="R8">
        <v>0.19183127582073212</v>
      </c>
      <c r="S8">
        <v>0.56472069025039673</v>
      </c>
      <c r="T8">
        <v>0.24059806764125824</v>
      </c>
      <c r="U8">
        <v>0.22282524406909943</v>
      </c>
      <c r="V8">
        <v>0.57794618606567383</v>
      </c>
      <c r="W8">
        <v>0.19564807415008545</v>
      </c>
    </row>
    <row r="9" spans="16:38" ht="16.5" customHeight="1" x14ac:dyDescent="0.25">
      <c r="Q9" s="4">
        <v>2021</v>
      </c>
      <c r="R9">
        <v>0.13005104660987854</v>
      </c>
      <c r="S9">
        <v>0.57403963804244995</v>
      </c>
      <c r="T9">
        <v>0.29590931534767151</v>
      </c>
      <c r="U9">
        <v>0.12276986241340637</v>
      </c>
      <c r="V9">
        <v>0.62254220247268677</v>
      </c>
      <c r="W9">
        <v>0.25468790531158447</v>
      </c>
    </row>
    <row r="10" spans="16:38" ht="16.5" customHeight="1" x14ac:dyDescent="0.25">
      <c r="Q10" s="4">
        <v>2022</v>
      </c>
      <c r="R10">
        <v>0.12690441310405731</v>
      </c>
      <c r="S10">
        <v>0.54502010345458984</v>
      </c>
      <c r="T10">
        <v>0.32807549834251404</v>
      </c>
      <c r="U10">
        <v>9.9343262612819672E-2</v>
      </c>
      <c r="V10">
        <v>0.50516343116760254</v>
      </c>
      <c r="W10">
        <v>0.39549329876899719</v>
      </c>
    </row>
    <row r="11" spans="16:38" ht="16.5" customHeight="1" x14ac:dyDescent="0.25">
      <c r="Q11" s="4">
        <v>2023</v>
      </c>
      <c r="R11">
        <v>0.1278509646654129</v>
      </c>
      <c r="S11">
        <v>0.53254890441894531</v>
      </c>
      <c r="T11">
        <v>0.33960011601448059</v>
      </c>
      <c r="U11">
        <v>9.4717115163803101E-2</v>
      </c>
      <c r="V11">
        <v>0.52725088596343994</v>
      </c>
      <c r="W11">
        <v>0.37803196907043457</v>
      </c>
    </row>
    <row r="12" spans="16:38" ht="16.5" customHeight="1" x14ac:dyDescent="0.25">
      <c r="P12" t="s">
        <v>199</v>
      </c>
      <c r="Q12" t="s">
        <v>0</v>
      </c>
      <c r="R12" s="9" t="s">
        <v>66</v>
      </c>
      <c r="S12" s="9" t="s">
        <v>67</v>
      </c>
      <c r="T12" s="9" t="s">
        <v>64</v>
      </c>
      <c r="U12" s="9" t="s">
        <v>68</v>
      </c>
      <c r="V12" s="9" t="s">
        <v>69</v>
      </c>
      <c r="W12" s="9" t="s">
        <v>65</v>
      </c>
    </row>
    <row r="13" spans="16:38" ht="16.5" customHeight="1" x14ac:dyDescent="0.25">
      <c r="Q13" s="20">
        <v>2015</v>
      </c>
      <c r="AG13" s="9"/>
      <c r="AH13" s="9"/>
      <c r="AI13" s="9"/>
      <c r="AJ13" s="9"/>
      <c r="AK13" s="9"/>
      <c r="AL13" s="9"/>
    </row>
    <row r="14" spans="16:38" ht="16.5" customHeight="1" x14ac:dyDescent="0.25">
      <c r="Q14" s="20">
        <v>2016</v>
      </c>
      <c r="AF14" s="20"/>
    </row>
    <row r="15" spans="16:38" ht="16.5" customHeight="1" x14ac:dyDescent="0.25">
      <c r="Q15" s="4">
        <v>2017</v>
      </c>
      <c r="AF15" s="20"/>
    </row>
    <row r="16" spans="16:38" ht="16.5" customHeight="1" x14ac:dyDescent="0.25">
      <c r="Q16" s="4">
        <v>2018</v>
      </c>
      <c r="AF16" s="4"/>
    </row>
    <row r="17" spans="17:32" ht="16.5" customHeight="1" x14ac:dyDescent="0.25">
      <c r="Q17" s="4">
        <v>2019</v>
      </c>
      <c r="AF17" s="4"/>
    </row>
    <row r="18" spans="17:32" ht="16.5" customHeight="1" x14ac:dyDescent="0.25">
      <c r="Q18" s="4">
        <v>2020</v>
      </c>
      <c r="R18">
        <v>0.2404504269361496</v>
      </c>
      <c r="S18">
        <v>0.49978369474411011</v>
      </c>
      <c r="T18">
        <v>0.25561371445655823</v>
      </c>
      <c r="U18">
        <v>0.21196044981479645</v>
      </c>
      <c r="V18">
        <v>0.54047530889511108</v>
      </c>
      <c r="W18">
        <v>0.24178265035152435</v>
      </c>
      <c r="X18" s="9"/>
      <c r="AF18" s="4"/>
    </row>
    <row r="19" spans="17:32" ht="16.5" customHeight="1" x14ac:dyDescent="0.25">
      <c r="Q19" s="4">
        <v>2021</v>
      </c>
      <c r="R19">
        <v>0.14562493562698364</v>
      </c>
      <c r="S19">
        <v>0.51552665233612061</v>
      </c>
      <c r="T19">
        <v>0.33884844183921814</v>
      </c>
      <c r="U19">
        <v>0.11129939556121826</v>
      </c>
      <c r="V19">
        <v>0.59929096698760986</v>
      </c>
      <c r="W19">
        <v>0.28940963745117188</v>
      </c>
    </row>
    <row r="20" spans="17:32" ht="16.5" customHeight="1" x14ac:dyDescent="0.25">
      <c r="Q20" s="4">
        <v>2022</v>
      </c>
      <c r="R20">
        <v>0.14556750655174255</v>
      </c>
      <c r="S20">
        <v>0.50777417421340942</v>
      </c>
      <c r="T20">
        <v>0.34665834903717041</v>
      </c>
      <c r="U20">
        <v>9.183916449546814E-2</v>
      </c>
      <c r="V20">
        <v>0.46613270044326782</v>
      </c>
      <c r="W20">
        <v>0.44202816486358643</v>
      </c>
    </row>
    <row r="21" spans="17:32" ht="16.5" customHeight="1" x14ac:dyDescent="0.25">
      <c r="Q21" s="4">
        <v>2023</v>
      </c>
      <c r="R21">
        <v>0.14985772967338562</v>
      </c>
      <c r="S21">
        <v>0.51027983427047729</v>
      </c>
      <c r="T21">
        <v>0.33986243605613708</v>
      </c>
      <c r="U21">
        <v>9.563407301902771E-2</v>
      </c>
      <c r="V21">
        <v>0.46685865521430969</v>
      </c>
      <c r="W21">
        <v>0.4375072717666626</v>
      </c>
    </row>
    <row r="22" spans="17:32" ht="16.5" customHeight="1" x14ac:dyDescent="0.25"/>
    <row r="23" spans="17:32" ht="16.5" customHeight="1" x14ac:dyDescent="0.25">
      <c r="R23" s="9"/>
      <c r="S23" s="9"/>
      <c r="T23" s="9"/>
      <c r="U23" s="9"/>
      <c r="V23" s="9"/>
      <c r="W23" s="9"/>
    </row>
    <row r="24" spans="17:32" ht="16.5" customHeight="1" x14ac:dyDescent="0.25">
      <c r="Q24" s="20"/>
    </row>
    <row r="25" spans="17:32" ht="16.5" customHeight="1" x14ac:dyDescent="0.25">
      <c r="Q25" s="20"/>
    </row>
    <row r="26" spans="17:32" ht="16.5" customHeight="1" x14ac:dyDescent="0.25">
      <c r="Q26" s="4"/>
    </row>
    <row r="27" spans="17:32" ht="16.5" customHeight="1" x14ac:dyDescent="0.25">
      <c r="Q27" s="4"/>
    </row>
    <row r="28" spans="17:32" ht="16.5" customHeight="1" x14ac:dyDescent="0.25">
      <c r="Q28" s="4"/>
    </row>
    <row r="29" spans="17:32" ht="16.5" customHeight="1" x14ac:dyDescent="0.25">
      <c r="Q29" s="4"/>
    </row>
    <row r="30" spans="17:32" ht="16.5" customHeight="1" x14ac:dyDescent="0.25">
      <c r="Q30" s="4"/>
    </row>
    <row r="31" spans="17:32" ht="16.5" customHeight="1" x14ac:dyDescent="0.25">
      <c r="Q31" s="4"/>
    </row>
    <row r="32" spans="17:32" ht="16.5" customHeight="1" x14ac:dyDescent="0.25"/>
    <row r="33" spans="18:18" ht="16.5" customHeight="1" x14ac:dyDescent="0.25"/>
    <row r="34" spans="18:18" ht="16.5" customHeight="1" x14ac:dyDescent="0.25"/>
    <row r="35" spans="18:18" ht="16.5" customHeight="1" x14ac:dyDescent="0.25"/>
    <row r="36" spans="18:18" ht="16.5" customHeight="1" x14ac:dyDescent="0.25"/>
    <row r="37" spans="18:18" ht="16.5" customHeight="1" x14ac:dyDescent="0.25"/>
    <row r="38" spans="18:18" ht="16.5" customHeight="1" x14ac:dyDescent="0.25"/>
    <row r="39" spans="18:18" ht="16.5" customHeight="1" x14ac:dyDescent="0.25"/>
    <row r="40" spans="18:18" ht="16.5" customHeight="1" x14ac:dyDescent="0.25"/>
    <row r="41" spans="18:18" ht="16.5" customHeight="1" x14ac:dyDescent="0.25">
      <c r="R41" s="4"/>
    </row>
    <row r="42" spans="18:18" ht="16.5" customHeight="1" x14ac:dyDescent="0.25">
      <c r="R42" s="4"/>
    </row>
    <row r="43" spans="18:18" ht="16.5" customHeight="1" x14ac:dyDescent="0.25">
      <c r="R43" s="4"/>
    </row>
    <row r="44" spans="18:18" ht="16.5" customHeight="1" x14ac:dyDescent="0.25">
      <c r="R44" s="4"/>
    </row>
    <row r="45" spans="18:18" ht="16.5" customHeight="1" x14ac:dyDescent="0.25">
      <c r="R45" s="4"/>
    </row>
    <row r="46" spans="18:18" ht="16.5" customHeight="1" x14ac:dyDescent="0.25">
      <c r="R46" s="4"/>
    </row>
    <row r="47" spans="18:18" ht="16.5" customHeight="1" x14ac:dyDescent="0.25"/>
    <row r="48" spans="18:18" ht="16.5" customHeight="1" x14ac:dyDescent="0.25"/>
    <row r="49" spans="1:24" ht="16.5" customHeight="1" x14ac:dyDescent="0.25"/>
    <row r="50" spans="1:24" ht="16.5" customHeight="1" x14ac:dyDescent="0.25"/>
    <row r="51" spans="1:24" ht="16.5" customHeight="1" x14ac:dyDescent="0.25"/>
    <row r="52" spans="1:24" x14ac:dyDescent="0.25">
      <c r="T52" s="2"/>
    </row>
    <row r="53" spans="1:24" x14ac:dyDescent="0.25">
      <c r="T53" s="2"/>
    </row>
    <row r="54" spans="1:24" x14ac:dyDescent="0.25">
      <c r="T54" s="2"/>
    </row>
    <row r="55" spans="1:24" x14ac:dyDescent="0.25">
      <c r="T55" s="2"/>
    </row>
    <row r="56" spans="1:24" x14ac:dyDescent="0.25">
      <c r="S56" s="9"/>
      <c r="T56" s="9"/>
      <c r="U56" s="9"/>
      <c r="V56" s="9"/>
      <c r="W56" s="9"/>
      <c r="X56" s="9"/>
    </row>
    <row r="57" spans="1:24" ht="12.75" customHeight="1" x14ac:dyDescent="0.25">
      <c r="A57" s="154" t="s">
        <v>289</v>
      </c>
      <c r="B57" s="154"/>
      <c r="C57" s="154"/>
      <c r="D57" s="154"/>
      <c r="E57" s="154"/>
      <c r="F57" s="154"/>
      <c r="G57" s="154"/>
      <c r="H57" s="154"/>
      <c r="I57" s="154"/>
      <c r="J57" s="154"/>
      <c r="K57" s="154"/>
      <c r="L57" s="154"/>
      <c r="M57" s="154"/>
      <c r="N57" s="154"/>
      <c r="O57" s="154"/>
      <c r="R57" s="20"/>
    </row>
    <row r="58" spans="1:24" x14ac:dyDescent="0.25">
      <c r="A58" s="154"/>
      <c r="B58" s="154"/>
      <c r="C58" s="154"/>
      <c r="D58" s="154"/>
      <c r="E58" s="154"/>
      <c r="F58" s="154"/>
      <c r="G58" s="154"/>
      <c r="H58" s="154"/>
      <c r="I58" s="154"/>
      <c r="J58" s="154"/>
      <c r="K58" s="154"/>
      <c r="L58" s="154"/>
      <c r="M58" s="154"/>
      <c r="N58" s="154"/>
      <c r="O58" s="154"/>
      <c r="R58" s="20"/>
    </row>
    <row r="59" spans="1:24" x14ac:dyDescent="0.25">
      <c r="A59" s="154"/>
      <c r="B59" s="154"/>
      <c r="C59" s="154"/>
      <c r="D59" s="154"/>
      <c r="E59" s="154"/>
      <c r="F59" s="154"/>
      <c r="G59" s="154"/>
      <c r="H59" s="154"/>
      <c r="I59" s="154"/>
      <c r="J59" s="154"/>
      <c r="K59" s="154"/>
      <c r="L59" s="154"/>
      <c r="M59" s="154"/>
      <c r="N59" s="154"/>
      <c r="O59" s="154"/>
      <c r="R59" s="4"/>
    </row>
    <row r="60" spans="1:24" x14ac:dyDescent="0.25">
      <c r="R60" s="4"/>
    </row>
    <row r="61" spans="1:24" x14ac:dyDescent="0.25">
      <c r="R61" s="4"/>
    </row>
    <row r="62" spans="1:24" x14ac:dyDescent="0.25">
      <c r="R62" s="4"/>
    </row>
    <row r="63" spans="1:24" x14ac:dyDescent="0.25">
      <c r="S63" s="2"/>
    </row>
    <row r="64" spans="1:24" x14ac:dyDescent="0.25">
      <c r="S64" s="2"/>
    </row>
    <row r="65" spans="19:19" x14ac:dyDescent="0.25">
      <c r="S65" s="2"/>
    </row>
    <row r="66" spans="19:19" x14ac:dyDescent="0.25">
      <c r="S66" s="2"/>
    </row>
    <row r="67" spans="19:19" x14ac:dyDescent="0.25">
      <c r="S67" s="2"/>
    </row>
    <row r="68" spans="19:19" x14ac:dyDescent="0.25">
      <c r="S68" s="2"/>
    </row>
    <row r="69" spans="19:19" x14ac:dyDescent="0.25">
      <c r="S69" s="2"/>
    </row>
    <row r="70" spans="19:19" x14ac:dyDescent="0.25">
      <c r="S70" s="2"/>
    </row>
    <row r="71" spans="19:19" x14ac:dyDescent="0.25">
      <c r="S71" s="2"/>
    </row>
    <row r="72" spans="19:19" x14ac:dyDescent="0.25">
      <c r="S72" s="2"/>
    </row>
    <row r="73" spans="19:19" x14ac:dyDescent="0.25">
      <c r="S73" s="2"/>
    </row>
    <row r="74" spans="19:19" x14ac:dyDescent="0.25">
      <c r="S74" s="2"/>
    </row>
    <row r="75" spans="19:19" x14ac:dyDescent="0.25">
      <c r="S75" s="2"/>
    </row>
    <row r="76" spans="19:19" x14ac:dyDescent="0.25">
      <c r="S76" s="2"/>
    </row>
    <row r="77" spans="19:19" x14ac:dyDescent="0.25">
      <c r="S77" s="2"/>
    </row>
    <row r="78" spans="19:19" x14ac:dyDescent="0.25">
      <c r="S78" s="2"/>
    </row>
    <row r="79" spans="19:19" x14ac:dyDescent="0.25">
      <c r="S79" s="2"/>
    </row>
    <row r="80" spans="19:19" x14ac:dyDescent="0.25">
      <c r="S80" s="2"/>
    </row>
    <row r="81" spans="19:19" x14ac:dyDescent="0.25">
      <c r="S81" s="2"/>
    </row>
    <row r="82" spans="19:19" x14ac:dyDescent="0.25">
      <c r="S82" s="2"/>
    </row>
    <row r="83" spans="19:19" x14ac:dyDescent="0.25">
      <c r="S83" s="2"/>
    </row>
    <row r="84" spans="19:19" x14ac:dyDescent="0.25">
      <c r="S84" s="2"/>
    </row>
    <row r="85" spans="19:19" x14ac:dyDescent="0.25">
      <c r="S85" s="2"/>
    </row>
    <row r="86" spans="19:19" x14ac:dyDescent="0.25">
      <c r="S86" s="2"/>
    </row>
    <row r="87" spans="19:19" x14ac:dyDescent="0.25">
      <c r="S87" s="2"/>
    </row>
    <row r="88" spans="19:19" x14ac:dyDescent="0.25">
      <c r="S88" s="2"/>
    </row>
    <row r="89" spans="19:19" x14ac:dyDescent="0.25">
      <c r="S89" s="2"/>
    </row>
    <row r="90" spans="19:19" x14ac:dyDescent="0.25">
      <c r="S90" s="2"/>
    </row>
    <row r="91" spans="19:19" x14ac:dyDescent="0.25">
      <c r="S91" s="2"/>
    </row>
    <row r="92" spans="19:19" x14ac:dyDescent="0.25">
      <c r="S92" s="2"/>
    </row>
    <row r="93" spans="19:19" x14ac:dyDescent="0.25">
      <c r="S93" s="2"/>
    </row>
    <row r="94" spans="19:19" x14ac:dyDescent="0.25">
      <c r="S94" s="2"/>
    </row>
    <row r="95" spans="19:19" x14ac:dyDescent="0.25">
      <c r="S95" s="2"/>
    </row>
    <row r="96" spans="19:19" x14ac:dyDescent="0.25">
      <c r="S96" s="2"/>
    </row>
    <row r="97" spans="19:19" x14ac:dyDescent="0.25">
      <c r="S97" s="2"/>
    </row>
    <row r="98" spans="19:19" x14ac:dyDescent="0.25">
      <c r="S98" s="2"/>
    </row>
    <row r="99" spans="19:19" x14ac:dyDescent="0.25">
      <c r="S99" s="2"/>
    </row>
    <row r="100" spans="19:19" x14ac:dyDescent="0.25">
      <c r="S100" s="2"/>
    </row>
    <row r="101" spans="19:19" x14ac:dyDescent="0.25">
      <c r="S101" s="2"/>
    </row>
    <row r="102" spans="19:19" x14ac:dyDescent="0.25">
      <c r="S102" s="2"/>
    </row>
    <row r="103" spans="19:19" x14ac:dyDescent="0.25">
      <c r="S103" s="2"/>
    </row>
    <row r="104" spans="19:19" x14ac:dyDescent="0.25">
      <c r="S104" s="2"/>
    </row>
    <row r="105" spans="19:19" x14ac:dyDescent="0.25">
      <c r="S105" s="2"/>
    </row>
    <row r="106" spans="19:19" x14ac:dyDescent="0.25">
      <c r="S106" s="2"/>
    </row>
    <row r="107" spans="19:19" x14ac:dyDescent="0.25">
      <c r="S107" s="2"/>
    </row>
    <row r="108" spans="19:19" x14ac:dyDescent="0.25">
      <c r="S108" s="2"/>
    </row>
    <row r="109" spans="19:19" x14ac:dyDescent="0.25">
      <c r="S109" s="2"/>
    </row>
    <row r="110" spans="19:19" x14ac:dyDescent="0.25">
      <c r="S110" s="2"/>
    </row>
    <row r="111" spans="19:19" x14ac:dyDescent="0.25">
      <c r="S111" s="2"/>
    </row>
    <row r="112" spans="19:19" x14ac:dyDescent="0.25">
      <c r="S112" s="2"/>
    </row>
    <row r="113" spans="19:19" x14ac:dyDescent="0.25">
      <c r="S113" s="2"/>
    </row>
    <row r="114" spans="19:19" x14ac:dyDescent="0.25">
      <c r="S114" s="2"/>
    </row>
    <row r="115" spans="19:19" x14ac:dyDescent="0.25">
      <c r="S115" s="2"/>
    </row>
    <row r="116" spans="19:19" x14ac:dyDescent="0.25">
      <c r="S116" s="2"/>
    </row>
    <row r="117" spans="19:19" x14ac:dyDescent="0.25">
      <c r="S117" s="2"/>
    </row>
    <row r="118" spans="19:19" x14ac:dyDescent="0.25">
      <c r="S118" s="2"/>
    </row>
    <row r="119" spans="19:19" x14ac:dyDescent="0.25">
      <c r="S119" s="2"/>
    </row>
    <row r="120" spans="19:19" x14ac:dyDescent="0.25">
      <c r="S120" s="2"/>
    </row>
    <row r="121" spans="19:19" x14ac:dyDescent="0.25">
      <c r="S121" s="2"/>
    </row>
    <row r="122" spans="19:19" x14ac:dyDescent="0.25">
      <c r="S122" s="2"/>
    </row>
    <row r="123" spans="19:19" x14ac:dyDescent="0.25">
      <c r="S123" s="2"/>
    </row>
    <row r="124" spans="19:19" x14ac:dyDescent="0.25">
      <c r="S124" s="2"/>
    </row>
    <row r="125" spans="19:19" x14ac:dyDescent="0.25">
      <c r="S125" s="2"/>
    </row>
    <row r="126" spans="19:19" x14ac:dyDescent="0.25">
      <c r="S126" s="2"/>
    </row>
    <row r="127" spans="19:19" x14ac:dyDescent="0.25">
      <c r="S127" s="2"/>
    </row>
    <row r="128" spans="19:19" x14ac:dyDescent="0.25">
      <c r="S128" s="2"/>
    </row>
    <row r="129" spans="19:19" x14ac:dyDescent="0.25">
      <c r="S129" s="2"/>
    </row>
    <row r="130" spans="19:19" x14ac:dyDescent="0.25">
      <c r="S130" s="2"/>
    </row>
    <row r="131" spans="19:19" x14ac:dyDescent="0.25">
      <c r="S131" s="2"/>
    </row>
    <row r="132" spans="19:19" x14ac:dyDescent="0.25">
      <c r="S132" s="2"/>
    </row>
    <row r="133" spans="19:19" x14ac:dyDescent="0.25">
      <c r="S133" s="2"/>
    </row>
    <row r="134" spans="19:19" x14ac:dyDescent="0.25">
      <c r="S134" s="2"/>
    </row>
    <row r="135" spans="19:19" x14ac:dyDescent="0.25">
      <c r="S135" s="2"/>
    </row>
    <row r="136" spans="19:19" x14ac:dyDescent="0.25">
      <c r="S136" s="2"/>
    </row>
    <row r="137" spans="19:19" x14ac:dyDescent="0.25">
      <c r="S137" s="2"/>
    </row>
    <row r="138" spans="19:19" x14ac:dyDescent="0.25">
      <c r="S138" s="2"/>
    </row>
    <row r="139" spans="19:19" x14ac:dyDescent="0.25">
      <c r="S139" s="2"/>
    </row>
    <row r="140" spans="19:19" x14ac:dyDescent="0.25">
      <c r="S140" s="2"/>
    </row>
    <row r="141" spans="19:19" x14ac:dyDescent="0.25">
      <c r="S141" s="2"/>
    </row>
    <row r="142" spans="19:19" x14ac:dyDescent="0.25">
      <c r="S142" s="2"/>
    </row>
    <row r="143" spans="19:19" x14ac:dyDescent="0.25">
      <c r="S143" s="2"/>
    </row>
    <row r="144" spans="19:19" x14ac:dyDescent="0.25">
      <c r="S144" s="2"/>
    </row>
    <row r="145" spans="19:19" x14ac:dyDescent="0.25">
      <c r="S145" s="2"/>
    </row>
    <row r="146" spans="19:19" x14ac:dyDescent="0.25">
      <c r="S146" s="2"/>
    </row>
    <row r="147" spans="19:19" x14ac:dyDescent="0.25">
      <c r="S147" s="2"/>
    </row>
    <row r="148" spans="19:19" x14ac:dyDescent="0.25">
      <c r="S148" s="2"/>
    </row>
    <row r="149" spans="19:19" x14ac:dyDescent="0.25">
      <c r="S149" s="2"/>
    </row>
    <row r="150" spans="19:19" x14ac:dyDescent="0.25">
      <c r="S150" s="2"/>
    </row>
    <row r="151" spans="19:19" x14ac:dyDescent="0.25">
      <c r="S151" s="2"/>
    </row>
    <row r="152" spans="19:19" x14ac:dyDescent="0.25">
      <c r="S152" s="2"/>
    </row>
    <row r="153" spans="19:19" x14ac:dyDescent="0.25">
      <c r="S153" s="2"/>
    </row>
    <row r="154" spans="19:19" x14ac:dyDescent="0.25">
      <c r="S154" s="2"/>
    </row>
    <row r="155" spans="19:19" x14ac:dyDescent="0.25">
      <c r="S155" s="2"/>
    </row>
    <row r="156" spans="19:19" x14ac:dyDescent="0.25">
      <c r="S156" s="2"/>
    </row>
    <row r="157" spans="19:19" x14ac:dyDescent="0.25">
      <c r="S157" s="2"/>
    </row>
    <row r="158" spans="19:19" x14ac:dyDescent="0.25">
      <c r="S158" s="2"/>
    </row>
    <row r="159" spans="19:19" x14ac:dyDescent="0.25">
      <c r="S159" s="2"/>
    </row>
    <row r="160" spans="19:19" x14ac:dyDescent="0.25">
      <c r="S160" s="2"/>
    </row>
    <row r="161" spans="19:19" x14ac:dyDescent="0.25">
      <c r="S161" s="2"/>
    </row>
    <row r="162" spans="19:19" x14ac:dyDescent="0.25">
      <c r="S162" s="2"/>
    </row>
    <row r="163" spans="19:19" x14ac:dyDescent="0.25">
      <c r="S163" s="2"/>
    </row>
    <row r="164" spans="19:19" x14ac:dyDescent="0.25">
      <c r="S164" s="2"/>
    </row>
    <row r="165" spans="19:19" x14ac:dyDescent="0.25">
      <c r="S165" s="2"/>
    </row>
    <row r="166" spans="19:19" x14ac:dyDescent="0.25">
      <c r="S166" s="2"/>
    </row>
    <row r="167" spans="19:19" x14ac:dyDescent="0.25">
      <c r="S167" s="2"/>
    </row>
    <row r="168" spans="19:19" x14ac:dyDescent="0.25">
      <c r="S168" s="2"/>
    </row>
    <row r="169" spans="19:19" x14ac:dyDescent="0.25">
      <c r="S169" s="2"/>
    </row>
    <row r="170" spans="19:19" x14ac:dyDescent="0.25">
      <c r="S170" s="2"/>
    </row>
    <row r="171" spans="19:19" x14ac:dyDescent="0.25">
      <c r="S171" s="2"/>
    </row>
    <row r="172" spans="19:19" x14ac:dyDescent="0.25">
      <c r="S172" s="2"/>
    </row>
    <row r="173" spans="19:19" x14ac:dyDescent="0.25">
      <c r="S173" s="2"/>
    </row>
    <row r="174" spans="19:19" x14ac:dyDescent="0.25">
      <c r="S174" s="2"/>
    </row>
    <row r="175" spans="19:19" x14ac:dyDescent="0.25">
      <c r="S175" s="2"/>
    </row>
    <row r="176" spans="19:19" x14ac:dyDescent="0.25">
      <c r="S176" s="2"/>
    </row>
    <row r="177" spans="19:19" x14ac:dyDescent="0.25">
      <c r="S177" s="2"/>
    </row>
    <row r="178" spans="19:19" x14ac:dyDescent="0.25">
      <c r="S178" s="2"/>
    </row>
    <row r="179" spans="19:19" x14ac:dyDescent="0.25">
      <c r="S179" s="2"/>
    </row>
    <row r="180" spans="19:19" x14ac:dyDescent="0.25">
      <c r="S180" s="2"/>
    </row>
    <row r="181" spans="19:19" x14ac:dyDescent="0.25">
      <c r="S181" s="2"/>
    </row>
    <row r="182" spans="19:19" x14ac:dyDescent="0.25">
      <c r="S182" s="2"/>
    </row>
    <row r="183" spans="19:19" x14ac:dyDescent="0.25">
      <c r="S183" s="2"/>
    </row>
    <row r="184" spans="19:19" x14ac:dyDescent="0.25">
      <c r="S184" s="2"/>
    </row>
    <row r="185" spans="19:19" x14ac:dyDescent="0.25">
      <c r="S185" s="2"/>
    </row>
    <row r="186" spans="19:19" x14ac:dyDescent="0.25">
      <c r="S186" s="2"/>
    </row>
    <row r="187" spans="19:19" x14ac:dyDescent="0.25">
      <c r="S187" s="2"/>
    </row>
    <row r="188" spans="19:19" x14ac:dyDescent="0.25">
      <c r="S188" s="2"/>
    </row>
    <row r="189" spans="19:19" x14ac:dyDescent="0.25">
      <c r="S189" s="2"/>
    </row>
    <row r="190" spans="19:19" x14ac:dyDescent="0.25">
      <c r="S190" s="2"/>
    </row>
    <row r="191" spans="19:19" x14ac:dyDescent="0.25">
      <c r="S191" s="2"/>
    </row>
    <row r="192" spans="19:19" x14ac:dyDescent="0.25">
      <c r="S192" s="2"/>
    </row>
    <row r="193" spans="19:19" x14ac:dyDescent="0.25">
      <c r="S193" s="2"/>
    </row>
    <row r="194" spans="19:19" x14ac:dyDescent="0.25">
      <c r="S194" s="2"/>
    </row>
    <row r="195" spans="19:19" x14ac:dyDescent="0.25">
      <c r="S195" s="2"/>
    </row>
    <row r="196" spans="19:19" x14ac:dyDescent="0.25">
      <c r="S196" s="2"/>
    </row>
    <row r="197" spans="19:19" x14ac:dyDescent="0.25">
      <c r="S197" s="2"/>
    </row>
    <row r="198" spans="19:19" x14ac:dyDescent="0.25">
      <c r="S198" s="2"/>
    </row>
    <row r="199" spans="19:19" x14ac:dyDescent="0.25">
      <c r="S199" s="2"/>
    </row>
    <row r="200" spans="19:19" x14ac:dyDescent="0.25">
      <c r="S200" s="2"/>
    </row>
    <row r="201" spans="19:19" x14ac:dyDescent="0.25">
      <c r="S201" s="2"/>
    </row>
    <row r="202" spans="19:19" x14ac:dyDescent="0.25">
      <c r="S202" s="2"/>
    </row>
    <row r="203" spans="19:19" x14ac:dyDescent="0.25">
      <c r="S203" s="2"/>
    </row>
    <row r="204" spans="19:19" x14ac:dyDescent="0.25">
      <c r="S204" s="2"/>
    </row>
    <row r="205" spans="19:19" x14ac:dyDescent="0.25">
      <c r="S205" s="2"/>
    </row>
    <row r="206" spans="19:19" x14ac:dyDescent="0.25">
      <c r="S206" s="2"/>
    </row>
    <row r="207" spans="19:19" x14ac:dyDescent="0.25">
      <c r="S207" s="2"/>
    </row>
    <row r="208" spans="19:19" x14ac:dyDescent="0.25">
      <c r="S208" s="2"/>
    </row>
    <row r="209" spans="19:19" x14ac:dyDescent="0.25">
      <c r="S209" s="2"/>
    </row>
    <row r="210" spans="19:19" x14ac:dyDescent="0.25">
      <c r="S210" s="2"/>
    </row>
    <row r="211" spans="19:19" x14ac:dyDescent="0.25">
      <c r="S211" s="2"/>
    </row>
    <row r="212" spans="19:19" x14ac:dyDescent="0.25">
      <c r="S212" s="2"/>
    </row>
    <row r="213" spans="19:19" x14ac:dyDescent="0.25">
      <c r="S213" s="2"/>
    </row>
    <row r="214" spans="19:19" x14ac:dyDescent="0.25">
      <c r="S214" s="2"/>
    </row>
    <row r="215" spans="19:19" x14ac:dyDescent="0.25">
      <c r="S215" s="2"/>
    </row>
    <row r="216" spans="19:19" x14ac:dyDescent="0.25">
      <c r="S216" s="2"/>
    </row>
    <row r="217" spans="19:19" x14ac:dyDescent="0.25">
      <c r="S217" s="2"/>
    </row>
    <row r="218" spans="19:19" x14ac:dyDescent="0.25">
      <c r="S218" s="2"/>
    </row>
    <row r="219" spans="19:19" x14ac:dyDescent="0.25">
      <c r="S219" s="2"/>
    </row>
    <row r="220" spans="19:19" x14ac:dyDescent="0.25">
      <c r="S220" s="2"/>
    </row>
    <row r="221" spans="19:19" x14ac:dyDescent="0.25">
      <c r="S221" s="2"/>
    </row>
    <row r="222" spans="19:19" x14ac:dyDescent="0.25">
      <c r="S222" s="2"/>
    </row>
    <row r="223" spans="19:19" x14ac:dyDescent="0.25">
      <c r="S223" s="2"/>
    </row>
    <row r="224" spans="19:19" x14ac:dyDescent="0.25">
      <c r="S224" s="2"/>
    </row>
    <row r="225" spans="19:19" x14ac:dyDescent="0.25">
      <c r="S225" s="2"/>
    </row>
    <row r="226" spans="19:19" x14ac:dyDescent="0.25">
      <c r="S226" s="2"/>
    </row>
    <row r="227" spans="19:19" x14ac:dyDescent="0.25">
      <c r="S227" s="2"/>
    </row>
    <row r="228" spans="19:19" x14ac:dyDescent="0.25">
      <c r="S228" s="2"/>
    </row>
    <row r="229" spans="19:19" x14ac:dyDescent="0.25">
      <c r="S229" s="2"/>
    </row>
    <row r="230" spans="19:19" x14ac:dyDescent="0.25">
      <c r="S230" s="2"/>
    </row>
    <row r="231" spans="19:19" x14ac:dyDescent="0.25">
      <c r="S231" s="2"/>
    </row>
    <row r="232" spans="19:19" x14ac:dyDescent="0.25">
      <c r="S232" s="2"/>
    </row>
    <row r="233" spans="19:19" x14ac:dyDescent="0.25">
      <c r="S233" s="2"/>
    </row>
    <row r="234" spans="19:19" x14ac:dyDescent="0.25">
      <c r="S234" s="2"/>
    </row>
    <row r="235" spans="19:19" x14ac:dyDescent="0.25">
      <c r="S235" s="2"/>
    </row>
    <row r="236" spans="19:19" x14ac:dyDescent="0.25">
      <c r="S236" s="2"/>
    </row>
    <row r="237" spans="19:19" x14ac:dyDescent="0.25">
      <c r="S237" s="2"/>
    </row>
    <row r="238" spans="19:19" x14ac:dyDescent="0.25">
      <c r="S238" s="2"/>
    </row>
    <row r="239" spans="19:19" x14ac:dyDescent="0.25">
      <c r="S239" s="2"/>
    </row>
    <row r="240" spans="19:19" x14ac:dyDescent="0.25">
      <c r="S240" s="2"/>
    </row>
    <row r="241" spans="19:19" x14ac:dyDescent="0.25">
      <c r="S241" s="2"/>
    </row>
    <row r="242" spans="19:19" x14ac:dyDescent="0.25">
      <c r="S242" s="2"/>
    </row>
    <row r="243" spans="19:19" x14ac:dyDescent="0.25">
      <c r="S243" s="2"/>
    </row>
    <row r="244" spans="19:19" x14ac:dyDescent="0.25">
      <c r="S244" s="2"/>
    </row>
    <row r="245" spans="19:19" x14ac:dyDescent="0.25">
      <c r="S245" s="2"/>
    </row>
    <row r="246" spans="19:19" x14ac:dyDescent="0.25">
      <c r="S246" s="2"/>
    </row>
    <row r="247" spans="19:19" x14ac:dyDescent="0.25">
      <c r="S247" s="2"/>
    </row>
    <row r="248" spans="19:19" x14ac:dyDescent="0.25">
      <c r="S248" s="2"/>
    </row>
    <row r="249" spans="19:19" x14ac:dyDescent="0.25">
      <c r="S249" s="2"/>
    </row>
    <row r="250" spans="19:19" x14ac:dyDescent="0.25">
      <c r="S250" s="2"/>
    </row>
    <row r="251" spans="19:19" x14ac:dyDescent="0.25">
      <c r="S251" s="2"/>
    </row>
    <row r="252" spans="19:19" x14ac:dyDescent="0.25">
      <c r="S252" s="2"/>
    </row>
    <row r="253" spans="19:19" x14ac:dyDescent="0.25">
      <c r="S253" s="2"/>
    </row>
    <row r="254" spans="19:19" x14ac:dyDescent="0.25">
      <c r="S254" s="2"/>
    </row>
    <row r="255" spans="19:19" x14ac:dyDescent="0.25">
      <c r="S255" s="2"/>
    </row>
    <row r="256" spans="19:19" x14ac:dyDescent="0.25">
      <c r="S256" s="2"/>
    </row>
    <row r="257" spans="19:19" x14ac:dyDescent="0.25">
      <c r="S257" s="2"/>
    </row>
    <row r="258" spans="19:19" x14ac:dyDescent="0.25">
      <c r="S258" s="2"/>
    </row>
    <row r="259" spans="19:19" x14ac:dyDescent="0.25">
      <c r="S259" s="2"/>
    </row>
    <row r="260" spans="19:19" x14ac:dyDescent="0.25">
      <c r="S260" s="2"/>
    </row>
    <row r="261" spans="19:19" x14ac:dyDescent="0.25">
      <c r="S261" s="2"/>
    </row>
    <row r="262" spans="19:19" x14ac:dyDescent="0.25">
      <c r="S262" s="2"/>
    </row>
    <row r="263" spans="19:19" x14ac:dyDescent="0.25">
      <c r="S263" s="2"/>
    </row>
    <row r="264" spans="19:19" x14ac:dyDescent="0.25">
      <c r="S264" s="2"/>
    </row>
    <row r="265" spans="19:19" x14ac:dyDescent="0.25">
      <c r="S265" s="2"/>
    </row>
    <row r="266" spans="19:19" x14ac:dyDescent="0.25">
      <c r="S266" s="2"/>
    </row>
    <row r="267" spans="19:19" x14ac:dyDescent="0.25">
      <c r="S267" s="2"/>
    </row>
    <row r="268" spans="19:19" x14ac:dyDescent="0.25">
      <c r="S268" s="2"/>
    </row>
    <row r="269" spans="19:19" x14ac:dyDescent="0.25">
      <c r="S269" s="2"/>
    </row>
    <row r="270" spans="19:19" x14ac:dyDescent="0.25">
      <c r="S270" s="2"/>
    </row>
    <row r="271" spans="19:19" x14ac:dyDescent="0.25">
      <c r="S271" s="2"/>
    </row>
    <row r="272" spans="19:19" x14ac:dyDescent="0.25">
      <c r="S272" s="2"/>
    </row>
    <row r="273" spans="19:19" x14ac:dyDescent="0.25">
      <c r="S273" s="2"/>
    </row>
    <row r="274" spans="19:19" x14ac:dyDescent="0.25">
      <c r="S274" s="2"/>
    </row>
    <row r="275" spans="19:19" x14ac:dyDescent="0.25">
      <c r="S275" s="2"/>
    </row>
    <row r="276" spans="19:19" x14ac:dyDescent="0.25">
      <c r="S276" s="2"/>
    </row>
    <row r="277" spans="19:19" x14ac:dyDescent="0.25">
      <c r="S277" s="2"/>
    </row>
    <row r="278" spans="19:19" x14ac:dyDescent="0.25">
      <c r="S278" s="2"/>
    </row>
    <row r="279" spans="19:19" x14ac:dyDescent="0.25">
      <c r="S279" s="2"/>
    </row>
    <row r="280" spans="19:19" x14ac:dyDescent="0.25">
      <c r="S280" s="2"/>
    </row>
    <row r="281" spans="19:19" x14ac:dyDescent="0.25">
      <c r="S281" s="2"/>
    </row>
    <row r="282" spans="19:19" x14ac:dyDescent="0.25">
      <c r="S282" s="2"/>
    </row>
    <row r="283" spans="19:19" x14ac:dyDescent="0.25">
      <c r="S283" s="2"/>
    </row>
    <row r="284" spans="19:19" x14ac:dyDescent="0.25">
      <c r="S284" s="2"/>
    </row>
    <row r="285" spans="19:19" x14ac:dyDescent="0.25">
      <c r="S285" s="2"/>
    </row>
    <row r="286" spans="19:19" x14ac:dyDescent="0.25">
      <c r="S286" s="2"/>
    </row>
    <row r="287" spans="19:19" x14ac:dyDescent="0.25">
      <c r="S287" s="2"/>
    </row>
    <row r="288" spans="19:19" x14ac:dyDescent="0.25">
      <c r="S288" s="2"/>
    </row>
    <row r="289" spans="19:19" x14ac:dyDescent="0.25">
      <c r="S289" s="2"/>
    </row>
    <row r="290" spans="19:19" x14ac:dyDescent="0.25">
      <c r="S290" s="2"/>
    </row>
    <row r="291" spans="19:19" x14ac:dyDescent="0.25">
      <c r="S291" s="2"/>
    </row>
    <row r="292" spans="19:19" x14ac:dyDescent="0.25">
      <c r="S292" s="2"/>
    </row>
    <row r="293" spans="19:19" x14ac:dyDescent="0.25">
      <c r="S293" s="2"/>
    </row>
    <row r="294" spans="19:19" x14ac:dyDescent="0.25">
      <c r="S294" s="2"/>
    </row>
    <row r="295" spans="19:19" x14ac:dyDescent="0.25">
      <c r="S295" s="2"/>
    </row>
  </sheetData>
  <mergeCells count="1">
    <mergeCell ref="A57:O59"/>
  </mergeCells>
  <printOptions horizontalCentered="1" verticalCentered="1"/>
  <pageMargins left="0.75" right="0.75" top="1" bottom="1" header="0.5" footer="0.5"/>
  <pageSetup scale="63"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D665-B7FA-421D-B043-D15380B7B57E}">
  <sheetPr>
    <pageSetUpPr fitToPage="1"/>
  </sheetPr>
  <dimension ref="A1:AB468"/>
  <sheetViews>
    <sheetView zoomScale="98" zoomScaleNormal="98" workbookViewId="0"/>
  </sheetViews>
  <sheetFormatPr defaultRowHeight="13.2" x14ac:dyDescent="0.25"/>
  <cols>
    <col min="3" max="3" width="15.5546875" customWidth="1"/>
    <col min="16" max="16" width="21" bestFit="1" customWidth="1"/>
    <col min="23" max="23" width="10.5546875" customWidth="1"/>
  </cols>
  <sheetData>
    <row r="1" spans="16:28" ht="38.25" customHeight="1" x14ac:dyDescent="0.25">
      <c r="P1" t="s">
        <v>198</v>
      </c>
      <c r="Q1" t="s">
        <v>0</v>
      </c>
      <c r="R1" t="s">
        <v>53</v>
      </c>
      <c r="S1" s="9" t="s">
        <v>58</v>
      </c>
      <c r="T1" s="9" t="s">
        <v>232</v>
      </c>
      <c r="U1" t="s">
        <v>43</v>
      </c>
      <c r="V1" s="9" t="s">
        <v>59</v>
      </c>
      <c r="W1" s="9"/>
      <c r="X1" s="9"/>
      <c r="Y1" s="9"/>
      <c r="Z1" s="9"/>
      <c r="AA1" s="9"/>
      <c r="AB1" s="9"/>
    </row>
    <row r="2" spans="16:28" ht="13.5" customHeight="1" x14ac:dyDescent="0.25">
      <c r="Q2" s="20">
        <v>2015</v>
      </c>
      <c r="R2">
        <v>0.3143438994884491</v>
      </c>
      <c r="S2">
        <v>0.51909637451171875</v>
      </c>
      <c r="T2">
        <v>0.31249585747718811</v>
      </c>
      <c r="V2">
        <v>1393</v>
      </c>
    </row>
    <row r="3" spans="16:28" ht="13.5" customHeight="1" x14ac:dyDescent="0.25">
      <c r="Q3" s="20">
        <v>2016</v>
      </c>
      <c r="R3">
        <v>0.3008275032043457</v>
      </c>
      <c r="S3">
        <v>0.51310032606124878</v>
      </c>
      <c r="T3">
        <v>0.2932407557964325</v>
      </c>
      <c r="U3">
        <v>0.23226702213287354</v>
      </c>
      <c r="V3">
        <v>1551</v>
      </c>
    </row>
    <row r="4" spans="16:28" ht="13.5" customHeight="1" x14ac:dyDescent="0.25">
      <c r="Q4" s="4">
        <v>2017</v>
      </c>
      <c r="R4">
        <v>0.26401117444038391</v>
      </c>
      <c r="S4">
        <v>0.49455887079238892</v>
      </c>
      <c r="T4">
        <v>0.28583446145057678</v>
      </c>
      <c r="U4">
        <v>0.21567247807979584</v>
      </c>
      <c r="V4">
        <v>2880</v>
      </c>
    </row>
    <row r="5" spans="16:28" ht="13.5" customHeight="1" x14ac:dyDescent="0.25">
      <c r="Q5" s="4">
        <v>2018</v>
      </c>
      <c r="R5">
        <v>0.25384971499443054</v>
      </c>
      <c r="S5">
        <v>0.48536372184753418</v>
      </c>
      <c r="T5">
        <v>0.29730644822120667</v>
      </c>
      <c r="U5">
        <v>0.17365802824497223</v>
      </c>
      <c r="V5">
        <v>2749</v>
      </c>
    </row>
    <row r="6" spans="16:28" ht="13.5" customHeight="1" x14ac:dyDescent="0.25">
      <c r="Q6" s="4">
        <v>2019</v>
      </c>
      <c r="R6">
        <v>0.2460891455411911</v>
      </c>
      <c r="S6">
        <v>0.46677157282829285</v>
      </c>
      <c r="T6">
        <v>0.29230329394340515</v>
      </c>
      <c r="U6">
        <v>0.16243742406368256</v>
      </c>
      <c r="V6">
        <v>2688</v>
      </c>
    </row>
    <row r="7" spans="16:28" ht="13.5" customHeight="1" x14ac:dyDescent="0.25">
      <c r="Q7" s="4">
        <v>2020</v>
      </c>
      <c r="R7">
        <v>0.24950988590717316</v>
      </c>
      <c r="S7">
        <v>0.44631654024124146</v>
      </c>
      <c r="T7">
        <v>0.29676532745361328</v>
      </c>
      <c r="U7">
        <v>0.1613425612449646</v>
      </c>
      <c r="V7">
        <v>2893</v>
      </c>
    </row>
    <row r="8" spans="16:28" ht="13.5" customHeight="1" x14ac:dyDescent="0.25">
      <c r="Q8" s="4">
        <v>2021</v>
      </c>
      <c r="R8">
        <v>0.22273409366607666</v>
      </c>
      <c r="S8">
        <v>0.40876695513725281</v>
      </c>
      <c r="T8">
        <v>0.26753753423690796</v>
      </c>
      <c r="U8">
        <v>0.13997559249401093</v>
      </c>
      <c r="V8">
        <v>2972</v>
      </c>
    </row>
    <row r="9" spans="16:28" ht="13.5" customHeight="1" x14ac:dyDescent="0.25">
      <c r="Q9" s="4">
        <v>2022</v>
      </c>
      <c r="R9">
        <v>0.26864519715309143</v>
      </c>
      <c r="S9">
        <v>0.45916798710823059</v>
      </c>
      <c r="T9">
        <v>0.29851579666137695</v>
      </c>
      <c r="U9">
        <v>0.1842445582151413</v>
      </c>
      <c r="V9">
        <v>3044</v>
      </c>
    </row>
    <row r="10" spans="16:28" ht="13.5" customHeight="1" x14ac:dyDescent="0.25">
      <c r="Q10" s="4">
        <v>2023</v>
      </c>
      <c r="R10">
        <v>0.27811133861541748</v>
      </c>
      <c r="S10">
        <v>0.46173611283302307</v>
      </c>
      <c r="T10">
        <v>0.30934476852416992</v>
      </c>
    </row>
    <row r="11" spans="16:28" ht="13.5" customHeight="1" x14ac:dyDescent="0.25">
      <c r="Q11" s="4" t="s">
        <v>154</v>
      </c>
      <c r="R11">
        <f>+R7-R6</f>
        <v>3.4207403659820557E-3</v>
      </c>
      <c r="S11">
        <f>+S7-S6</f>
        <v>-2.0455032587051392E-2</v>
      </c>
      <c r="T11">
        <f>+T7-T6</f>
        <v>4.4620335102081299E-3</v>
      </c>
      <c r="U11">
        <f>+U7-U6</f>
        <v>-1.0948628187179565E-3</v>
      </c>
    </row>
    <row r="12" spans="16:28" ht="13.5" customHeight="1" x14ac:dyDescent="0.25">
      <c r="P12" t="s">
        <v>120</v>
      </c>
      <c r="Q12" s="4" t="s">
        <v>119</v>
      </c>
      <c r="R12" s="58">
        <f>+R9-R8</f>
        <v>4.5911103487014771E-2</v>
      </c>
      <c r="S12" s="58">
        <f>+S9-S8</f>
        <v>5.0401031970977783E-2</v>
      </c>
      <c r="T12" s="58">
        <f>+T9-T8</f>
        <v>3.0978262424468994E-2</v>
      </c>
      <c r="U12" s="58">
        <f>+U9-U8</f>
        <v>4.4268965721130371E-2</v>
      </c>
    </row>
    <row r="13" spans="16:28" ht="13.5" customHeight="1" x14ac:dyDescent="0.25">
      <c r="P13" t="s">
        <v>121</v>
      </c>
      <c r="Q13" s="4" t="s">
        <v>119</v>
      </c>
      <c r="R13" s="58">
        <f>+R9/R8-1</f>
        <v>0.20612517253799845</v>
      </c>
      <c r="S13" s="58">
        <f>+S9/S8-1</f>
        <v>0.1233001624459944</v>
      </c>
      <c r="T13" s="58">
        <f>+T9/T8-1</f>
        <v>0.11579034139201316</v>
      </c>
      <c r="U13" s="58">
        <f>+U9/U8-1</f>
        <v>0.31626203491886984</v>
      </c>
    </row>
    <row r="14" spans="16:28" ht="13.5" customHeight="1" x14ac:dyDescent="0.25">
      <c r="Q14" s="4"/>
      <c r="R14" s="7"/>
    </row>
    <row r="15" spans="16:28" ht="13.5" customHeight="1" x14ac:dyDescent="0.25">
      <c r="Q15" s="4"/>
      <c r="R15" s="7"/>
    </row>
    <row r="16" spans="16:28" ht="13.5" customHeight="1" x14ac:dyDescent="0.25">
      <c r="P16" t="s">
        <v>121</v>
      </c>
      <c r="Q16" s="4" t="s">
        <v>154</v>
      </c>
      <c r="R16" s="7">
        <f>+R11/R6</f>
        <v>1.3900411407659923E-2</v>
      </c>
    </row>
    <row r="17" spans="16:22" ht="13.5" customHeight="1" x14ac:dyDescent="0.25">
      <c r="Q17" s="4"/>
      <c r="R17" s="7"/>
    </row>
    <row r="18" spans="16:22" ht="13.5" customHeight="1" x14ac:dyDescent="0.25">
      <c r="P18" t="s">
        <v>200</v>
      </c>
      <c r="Q18" t="s">
        <v>0</v>
      </c>
      <c r="R18" t="s">
        <v>53</v>
      </c>
      <c r="S18" s="9" t="s">
        <v>58</v>
      </c>
      <c r="T18" s="9" t="s">
        <v>60</v>
      </c>
      <c r="U18" t="s">
        <v>43</v>
      </c>
    </row>
    <row r="19" spans="16:22" ht="13.5" customHeight="1" x14ac:dyDescent="0.25">
      <c r="Q19" s="20">
        <v>2015</v>
      </c>
      <c r="R19">
        <v>0.38065317273139954</v>
      </c>
      <c r="S19">
        <v>0.62497782707214355</v>
      </c>
      <c r="T19">
        <v>0.42009192705154419</v>
      </c>
      <c r="V19">
        <v>527</v>
      </c>
    </row>
    <row r="20" spans="16:22" ht="13.5" customHeight="1" x14ac:dyDescent="0.25">
      <c r="Q20" s="20">
        <v>2016</v>
      </c>
      <c r="R20">
        <v>0.39422354102134705</v>
      </c>
      <c r="S20">
        <v>0.62714642286300659</v>
      </c>
      <c r="T20">
        <v>0.41278457641601563</v>
      </c>
      <c r="U20">
        <v>0.30633670091629028</v>
      </c>
      <c r="V20">
        <v>535</v>
      </c>
    </row>
    <row r="21" spans="16:22" ht="13.5" customHeight="1" x14ac:dyDescent="0.25">
      <c r="Q21" s="4">
        <v>2017</v>
      </c>
      <c r="R21">
        <v>0.34067997336387634</v>
      </c>
      <c r="S21">
        <v>0.60699033737182617</v>
      </c>
      <c r="T21">
        <v>0.4016585648059845</v>
      </c>
      <c r="U21">
        <v>0.28618869185447693</v>
      </c>
      <c r="V21">
        <v>785</v>
      </c>
    </row>
    <row r="22" spans="16:22" ht="13.5" customHeight="1" x14ac:dyDescent="0.25">
      <c r="Q22" s="4">
        <v>2018</v>
      </c>
      <c r="R22">
        <v>0.36312782764434814</v>
      </c>
      <c r="S22">
        <v>0.63181090354919434</v>
      </c>
      <c r="T22">
        <v>0.43897163867950439</v>
      </c>
      <c r="U22">
        <v>0.24947045743465424</v>
      </c>
      <c r="V22">
        <v>785</v>
      </c>
    </row>
    <row r="23" spans="16:22" ht="13.5" customHeight="1" x14ac:dyDescent="0.25">
      <c r="Q23" s="4">
        <v>2019</v>
      </c>
      <c r="R23">
        <v>0.35538339614868164</v>
      </c>
      <c r="S23">
        <v>0.61254501342773438</v>
      </c>
      <c r="T23">
        <v>0.43781226873397827</v>
      </c>
      <c r="U23">
        <v>0.2352089136838913</v>
      </c>
      <c r="V23">
        <v>709</v>
      </c>
    </row>
    <row r="24" spans="16:22" ht="13.5" customHeight="1" x14ac:dyDescent="0.25">
      <c r="Q24" s="4">
        <v>2020</v>
      </c>
      <c r="R24">
        <v>0.37223708629608154</v>
      </c>
      <c r="S24">
        <v>0.60342156887054443</v>
      </c>
      <c r="T24">
        <v>0.45419976115226746</v>
      </c>
      <c r="U24">
        <v>0.2459176778793335</v>
      </c>
      <c r="V24">
        <v>876</v>
      </c>
    </row>
    <row r="25" spans="16:22" ht="13.5" customHeight="1" x14ac:dyDescent="0.25">
      <c r="Q25" s="4">
        <v>2021</v>
      </c>
      <c r="R25">
        <v>0.33414658904075623</v>
      </c>
      <c r="S25">
        <v>0.55845463275909424</v>
      </c>
      <c r="T25">
        <v>0.41215786337852478</v>
      </c>
      <c r="U25">
        <v>0.21163967251777649</v>
      </c>
      <c r="V25">
        <v>812</v>
      </c>
    </row>
    <row r="26" spans="16:22" ht="13.5" customHeight="1" x14ac:dyDescent="0.25">
      <c r="Q26" s="4">
        <v>2022</v>
      </c>
      <c r="R26">
        <v>0.39460599422454834</v>
      </c>
      <c r="S26">
        <v>0.62421774864196777</v>
      </c>
      <c r="T26">
        <v>0.45371308922767639</v>
      </c>
      <c r="U26">
        <v>0.26811721920967102</v>
      </c>
      <c r="V26">
        <v>864</v>
      </c>
    </row>
    <row r="27" spans="16:22" ht="13.5" customHeight="1" x14ac:dyDescent="0.25">
      <c r="Q27" s="4">
        <v>2023</v>
      </c>
      <c r="R27">
        <v>0.40681630373001099</v>
      </c>
      <c r="S27">
        <v>0.63529187440872192</v>
      </c>
      <c r="T27">
        <v>0.47301152348518372</v>
      </c>
    </row>
    <row r="28" spans="16:22" ht="13.5" customHeight="1" x14ac:dyDescent="0.25"/>
    <row r="29" spans="16:22" ht="13.5" customHeight="1" x14ac:dyDescent="0.25"/>
    <row r="30" spans="16:22" ht="13.5" customHeight="1" x14ac:dyDescent="0.25"/>
    <row r="31" spans="16:22" ht="13.5" customHeight="1" x14ac:dyDescent="0.25"/>
    <row r="32" spans="16:22" ht="13.5" customHeight="1" x14ac:dyDescent="0.25"/>
    <row r="33" spans="16:23" ht="13.5" customHeight="1" x14ac:dyDescent="0.25"/>
    <row r="34" spans="16:23" ht="13.5" customHeight="1" x14ac:dyDescent="0.25"/>
    <row r="35" spans="16:23" ht="13.5" customHeight="1" x14ac:dyDescent="0.25">
      <c r="P35" t="s">
        <v>201</v>
      </c>
      <c r="Q35" t="s">
        <v>0</v>
      </c>
      <c r="R35" t="s">
        <v>53</v>
      </c>
      <c r="S35" s="9" t="s">
        <v>58</v>
      </c>
      <c r="T35" s="9" t="s">
        <v>60</v>
      </c>
      <c r="U35" t="s">
        <v>43</v>
      </c>
      <c r="V35" s="9" t="s">
        <v>59</v>
      </c>
      <c r="W35" s="9"/>
    </row>
    <row r="36" spans="16:23" ht="13.5" customHeight="1" x14ac:dyDescent="0.25">
      <c r="Q36" s="20">
        <v>2015</v>
      </c>
      <c r="R36">
        <v>0.34887686371803284</v>
      </c>
      <c r="S36">
        <v>0.60234683752059937</v>
      </c>
      <c r="T36">
        <v>0.37995830178260803</v>
      </c>
      <c r="V36">
        <v>1393</v>
      </c>
    </row>
    <row r="37" spans="16:23" ht="13.5" customHeight="1" x14ac:dyDescent="0.25">
      <c r="Q37" s="20">
        <v>2016</v>
      </c>
      <c r="R37">
        <v>0.33326193690299988</v>
      </c>
      <c r="S37">
        <v>0.61112546920776367</v>
      </c>
      <c r="T37">
        <v>0.37412971258163452</v>
      </c>
      <c r="U37">
        <v>0.29008632898330688</v>
      </c>
      <c r="V37">
        <v>1551</v>
      </c>
    </row>
    <row r="38" spans="16:23" ht="13.5" customHeight="1" x14ac:dyDescent="0.25">
      <c r="Q38" s="4">
        <v>2017</v>
      </c>
      <c r="R38">
        <v>0.30412426590919495</v>
      </c>
      <c r="S38">
        <v>0.59921932220458984</v>
      </c>
      <c r="T38">
        <v>0.36588782072067261</v>
      </c>
      <c r="U38">
        <v>0.26671165227890015</v>
      </c>
      <c r="V38">
        <v>2880</v>
      </c>
    </row>
    <row r="39" spans="16:23" ht="13.5" customHeight="1" x14ac:dyDescent="0.25">
      <c r="Q39" s="4">
        <v>2018</v>
      </c>
      <c r="R39">
        <v>0.30012381076812744</v>
      </c>
      <c r="S39">
        <v>0.59296143054962158</v>
      </c>
      <c r="T39">
        <v>0.37957122921943665</v>
      </c>
      <c r="U39">
        <v>0.22372046113014221</v>
      </c>
      <c r="V39">
        <v>2749</v>
      </c>
    </row>
    <row r="40" spans="16:23" ht="13.5" customHeight="1" x14ac:dyDescent="0.25">
      <c r="Q40" s="4">
        <v>2019</v>
      </c>
      <c r="R40">
        <v>0.27980178594589233</v>
      </c>
      <c r="S40">
        <v>0.56874352693557739</v>
      </c>
      <c r="T40">
        <v>0.37498128414154053</v>
      </c>
      <c r="U40">
        <v>0.21132487058639526</v>
      </c>
      <c r="V40">
        <v>2688</v>
      </c>
    </row>
    <row r="41" spans="16:23" ht="13.5" customHeight="1" x14ac:dyDescent="0.25">
      <c r="Q41" s="4">
        <v>2020</v>
      </c>
      <c r="R41">
        <v>0.31911960244178772</v>
      </c>
      <c r="S41">
        <v>0.55395364761352539</v>
      </c>
      <c r="T41">
        <v>0.39567172527313232</v>
      </c>
      <c r="U41">
        <v>0.22889667749404907</v>
      </c>
      <c r="V41">
        <v>2893</v>
      </c>
    </row>
    <row r="42" spans="16:23" ht="13.5" customHeight="1" x14ac:dyDescent="0.25">
      <c r="Q42" s="4">
        <v>2021</v>
      </c>
      <c r="R42">
        <v>0.2630009651184082</v>
      </c>
      <c r="S42">
        <v>0.48808196187019348</v>
      </c>
      <c r="T42">
        <v>0.34174069762229919</v>
      </c>
      <c r="U42">
        <v>0.18487894535064697</v>
      </c>
      <c r="V42">
        <v>2972</v>
      </c>
    </row>
    <row r="43" spans="16:23" ht="13.5" customHeight="1" x14ac:dyDescent="0.25">
      <c r="Q43" s="4">
        <v>2022</v>
      </c>
      <c r="R43">
        <v>0.31232756376266479</v>
      </c>
      <c r="S43">
        <v>0.54094064235687256</v>
      </c>
      <c r="T43">
        <v>0.36541751027107239</v>
      </c>
      <c r="U43">
        <v>0.2421690970659256</v>
      </c>
      <c r="V43">
        <v>3044</v>
      </c>
    </row>
    <row r="44" spans="16:23" ht="13.5" customHeight="1" x14ac:dyDescent="0.25">
      <c r="Q44" s="4">
        <v>2023</v>
      </c>
      <c r="R44">
        <v>0.35740706324577332</v>
      </c>
      <c r="S44">
        <v>0.55782997608184814</v>
      </c>
      <c r="T44">
        <v>0.40392890572547913</v>
      </c>
    </row>
    <row r="45" spans="16:23" ht="13.5" customHeight="1" x14ac:dyDescent="0.25">
      <c r="Q45" s="4" t="s">
        <v>154</v>
      </c>
      <c r="R45">
        <f>+R41-R40</f>
        <v>3.9317816495895386E-2</v>
      </c>
      <c r="S45">
        <f>+S41-S40</f>
        <v>-1.4789879322052002E-2</v>
      </c>
      <c r="T45">
        <f>+T41-T40</f>
        <v>2.0690441131591797E-2</v>
      </c>
      <c r="U45">
        <f>+U41-U40</f>
        <v>1.7571806907653809E-2</v>
      </c>
    </row>
    <row r="46" spans="16:23" ht="13.5" customHeight="1" x14ac:dyDescent="0.25">
      <c r="P46" t="s">
        <v>120</v>
      </c>
      <c r="Q46" s="4" t="s">
        <v>119</v>
      </c>
      <c r="R46" s="58">
        <f>+R43-R42</f>
        <v>4.9326598644256592E-2</v>
      </c>
      <c r="S46" s="58">
        <f>+S43-S42</f>
        <v>5.2858680486679077E-2</v>
      </c>
      <c r="T46" s="58">
        <f>+T43-T42</f>
        <v>2.3676812648773193E-2</v>
      </c>
      <c r="U46" s="58">
        <f>+U43-U42</f>
        <v>5.7290151715278625E-2</v>
      </c>
    </row>
    <row r="47" spans="16:23" ht="13.5" customHeight="1" x14ac:dyDescent="0.25">
      <c r="P47" t="s">
        <v>121</v>
      </c>
      <c r="Q47" s="4" t="s">
        <v>119</v>
      </c>
      <c r="R47" s="58">
        <f>+R43/R42-1</f>
        <v>0.18755291875848745</v>
      </c>
      <c r="S47" s="58">
        <f>+S43/S42-1</f>
        <v>0.10829877892667739</v>
      </c>
      <c r="T47" s="58">
        <f>+T43/T42-1</f>
        <v>6.9282976284379849E-2</v>
      </c>
      <c r="U47" s="58">
        <f>+U43/U42-1</f>
        <v>0.30987926508678632</v>
      </c>
    </row>
    <row r="48" spans="16:23" ht="13.5" customHeight="1" x14ac:dyDescent="0.25">
      <c r="Q48" s="4"/>
      <c r="R48" s="7"/>
    </row>
    <row r="49" spans="16:22" ht="13.5" customHeight="1" x14ac:dyDescent="0.25">
      <c r="Q49" s="4"/>
      <c r="R49" s="7"/>
    </row>
    <row r="50" spans="16:22" ht="13.5" customHeight="1" x14ac:dyDescent="0.25">
      <c r="P50" t="s">
        <v>121</v>
      </c>
      <c r="Q50" s="4" t="s">
        <v>154</v>
      </c>
      <c r="R50" s="7">
        <f>+R45/R40</f>
        <v>0.14052024851442016</v>
      </c>
    </row>
    <row r="51" spans="16:22" ht="13.5" customHeight="1" x14ac:dyDescent="0.25">
      <c r="Q51" s="4"/>
      <c r="R51" s="7"/>
    </row>
    <row r="52" spans="16:22" ht="13.5" customHeight="1" x14ac:dyDescent="0.25">
      <c r="P52" t="s">
        <v>202</v>
      </c>
      <c r="Q52" t="s">
        <v>0</v>
      </c>
      <c r="R52" t="s">
        <v>53</v>
      </c>
      <c r="S52" s="9" t="s">
        <v>58</v>
      </c>
      <c r="T52" s="9" t="s">
        <v>60</v>
      </c>
      <c r="U52" t="s">
        <v>43</v>
      </c>
    </row>
    <row r="53" spans="16:22" ht="13.5" customHeight="1" x14ac:dyDescent="0.25">
      <c r="Q53" s="20">
        <v>2015</v>
      </c>
      <c r="R53">
        <v>0.42928659915924072</v>
      </c>
      <c r="S53">
        <v>0.72191923856735229</v>
      </c>
      <c r="T53">
        <v>0.52781850099563599</v>
      </c>
      <c r="V53">
        <v>527</v>
      </c>
    </row>
    <row r="54" spans="16:22" ht="13.5" customHeight="1" x14ac:dyDescent="0.25">
      <c r="Q54" s="20">
        <v>2016</v>
      </c>
      <c r="R54">
        <v>0.42220368981361389</v>
      </c>
      <c r="S54">
        <v>0.74694573879241943</v>
      </c>
      <c r="T54">
        <v>0.52413725852966309</v>
      </c>
      <c r="U54">
        <v>0.39363321661949158</v>
      </c>
      <c r="V54">
        <v>535</v>
      </c>
    </row>
    <row r="55" spans="16:22" ht="13.5" customHeight="1" x14ac:dyDescent="0.25">
      <c r="Q55" s="4">
        <v>2017</v>
      </c>
      <c r="R55">
        <v>0.41501381993293762</v>
      </c>
      <c r="S55">
        <v>0.75209742784500122</v>
      </c>
      <c r="T55">
        <v>0.54670780897140503</v>
      </c>
      <c r="U55">
        <v>0.37616550922393799</v>
      </c>
      <c r="V55">
        <v>785</v>
      </c>
    </row>
    <row r="56" spans="16:22" ht="13.5" customHeight="1" x14ac:dyDescent="0.25">
      <c r="Q56" s="4">
        <v>2018</v>
      </c>
      <c r="R56">
        <v>0.4034726619720459</v>
      </c>
      <c r="S56">
        <v>0.75413590669631958</v>
      </c>
      <c r="T56">
        <v>0.52482539415359497</v>
      </c>
      <c r="U56">
        <v>0.32200360298156738</v>
      </c>
      <c r="V56">
        <v>785</v>
      </c>
    </row>
    <row r="57" spans="16:22" ht="13.5" customHeight="1" x14ac:dyDescent="0.25">
      <c r="Q57" s="4">
        <v>2019</v>
      </c>
      <c r="R57">
        <v>0.41077384352684021</v>
      </c>
      <c r="S57">
        <v>0.74642759561538696</v>
      </c>
      <c r="T57">
        <v>0.55385321378707886</v>
      </c>
      <c r="U57">
        <v>0.31464698910713196</v>
      </c>
      <c r="V57">
        <v>709</v>
      </c>
    </row>
    <row r="58" spans="16:22" ht="13.5" customHeight="1" x14ac:dyDescent="0.25">
      <c r="Q58" s="4">
        <v>2020</v>
      </c>
      <c r="R58">
        <v>0.45474803447723389</v>
      </c>
      <c r="S58">
        <v>0.74167758226394653</v>
      </c>
      <c r="T58">
        <v>0.58192586898803711</v>
      </c>
      <c r="U58">
        <v>0.34356823563575745</v>
      </c>
      <c r="V58">
        <v>876</v>
      </c>
    </row>
    <row r="59" spans="16:22" ht="13.5" customHeight="1" x14ac:dyDescent="0.25">
      <c r="Q59" s="4">
        <v>2021</v>
      </c>
      <c r="R59">
        <v>0.40139195322990417</v>
      </c>
      <c r="S59">
        <v>0.66853606700897217</v>
      </c>
      <c r="T59">
        <v>0.52222639322280884</v>
      </c>
      <c r="U59">
        <v>0.29337355494499207</v>
      </c>
      <c r="V59">
        <v>812</v>
      </c>
    </row>
    <row r="60" spans="16:22" ht="13.5" customHeight="1" x14ac:dyDescent="0.25">
      <c r="Q60" s="4">
        <v>2022</v>
      </c>
      <c r="R60">
        <v>0.44016435742378235</v>
      </c>
      <c r="S60">
        <v>0.71357846260070801</v>
      </c>
      <c r="T60">
        <v>0.53023445606231689</v>
      </c>
      <c r="U60">
        <v>0.34263315796852112</v>
      </c>
      <c r="V60">
        <v>864</v>
      </c>
    </row>
    <row r="61" spans="16:22" ht="13.5" customHeight="1" x14ac:dyDescent="0.25">
      <c r="Q61" s="4">
        <v>2023</v>
      </c>
      <c r="R61">
        <v>0.48928698897361755</v>
      </c>
      <c r="S61">
        <v>0.74823826551437378</v>
      </c>
      <c r="T61">
        <v>0.58912789821624756</v>
      </c>
    </row>
    <row r="62" spans="16:22" ht="13.5" customHeight="1" x14ac:dyDescent="0.25"/>
    <row r="63" spans="16:22" ht="13.5" customHeight="1" x14ac:dyDescent="0.25"/>
    <row r="64" spans="16:22" ht="13.5" customHeight="1" x14ac:dyDescent="0.25"/>
    <row r="65" spans="1:23" ht="13.5" customHeight="1" x14ac:dyDescent="0.25"/>
    <row r="66" spans="1:23" ht="13.5" customHeight="1" x14ac:dyDescent="0.25"/>
    <row r="67" spans="1:23" ht="13.5" customHeight="1" x14ac:dyDescent="0.25">
      <c r="A67" s="154" t="s">
        <v>290</v>
      </c>
      <c r="B67" s="154"/>
      <c r="C67" s="154"/>
      <c r="D67" s="154"/>
      <c r="E67" s="154"/>
      <c r="F67" s="154"/>
      <c r="G67" s="154"/>
      <c r="H67" s="154"/>
      <c r="I67" s="154"/>
      <c r="J67" s="154"/>
      <c r="K67" s="154"/>
      <c r="L67" s="154"/>
      <c r="M67" s="154"/>
      <c r="N67" s="154"/>
      <c r="O67" s="154"/>
    </row>
    <row r="68" spans="1:23" ht="13.5" customHeight="1" x14ac:dyDescent="0.25">
      <c r="A68" s="154"/>
      <c r="B68" s="154"/>
      <c r="C68" s="154"/>
      <c r="D68" s="154"/>
      <c r="E68" s="154"/>
      <c r="F68" s="154"/>
      <c r="G68" s="154"/>
      <c r="H68" s="154"/>
      <c r="I68" s="154"/>
      <c r="J68" s="154"/>
      <c r="K68" s="154"/>
      <c r="L68" s="154"/>
      <c r="M68" s="154"/>
      <c r="N68" s="154"/>
      <c r="O68" s="154"/>
    </row>
    <row r="69" spans="1:23" ht="13.5" customHeight="1" x14ac:dyDescent="0.25">
      <c r="A69" s="154"/>
      <c r="B69" s="154"/>
      <c r="C69" s="154"/>
      <c r="D69" s="154"/>
      <c r="E69" s="154"/>
      <c r="F69" s="154"/>
      <c r="G69" s="154"/>
      <c r="H69" s="154"/>
      <c r="I69" s="154"/>
      <c r="J69" s="154"/>
      <c r="K69" s="154"/>
      <c r="L69" s="154"/>
      <c r="M69" s="154"/>
      <c r="N69" s="154"/>
      <c r="O69" s="154"/>
    </row>
    <row r="70" spans="1:23" ht="25.05" customHeight="1" x14ac:dyDescent="0.25"/>
    <row r="71" spans="1:23" ht="16.5" customHeight="1" x14ac:dyDescent="0.25">
      <c r="P71" t="s">
        <v>203</v>
      </c>
      <c r="Q71" t="s">
        <v>0</v>
      </c>
      <c r="R71" t="s">
        <v>53</v>
      </c>
      <c r="S71" s="9" t="s">
        <v>58</v>
      </c>
      <c r="T71" s="9" t="s">
        <v>60</v>
      </c>
      <c r="U71" t="s">
        <v>43</v>
      </c>
      <c r="V71" s="9" t="s">
        <v>59</v>
      </c>
    </row>
    <row r="72" spans="1:23" ht="16.5" customHeight="1" x14ac:dyDescent="0.25">
      <c r="Q72" s="20">
        <v>2015</v>
      </c>
      <c r="R72">
        <v>0.29953655600547791</v>
      </c>
      <c r="S72">
        <v>0.48339954018592834</v>
      </c>
      <c r="T72">
        <v>0.28356879949569702</v>
      </c>
      <c r="V72">
        <v>4249</v>
      </c>
    </row>
    <row r="73" spans="1:23" ht="16.5" customHeight="1" x14ac:dyDescent="0.25">
      <c r="Q73" s="20">
        <v>2016</v>
      </c>
      <c r="R73">
        <v>0.28683459758758545</v>
      </c>
      <c r="S73">
        <v>0.47081011533737183</v>
      </c>
      <c r="T73">
        <v>0.25834351778030396</v>
      </c>
      <c r="U73">
        <v>0.20732250809669495</v>
      </c>
      <c r="V73">
        <v>5059</v>
      </c>
    </row>
    <row r="74" spans="1:23" ht="16.5" customHeight="1" x14ac:dyDescent="0.25">
      <c r="Q74" s="4">
        <v>2017</v>
      </c>
      <c r="R74">
        <v>0.2474457174539566</v>
      </c>
      <c r="S74">
        <v>0.45133733749389648</v>
      </c>
      <c r="T74">
        <v>0.2527749240398407</v>
      </c>
      <c r="U74">
        <v>0.1945948600769043</v>
      </c>
      <c r="V74">
        <v>9567</v>
      </c>
    </row>
    <row r="75" spans="1:23" ht="16.5" customHeight="1" x14ac:dyDescent="0.25">
      <c r="Q75" s="4">
        <v>2018</v>
      </c>
      <c r="R75">
        <v>0.23365786671638489</v>
      </c>
      <c r="S75">
        <v>0.43841308355331421</v>
      </c>
      <c r="T75">
        <v>0.26140990853309631</v>
      </c>
      <c r="U75">
        <v>0.1518130898475647</v>
      </c>
      <c r="V75">
        <v>8567</v>
      </c>
    </row>
    <row r="76" spans="1:23" ht="16.5" customHeight="1" x14ac:dyDescent="0.25">
      <c r="Q76" s="4">
        <v>2019</v>
      </c>
      <c r="R76">
        <v>0.23477686941623688</v>
      </c>
      <c r="S76">
        <v>0.43255490064620972</v>
      </c>
      <c r="T76">
        <v>0.26456072926521301</v>
      </c>
      <c r="U76">
        <v>0.14603325724601746</v>
      </c>
      <c r="V76">
        <v>9485</v>
      </c>
      <c r="W76" s="9"/>
    </row>
    <row r="77" spans="1:23" ht="16.5" customHeight="1" x14ac:dyDescent="0.25">
      <c r="Q77" s="4">
        <v>2020</v>
      </c>
      <c r="R77">
        <v>0.2226957231760025</v>
      </c>
      <c r="S77">
        <v>0.40485396981239319</v>
      </c>
      <c r="T77">
        <v>0.25866585969924927</v>
      </c>
      <c r="U77">
        <v>0.13532023131847382</v>
      </c>
      <c r="V77">
        <v>8755</v>
      </c>
    </row>
    <row r="78" spans="1:23" ht="16.5" customHeight="1" x14ac:dyDescent="0.25">
      <c r="Q78" s="4">
        <v>2021</v>
      </c>
      <c r="R78">
        <v>0.20684342086315155</v>
      </c>
      <c r="S78">
        <v>0.3774665892124176</v>
      </c>
      <c r="T78">
        <v>0.23825445771217346</v>
      </c>
      <c r="U78">
        <v>0.12225520610809326</v>
      </c>
      <c r="V78">
        <v>8902</v>
      </c>
    </row>
    <row r="79" spans="1:23" ht="16.5" customHeight="1" x14ac:dyDescent="0.25">
      <c r="Q79" s="4">
        <v>2022</v>
      </c>
      <c r="R79">
        <v>0.24997609853744507</v>
      </c>
      <c r="S79">
        <v>0.42421972751617432</v>
      </c>
      <c r="T79">
        <v>0.26992315053939819</v>
      </c>
      <c r="U79">
        <v>0.15948858857154846</v>
      </c>
      <c r="V79">
        <v>8623</v>
      </c>
    </row>
    <row r="80" spans="1:23" ht="16.5" customHeight="1" x14ac:dyDescent="0.25">
      <c r="Q80" s="4">
        <v>2023</v>
      </c>
      <c r="R80">
        <v>0.2440163791179657</v>
      </c>
      <c r="S80">
        <v>0.42041844129562378</v>
      </c>
      <c r="T80">
        <v>0.26867625117301941</v>
      </c>
    </row>
    <row r="81" spans="16:23" ht="16.5" customHeight="1" x14ac:dyDescent="0.25"/>
    <row r="82" spans="16:23" ht="16.5" customHeight="1" x14ac:dyDescent="0.25">
      <c r="P82" t="s">
        <v>120</v>
      </c>
      <c r="Q82" s="4" t="s">
        <v>119</v>
      </c>
      <c r="R82" s="58">
        <f>+R79-R78</f>
        <v>4.3132677674293518E-2</v>
      </c>
      <c r="S82" s="58">
        <f>+S79-S78</f>
        <v>4.6753138303756714E-2</v>
      </c>
      <c r="T82" s="58">
        <f>+T79-T78</f>
        <v>3.1668692827224731E-2</v>
      </c>
      <c r="U82" s="58">
        <f>+U79-U78</f>
        <v>3.72333824634552E-2</v>
      </c>
    </row>
    <row r="83" spans="16:23" ht="16.5" customHeight="1" x14ac:dyDescent="0.25">
      <c r="P83" t="s">
        <v>121</v>
      </c>
      <c r="Q83" s="4" t="s">
        <v>119</v>
      </c>
      <c r="R83" s="58">
        <f>+R79/R78-1</f>
        <v>0.20852815861535312</v>
      </c>
      <c r="S83" s="58">
        <f>+S79/S78-1</f>
        <v>0.12386033529830276</v>
      </c>
      <c r="T83" s="58">
        <f>+T79/T78-1</f>
        <v>0.13291962354585829</v>
      </c>
      <c r="U83" s="58">
        <f>+U79/U78-1</f>
        <v>0.30455457602791092</v>
      </c>
    </row>
    <row r="84" spans="16:23" ht="16.5" customHeight="1" x14ac:dyDescent="0.25">
      <c r="P84" t="s">
        <v>122</v>
      </c>
    </row>
    <row r="85" spans="16:23" ht="16.5" customHeight="1" x14ac:dyDescent="0.25">
      <c r="P85" t="s">
        <v>120</v>
      </c>
      <c r="Q85" s="4" t="s">
        <v>119</v>
      </c>
      <c r="R85" s="58">
        <f>+R46-R82</f>
        <v>6.1939209699630737E-3</v>
      </c>
      <c r="S85" s="58">
        <f>+S46-S82</f>
        <v>6.1055421829223633E-3</v>
      </c>
      <c r="T85" s="58">
        <f>+T46-T82</f>
        <v>-7.9918801784515381E-3</v>
      </c>
      <c r="U85" s="58">
        <f>+U46-U82</f>
        <v>2.0056769251823425E-2</v>
      </c>
    </row>
    <row r="86" spans="16:23" ht="16.5" customHeight="1" x14ac:dyDescent="0.25">
      <c r="P86" t="s">
        <v>123</v>
      </c>
      <c r="Q86" s="4" t="s">
        <v>119</v>
      </c>
      <c r="R86" s="58">
        <f>+R47/R83-1</f>
        <v>-0.10058708615730017</v>
      </c>
      <c r="S86" s="58">
        <f>+S47/S83-1</f>
        <v>-0.12563793190247086</v>
      </c>
      <c r="T86" s="58">
        <f>+T47/T83-1</f>
        <v>-0.47876036332229988</v>
      </c>
      <c r="U86" s="58">
        <f>+U47/U83-1</f>
        <v>1.7483529974566592E-2</v>
      </c>
    </row>
    <row r="87" spans="16:23" ht="16.5" customHeight="1" x14ac:dyDescent="0.25">
      <c r="P87" t="s">
        <v>124</v>
      </c>
      <c r="Q87" s="4" t="s">
        <v>119</v>
      </c>
      <c r="R87" s="58">
        <f>+R47-R83</f>
        <v>-2.0975239856865668E-2</v>
      </c>
      <c r="S87" s="58">
        <f>+S47-S83</f>
        <v>-1.5561556371625374E-2</v>
      </c>
      <c r="T87" s="58">
        <f>+T47-T83</f>
        <v>-6.3636647261478441E-2</v>
      </c>
      <c r="U87" s="58">
        <f>+U47-U83</f>
        <v>5.3246890588753981E-3</v>
      </c>
    </row>
    <row r="88" spans="16:23" ht="16.5" customHeight="1" x14ac:dyDescent="0.25">
      <c r="W88" s="9"/>
    </row>
    <row r="89" spans="16:23" ht="16.5" customHeight="1" x14ac:dyDescent="0.25">
      <c r="P89" t="s">
        <v>204</v>
      </c>
      <c r="Q89" t="s">
        <v>0</v>
      </c>
      <c r="R89" t="s">
        <v>53</v>
      </c>
      <c r="S89" s="9" t="s">
        <v>58</v>
      </c>
      <c r="T89" s="9" t="s">
        <v>60</v>
      </c>
      <c r="U89" t="s">
        <v>43</v>
      </c>
    </row>
    <row r="90" spans="16:23" ht="16.5" customHeight="1" x14ac:dyDescent="0.25">
      <c r="Q90" s="20">
        <v>2015</v>
      </c>
      <c r="R90">
        <v>0.35963749885559082</v>
      </c>
      <c r="S90">
        <v>0.58308708667755127</v>
      </c>
      <c r="T90">
        <v>0.37354069948196411</v>
      </c>
      <c r="V90">
        <v>1641</v>
      </c>
    </row>
    <row r="91" spans="16:23" ht="16.5" customHeight="1" x14ac:dyDescent="0.25">
      <c r="Q91" s="20">
        <v>2016</v>
      </c>
      <c r="R91">
        <v>0.38180473446846008</v>
      </c>
      <c r="S91">
        <v>0.57397425174713135</v>
      </c>
      <c r="T91">
        <v>0.36336135864257813</v>
      </c>
      <c r="U91">
        <v>0.26759070158004761</v>
      </c>
      <c r="V91">
        <v>1676</v>
      </c>
    </row>
    <row r="92" spans="16:23" ht="16.5" customHeight="1" x14ac:dyDescent="0.25">
      <c r="Q92" s="4">
        <v>2017</v>
      </c>
      <c r="R92">
        <v>0.30947476625442505</v>
      </c>
      <c r="S92">
        <v>0.54607468843460083</v>
      </c>
      <c r="T92">
        <v>0.34076717495918274</v>
      </c>
      <c r="U92">
        <v>0.24841658771038055</v>
      </c>
      <c r="V92">
        <v>2390</v>
      </c>
    </row>
    <row r="93" spans="16:23" ht="16.5" customHeight="1" x14ac:dyDescent="0.25">
      <c r="Q93" s="4">
        <v>2018</v>
      </c>
      <c r="R93">
        <v>0.34434044361114502</v>
      </c>
      <c r="S93">
        <v>0.57484769821166992</v>
      </c>
      <c r="T93">
        <v>0.39899203181266785</v>
      </c>
      <c r="U93">
        <v>0.2156938910484314</v>
      </c>
      <c r="V93">
        <v>2525</v>
      </c>
    </row>
    <row r="94" spans="16:23" ht="16.5" customHeight="1" x14ac:dyDescent="0.25">
      <c r="Q94" s="4">
        <v>2019</v>
      </c>
      <c r="R94">
        <v>0.33696466684341431</v>
      </c>
      <c r="S94">
        <v>0.56802564859390259</v>
      </c>
      <c r="T94">
        <v>0.39922571182250977</v>
      </c>
      <c r="U94">
        <v>0.20879372954368591</v>
      </c>
      <c r="V94">
        <v>2710</v>
      </c>
    </row>
    <row r="95" spans="16:23" ht="16.5" customHeight="1" x14ac:dyDescent="0.25">
      <c r="Q95" s="4">
        <v>2020</v>
      </c>
      <c r="R95">
        <v>0.33865863084793091</v>
      </c>
      <c r="S95">
        <v>0.54715722799301147</v>
      </c>
      <c r="T95">
        <v>0.40222063660621643</v>
      </c>
      <c r="U95">
        <v>0.20617805421352386</v>
      </c>
      <c r="V95">
        <v>2549</v>
      </c>
    </row>
    <row r="96" spans="16:23" ht="16.5" customHeight="1" x14ac:dyDescent="0.25">
      <c r="Q96" s="4">
        <v>2021</v>
      </c>
      <c r="R96">
        <v>0.30755549669265747</v>
      </c>
      <c r="S96">
        <v>0.51492476463317871</v>
      </c>
      <c r="T96">
        <v>0.36863306164741516</v>
      </c>
      <c r="U96">
        <v>0.17931933701038361</v>
      </c>
      <c r="V96">
        <v>2566</v>
      </c>
    </row>
    <row r="97" spans="17:23" ht="16.5" customHeight="1" x14ac:dyDescent="0.25">
      <c r="Q97" s="4">
        <v>2022</v>
      </c>
      <c r="R97">
        <v>0.37486234307289124</v>
      </c>
      <c r="S97">
        <v>0.58549147844314575</v>
      </c>
      <c r="T97">
        <v>0.42055106163024902</v>
      </c>
      <c r="U97">
        <v>0.23582427203655243</v>
      </c>
      <c r="V97">
        <v>2596</v>
      </c>
    </row>
    <row r="98" spans="17:23" ht="16.5" customHeight="1" x14ac:dyDescent="0.25">
      <c r="Q98" s="4">
        <v>2023</v>
      </c>
      <c r="R98">
        <v>0.36884993314743042</v>
      </c>
      <c r="S98">
        <v>0.58329558372497559</v>
      </c>
      <c r="T98">
        <v>0.4195559024810791</v>
      </c>
    </row>
    <row r="99" spans="17:23" ht="16.5" customHeight="1" x14ac:dyDescent="0.25"/>
    <row r="100" spans="17:23" ht="16.5" customHeight="1" x14ac:dyDescent="0.25">
      <c r="Q100" s="4"/>
    </row>
    <row r="101" spans="17:23" ht="16.5" customHeight="1" x14ac:dyDescent="0.25">
      <c r="Q101" s="4"/>
    </row>
    <row r="102" spans="17:23" ht="16.5" customHeight="1" x14ac:dyDescent="0.25">
      <c r="Q102" s="4"/>
    </row>
    <row r="103" spans="17:23" ht="16.5" customHeight="1" x14ac:dyDescent="0.25"/>
    <row r="104" spans="17:23" ht="16.5" customHeight="1" x14ac:dyDescent="0.25"/>
    <row r="105" spans="17:23" ht="16.5" customHeight="1" x14ac:dyDescent="0.25"/>
    <row r="106" spans="17:23" ht="16.5" customHeight="1" x14ac:dyDescent="0.25">
      <c r="R106" s="9"/>
      <c r="S106" s="9"/>
      <c r="T106" s="9"/>
      <c r="U106" s="9"/>
      <c r="V106" s="9"/>
      <c r="W106" s="9"/>
    </row>
    <row r="107" spans="17:23" ht="16.5" customHeight="1" x14ac:dyDescent="0.25">
      <c r="Q107" s="20"/>
    </row>
    <row r="108" spans="17:23" ht="16.5" customHeight="1" x14ac:dyDescent="0.25">
      <c r="Q108" s="20"/>
    </row>
    <row r="109" spans="17:23" ht="16.5" customHeight="1" x14ac:dyDescent="0.25">
      <c r="Q109" s="4"/>
    </row>
    <row r="110" spans="17:23" ht="16.5" customHeight="1" x14ac:dyDescent="0.25">
      <c r="Q110" s="4"/>
    </row>
    <row r="111" spans="17:23" ht="16.5" customHeight="1" x14ac:dyDescent="0.25">
      <c r="Q111" s="4"/>
    </row>
    <row r="112" spans="17:23" ht="16.5" customHeight="1" x14ac:dyDescent="0.25">
      <c r="Q112" s="4"/>
    </row>
    <row r="113" spans="17:19" ht="16.5" customHeight="1" x14ac:dyDescent="0.25">
      <c r="Q113" s="4"/>
    </row>
    <row r="114" spans="17:19" ht="16.5" customHeight="1" x14ac:dyDescent="0.25">
      <c r="Q114" s="4"/>
    </row>
    <row r="115" spans="17:19" ht="16.5" customHeight="1" x14ac:dyDescent="0.25"/>
    <row r="116" spans="17:19" ht="16.5" customHeight="1" x14ac:dyDescent="0.25"/>
    <row r="117" spans="17:19" ht="16.5" customHeight="1" x14ac:dyDescent="0.25"/>
    <row r="118" spans="17:19" ht="16.5" customHeight="1" x14ac:dyDescent="0.25"/>
    <row r="119" spans="17:19" ht="16.5" customHeight="1" x14ac:dyDescent="0.25"/>
    <row r="120" spans="17:19" ht="16.5" customHeight="1" x14ac:dyDescent="0.25"/>
    <row r="121" spans="17:19" ht="16.5" customHeight="1" x14ac:dyDescent="0.25"/>
    <row r="122" spans="17:19" x14ac:dyDescent="0.25">
      <c r="S122" s="2"/>
    </row>
    <row r="123" spans="17:19" x14ac:dyDescent="0.25">
      <c r="S123" s="2"/>
    </row>
    <row r="124" spans="17:19" x14ac:dyDescent="0.25">
      <c r="S124" s="2"/>
    </row>
    <row r="125" spans="17:19" x14ac:dyDescent="0.25">
      <c r="S125" s="2"/>
    </row>
    <row r="126" spans="17:19" x14ac:dyDescent="0.25">
      <c r="S126" s="2"/>
    </row>
    <row r="127" spans="17:19" x14ac:dyDescent="0.25">
      <c r="S127" s="2"/>
    </row>
    <row r="128" spans="17:19" x14ac:dyDescent="0.25">
      <c r="S128" s="2"/>
    </row>
    <row r="129" spans="19:19" x14ac:dyDescent="0.25">
      <c r="S129" s="2"/>
    </row>
    <row r="130" spans="19:19" x14ac:dyDescent="0.25">
      <c r="S130" s="2"/>
    </row>
    <row r="131" spans="19:19" x14ac:dyDescent="0.25">
      <c r="S131" s="2"/>
    </row>
    <row r="132" spans="19:19" x14ac:dyDescent="0.25">
      <c r="S132" s="2"/>
    </row>
    <row r="133" spans="19:19" x14ac:dyDescent="0.25">
      <c r="S133" s="2"/>
    </row>
    <row r="134" spans="19:19" x14ac:dyDescent="0.25">
      <c r="S134" s="2"/>
    </row>
    <row r="135" spans="19:19" x14ac:dyDescent="0.25">
      <c r="S135" s="2"/>
    </row>
    <row r="136" spans="19:19" x14ac:dyDescent="0.25">
      <c r="S136" s="2"/>
    </row>
    <row r="137" spans="19:19" x14ac:dyDescent="0.25">
      <c r="S137" s="2"/>
    </row>
    <row r="138" spans="19:19" x14ac:dyDescent="0.25">
      <c r="S138" s="2"/>
    </row>
    <row r="139" spans="19:19" x14ac:dyDescent="0.25">
      <c r="S139" s="2"/>
    </row>
    <row r="140" spans="19:19" x14ac:dyDescent="0.25">
      <c r="S140" s="2"/>
    </row>
    <row r="141" spans="19:19" x14ac:dyDescent="0.25">
      <c r="S141" s="2"/>
    </row>
    <row r="142" spans="19:19" x14ac:dyDescent="0.25">
      <c r="S142" s="2"/>
    </row>
    <row r="143" spans="19:19" x14ac:dyDescent="0.25">
      <c r="S143" s="2"/>
    </row>
    <row r="144" spans="19:19" x14ac:dyDescent="0.25">
      <c r="S144" s="2"/>
    </row>
    <row r="145" spans="19:19" x14ac:dyDescent="0.25">
      <c r="S145" s="2"/>
    </row>
    <row r="146" spans="19:19" x14ac:dyDescent="0.25">
      <c r="S146" s="2"/>
    </row>
    <row r="147" spans="19:19" x14ac:dyDescent="0.25">
      <c r="S147" s="2"/>
    </row>
    <row r="148" spans="19:19" x14ac:dyDescent="0.25">
      <c r="S148" s="2"/>
    </row>
    <row r="149" spans="19:19" x14ac:dyDescent="0.25">
      <c r="S149" s="2"/>
    </row>
    <row r="150" spans="19:19" x14ac:dyDescent="0.25">
      <c r="S150" s="2"/>
    </row>
    <row r="151" spans="19:19" x14ac:dyDescent="0.25">
      <c r="S151" s="2"/>
    </row>
    <row r="152" spans="19:19" x14ac:dyDescent="0.25">
      <c r="S152" s="2"/>
    </row>
    <row r="153" spans="19:19" x14ac:dyDescent="0.25">
      <c r="S153" s="2"/>
    </row>
    <row r="154" spans="19:19" x14ac:dyDescent="0.25">
      <c r="S154" s="2"/>
    </row>
    <row r="155" spans="19:19" x14ac:dyDescent="0.25">
      <c r="S155" s="2"/>
    </row>
    <row r="156" spans="19:19" x14ac:dyDescent="0.25">
      <c r="S156" s="2"/>
    </row>
    <row r="157" spans="19:19" x14ac:dyDescent="0.25">
      <c r="S157" s="2"/>
    </row>
    <row r="158" spans="19:19" x14ac:dyDescent="0.25">
      <c r="S158" s="2"/>
    </row>
    <row r="159" spans="19:19" x14ac:dyDescent="0.25">
      <c r="S159" s="2"/>
    </row>
    <row r="160" spans="19:19" x14ac:dyDescent="0.25">
      <c r="S160" s="2"/>
    </row>
    <row r="161" spans="19:19" x14ac:dyDescent="0.25">
      <c r="S161" s="2"/>
    </row>
    <row r="162" spans="19:19" x14ac:dyDescent="0.25">
      <c r="S162" s="2"/>
    </row>
    <row r="163" spans="19:19" x14ac:dyDescent="0.25">
      <c r="S163" s="2"/>
    </row>
    <row r="164" spans="19:19" x14ac:dyDescent="0.25">
      <c r="S164" s="2"/>
    </row>
    <row r="165" spans="19:19" x14ac:dyDescent="0.25">
      <c r="S165" s="2"/>
    </row>
    <row r="166" spans="19:19" x14ac:dyDescent="0.25">
      <c r="S166" s="2"/>
    </row>
    <row r="167" spans="19:19" x14ac:dyDescent="0.25">
      <c r="S167" s="2"/>
    </row>
    <row r="168" spans="19:19" x14ac:dyDescent="0.25">
      <c r="S168" s="2"/>
    </row>
    <row r="169" spans="19:19" x14ac:dyDescent="0.25">
      <c r="S169" s="2"/>
    </row>
    <row r="170" spans="19:19" x14ac:dyDescent="0.25">
      <c r="S170" s="2"/>
    </row>
    <row r="171" spans="19:19" x14ac:dyDescent="0.25">
      <c r="S171" s="2"/>
    </row>
    <row r="172" spans="19:19" x14ac:dyDescent="0.25">
      <c r="S172" s="2"/>
    </row>
    <row r="173" spans="19:19" x14ac:dyDescent="0.25">
      <c r="S173" s="2"/>
    </row>
    <row r="174" spans="19:19" x14ac:dyDescent="0.25">
      <c r="S174" s="2"/>
    </row>
    <row r="175" spans="19:19" x14ac:dyDescent="0.25">
      <c r="S175" s="2"/>
    </row>
    <row r="176" spans="19:19" x14ac:dyDescent="0.25">
      <c r="S176" s="2"/>
    </row>
    <row r="177" spans="19:19" x14ac:dyDescent="0.25">
      <c r="S177" s="2"/>
    </row>
    <row r="178" spans="19:19" x14ac:dyDescent="0.25">
      <c r="S178" s="2"/>
    </row>
    <row r="179" spans="19:19" x14ac:dyDescent="0.25">
      <c r="S179" s="2"/>
    </row>
    <row r="180" spans="19:19" x14ac:dyDescent="0.25">
      <c r="S180" s="2"/>
    </row>
    <row r="181" spans="19:19" x14ac:dyDescent="0.25">
      <c r="S181" s="2"/>
    </row>
    <row r="182" spans="19:19" x14ac:dyDescent="0.25">
      <c r="S182" s="2"/>
    </row>
    <row r="183" spans="19:19" x14ac:dyDescent="0.25">
      <c r="S183" s="2"/>
    </row>
    <row r="184" spans="19:19" x14ac:dyDescent="0.25">
      <c r="S184" s="2"/>
    </row>
    <row r="185" spans="19:19" x14ac:dyDescent="0.25">
      <c r="S185" s="2"/>
    </row>
    <row r="186" spans="19:19" x14ac:dyDescent="0.25">
      <c r="S186" s="2"/>
    </row>
    <row r="187" spans="19:19" x14ac:dyDescent="0.25">
      <c r="S187" s="2"/>
    </row>
    <row r="188" spans="19:19" x14ac:dyDescent="0.25">
      <c r="S188" s="2"/>
    </row>
    <row r="189" spans="19:19" x14ac:dyDescent="0.25">
      <c r="S189" s="2"/>
    </row>
    <row r="190" spans="19:19" x14ac:dyDescent="0.25">
      <c r="S190" s="2"/>
    </row>
    <row r="191" spans="19:19" x14ac:dyDescent="0.25">
      <c r="S191" s="2"/>
    </row>
    <row r="192" spans="19:19" x14ac:dyDescent="0.25">
      <c r="S192" s="2"/>
    </row>
    <row r="193" spans="19:19" x14ac:dyDescent="0.25">
      <c r="S193" s="2"/>
    </row>
    <row r="194" spans="19:19" x14ac:dyDescent="0.25">
      <c r="S194" s="2"/>
    </row>
    <row r="195" spans="19:19" x14ac:dyDescent="0.25">
      <c r="S195" s="2"/>
    </row>
    <row r="196" spans="19:19" x14ac:dyDescent="0.25">
      <c r="S196" s="2"/>
    </row>
    <row r="197" spans="19:19" x14ac:dyDescent="0.25">
      <c r="S197" s="2"/>
    </row>
    <row r="198" spans="19:19" x14ac:dyDescent="0.25">
      <c r="S198" s="2"/>
    </row>
    <row r="199" spans="19:19" x14ac:dyDescent="0.25">
      <c r="S199" s="2"/>
    </row>
    <row r="200" spans="19:19" x14ac:dyDescent="0.25">
      <c r="S200" s="2"/>
    </row>
    <row r="201" spans="19:19" x14ac:dyDescent="0.25">
      <c r="S201" s="2"/>
    </row>
    <row r="202" spans="19:19" x14ac:dyDescent="0.25">
      <c r="S202" s="2"/>
    </row>
    <row r="203" spans="19:19" x14ac:dyDescent="0.25">
      <c r="S203" s="2"/>
    </row>
    <row r="204" spans="19:19" x14ac:dyDescent="0.25">
      <c r="S204" s="2"/>
    </row>
    <row r="205" spans="19:19" x14ac:dyDescent="0.25">
      <c r="S205" s="2"/>
    </row>
    <row r="206" spans="19:19" x14ac:dyDescent="0.25">
      <c r="S206" s="2"/>
    </row>
    <row r="207" spans="19:19" x14ac:dyDescent="0.25">
      <c r="S207" s="2"/>
    </row>
    <row r="208" spans="19:19" x14ac:dyDescent="0.25">
      <c r="S208" s="2"/>
    </row>
    <row r="209" spans="19:19" x14ac:dyDescent="0.25">
      <c r="S209" s="2"/>
    </row>
    <row r="210" spans="19:19" x14ac:dyDescent="0.25">
      <c r="S210" s="2"/>
    </row>
    <row r="211" spans="19:19" x14ac:dyDescent="0.25">
      <c r="S211" s="2"/>
    </row>
    <row r="212" spans="19:19" x14ac:dyDescent="0.25">
      <c r="S212" s="2"/>
    </row>
    <row r="213" spans="19:19" x14ac:dyDescent="0.25">
      <c r="S213" s="2"/>
    </row>
    <row r="214" spans="19:19" x14ac:dyDescent="0.25">
      <c r="S214" s="2"/>
    </row>
    <row r="215" spans="19:19" x14ac:dyDescent="0.25">
      <c r="S215" s="2"/>
    </row>
    <row r="216" spans="19:19" x14ac:dyDescent="0.25">
      <c r="S216" s="2"/>
    </row>
    <row r="217" spans="19:19" x14ac:dyDescent="0.25">
      <c r="S217" s="2"/>
    </row>
    <row r="218" spans="19:19" x14ac:dyDescent="0.25">
      <c r="S218" s="2"/>
    </row>
    <row r="219" spans="19:19" x14ac:dyDescent="0.25">
      <c r="S219" s="2"/>
    </row>
    <row r="220" spans="19:19" x14ac:dyDescent="0.25">
      <c r="S220" s="2"/>
    </row>
    <row r="221" spans="19:19" x14ac:dyDescent="0.25">
      <c r="S221" s="2"/>
    </row>
    <row r="222" spans="19:19" x14ac:dyDescent="0.25">
      <c r="S222" s="2"/>
    </row>
    <row r="223" spans="19:19" x14ac:dyDescent="0.25">
      <c r="S223" s="2"/>
    </row>
    <row r="224" spans="19:19" x14ac:dyDescent="0.25">
      <c r="S224" s="2"/>
    </row>
    <row r="225" spans="19:19" x14ac:dyDescent="0.25">
      <c r="S225" s="2"/>
    </row>
    <row r="226" spans="19:19" x14ac:dyDescent="0.25">
      <c r="S226" s="2"/>
    </row>
    <row r="227" spans="19:19" x14ac:dyDescent="0.25">
      <c r="S227" s="2"/>
    </row>
    <row r="228" spans="19:19" x14ac:dyDescent="0.25">
      <c r="S228" s="2"/>
    </row>
    <row r="229" spans="19:19" x14ac:dyDescent="0.25">
      <c r="S229" s="2"/>
    </row>
    <row r="230" spans="19:19" x14ac:dyDescent="0.25">
      <c r="S230" s="2"/>
    </row>
    <row r="231" spans="19:19" x14ac:dyDescent="0.25">
      <c r="S231" s="2"/>
    </row>
    <row r="232" spans="19:19" x14ac:dyDescent="0.25">
      <c r="S232" s="2"/>
    </row>
    <row r="233" spans="19:19" x14ac:dyDescent="0.25">
      <c r="S233" s="2"/>
    </row>
    <row r="234" spans="19:19" x14ac:dyDescent="0.25">
      <c r="S234" s="2"/>
    </row>
    <row r="235" spans="19:19" x14ac:dyDescent="0.25">
      <c r="S235" s="2"/>
    </row>
    <row r="236" spans="19:19" x14ac:dyDescent="0.25">
      <c r="S236" s="2"/>
    </row>
    <row r="237" spans="19:19" x14ac:dyDescent="0.25">
      <c r="S237" s="2"/>
    </row>
    <row r="238" spans="19:19" x14ac:dyDescent="0.25">
      <c r="S238" s="2"/>
    </row>
    <row r="239" spans="19:19" x14ac:dyDescent="0.25">
      <c r="S239" s="2"/>
    </row>
    <row r="240" spans="19:19" x14ac:dyDescent="0.25">
      <c r="S240" s="2"/>
    </row>
    <row r="241" spans="19:19" x14ac:dyDescent="0.25">
      <c r="S241" s="2"/>
    </row>
    <row r="242" spans="19:19" x14ac:dyDescent="0.25">
      <c r="S242" s="2"/>
    </row>
    <row r="243" spans="19:19" x14ac:dyDescent="0.25">
      <c r="S243" s="2"/>
    </row>
    <row r="244" spans="19:19" x14ac:dyDescent="0.25">
      <c r="S244" s="2"/>
    </row>
    <row r="245" spans="19:19" x14ac:dyDescent="0.25">
      <c r="S245" s="2"/>
    </row>
    <row r="246" spans="19:19" x14ac:dyDescent="0.25">
      <c r="S246" s="2"/>
    </row>
    <row r="247" spans="19:19" x14ac:dyDescent="0.25">
      <c r="S247" s="2"/>
    </row>
    <row r="248" spans="19:19" x14ac:dyDescent="0.25">
      <c r="S248" s="2"/>
    </row>
    <row r="249" spans="19:19" x14ac:dyDescent="0.25">
      <c r="S249" s="2"/>
    </row>
    <row r="250" spans="19:19" x14ac:dyDescent="0.25">
      <c r="S250" s="2"/>
    </row>
    <row r="251" spans="19:19" x14ac:dyDescent="0.25">
      <c r="S251" s="2"/>
    </row>
    <row r="252" spans="19:19" x14ac:dyDescent="0.25">
      <c r="S252" s="2"/>
    </row>
    <row r="253" spans="19:19" x14ac:dyDescent="0.25">
      <c r="S253" s="2"/>
    </row>
    <row r="254" spans="19:19" x14ac:dyDescent="0.25">
      <c r="S254" s="2"/>
    </row>
    <row r="255" spans="19:19" x14ac:dyDescent="0.25">
      <c r="S255" s="2"/>
    </row>
    <row r="256" spans="19:19" x14ac:dyDescent="0.25">
      <c r="S256" s="2"/>
    </row>
    <row r="257" spans="19:19" x14ac:dyDescent="0.25">
      <c r="S257" s="2"/>
    </row>
    <row r="258" spans="19:19" x14ac:dyDescent="0.25">
      <c r="S258" s="2"/>
    </row>
    <row r="259" spans="19:19" x14ac:dyDescent="0.25">
      <c r="S259" s="2"/>
    </row>
    <row r="260" spans="19:19" x14ac:dyDescent="0.25">
      <c r="S260" s="2"/>
    </row>
    <row r="261" spans="19:19" x14ac:dyDescent="0.25">
      <c r="S261" s="2"/>
    </row>
    <row r="262" spans="19:19" x14ac:dyDescent="0.25">
      <c r="S262" s="2"/>
    </row>
    <row r="263" spans="19:19" x14ac:dyDescent="0.25">
      <c r="S263" s="2"/>
    </row>
    <row r="264" spans="19:19" x14ac:dyDescent="0.25">
      <c r="S264" s="2"/>
    </row>
    <row r="265" spans="19:19" x14ac:dyDescent="0.25">
      <c r="S265" s="2"/>
    </row>
    <row r="266" spans="19:19" x14ac:dyDescent="0.25">
      <c r="S266" s="2"/>
    </row>
    <row r="267" spans="19:19" x14ac:dyDescent="0.25">
      <c r="S267" s="2"/>
    </row>
    <row r="268" spans="19:19" x14ac:dyDescent="0.25">
      <c r="S268" s="2"/>
    </row>
    <row r="269" spans="19:19" x14ac:dyDescent="0.25">
      <c r="S269" s="2"/>
    </row>
    <row r="270" spans="19:19" x14ac:dyDescent="0.25">
      <c r="S270" s="2"/>
    </row>
    <row r="271" spans="19:19" x14ac:dyDescent="0.25">
      <c r="S271" s="2"/>
    </row>
    <row r="272" spans="19:19" x14ac:dyDescent="0.25">
      <c r="S272" s="2"/>
    </row>
    <row r="273" spans="19:19" x14ac:dyDescent="0.25">
      <c r="S273" s="2"/>
    </row>
    <row r="274" spans="19:19" x14ac:dyDescent="0.25">
      <c r="S274" s="2"/>
    </row>
    <row r="275" spans="19:19" x14ac:dyDescent="0.25">
      <c r="S275" s="2"/>
    </row>
    <row r="276" spans="19:19" x14ac:dyDescent="0.25">
      <c r="S276" s="2"/>
    </row>
    <row r="277" spans="19:19" x14ac:dyDescent="0.25">
      <c r="S277" s="2"/>
    </row>
    <row r="278" spans="19:19" x14ac:dyDescent="0.25">
      <c r="S278" s="2"/>
    </row>
    <row r="279" spans="19:19" x14ac:dyDescent="0.25">
      <c r="S279" s="2"/>
    </row>
    <row r="280" spans="19:19" x14ac:dyDescent="0.25">
      <c r="S280" s="2"/>
    </row>
    <row r="281" spans="19:19" x14ac:dyDescent="0.25">
      <c r="S281" s="2"/>
    </row>
    <row r="282" spans="19:19" x14ac:dyDescent="0.25">
      <c r="S282" s="2"/>
    </row>
    <row r="283" spans="19:19" x14ac:dyDescent="0.25">
      <c r="S283" s="2"/>
    </row>
    <row r="284" spans="19:19" x14ac:dyDescent="0.25">
      <c r="S284" s="2"/>
    </row>
    <row r="285" spans="19:19" x14ac:dyDescent="0.25">
      <c r="S285" s="2"/>
    </row>
    <row r="286" spans="19:19" x14ac:dyDescent="0.25">
      <c r="S286" s="2"/>
    </row>
    <row r="287" spans="19:19" x14ac:dyDescent="0.25">
      <c r="S287" s="2"/>
    </row>
    <row r="288" spans="19:19" x14ac:dyDescent="0.25">
      <c r="S288" s="2"/>
    </row>
    <row r="289" spans="19:19" x14ac:dyDescent="0.25">
      <c r="S289" s="2"/>
    </row>
    <row r="290" spans="19:19" x14ac:dyDescent="0.25">
      <c r="S290" s="2"/>
    </row>
    <row r="291" spans="19:19" x14ac:dyDescent="0.25">
      <c r="S291" s="2"/>
    </row>
    <row r="292" spans="19:19" x14ac:dyDescent="0.25">
      <c r="S292" s="2"/>
    </row>
    <row r="293" spans="19:19" x14ac:dyDescent="0.25">
      <c r="S293" s="2"/>
    </row>
    <row r="294" spans="19:19" x14ac:dyDescent="0.25">
      <c r="S294" s="2"/>
    </row>
    <row r="295" spans="19:19" x14ac:dyDescent="0.25">
      <c r="S295" s="2"/>
    </row>
    <row r="296" spans="19:19" x14ac:dyDescent="0.25">
      <c r="S296" s="2"/>
    </row>
    <row r="297" spans="19:19" x14ac:dyDescent="0.25">
      <c r="S297" s="2"/>
    </row>
    <row r="298" spans="19:19" x14ac:dyDescent="0.25">
      <c r="S298" s="2"/>
    </row>
    <row r="299" spans="19:19" x14ac:dyDescent="0.25">
      <c r="S299" s="2"/>
    </row>
    <row r="300" spans="19:19" x14ac:dyDescent="0.25">
      <c r="S300" s="2"/>
    </row>
    <row r="301" spans="19:19" x14ac:dyDescent="0.25">
      <c r="S301" s="2"/>
    </row>
    <row r="302" spans="19:19" x14ac:dyDescent="0.25">
      <c r="S302" s="2"/>
    </row>
    <row r="303" spans="19:19" x14ac:dyDescent="0.25">
      <c r="S303" s="2"/>
    </row>
    <row r="304" spans="19:19" x14ac:dyDescent="0.25">
      <c r="S304" s="2"/>
    </row>
    <row r="305" spans="19:19" x14ac:dyDescent="0.25">
      <c r="S305" s="2"/>
    </row>
    <row r="306" spans="19:19" x14ac:dyDescent="0.25">
      <c r="S306" s="2"/>
    </row>
    <row r="307" spans="19:19" x14ac:dyDescent="0.25">
      <c r="S307" s="2"/>
    </row>
    <row r="308" spans="19:19" x14ac:dyDescent="0.25">
      <c r="S308" s="2"/>
    </row>
    <row r="309" spans="19:19" x14ac:dyDescent="0.25">
      <c r="S309" s="2"/>
    </row>
    <row r="310" spans="19:19" x14ac:dyDescent="0.25">
      <c r="S310" s="2"/>
    </row>
    <row r="311" spans="19:19" x14ac:dyDescent="0.25">
      <c r="S311" s="2"/>
    </row>
    <row r="312" spans="19:19" x14ac:dyDescent="0.25">
      <c r="S312" s="2"/>
    </row>
    <row r="313" spans="19:19" x14ac:dyDescent="0.25">
      <c r="S313" s="2"/>
    </row>
    <row r="314" spans="19:19" x14ac:dyDescent="0.25">
      <c r="S314" s="2"/>
    </row>
    <row r="315" spans="19:19" x14ac:dyDescent="0.25">
      <c r="S315" s="2"/>
    </row>
    <row r="316" spans="19:19" x14ac:dyDescent="0.25">
      <c r="S316" s="2"/>
    </row>
    <row r="317" spans="19:19" x14ac:dyDescent="0.25">
      <c r="S317" s="2"/>
    </row>
    <row r="318" spans="19:19" x14ac:dyDescent="0.25">
      <c r="S318" s="2"/>
    </row>
    <row r="319" spans="19:19" x14ac:dyDescent="0.25">
      <c r="S319" s="2"/>
    </row>
    <row r="320" spans="19:19" x14ac:dyDescent="0.25">
      <c r="S320" s="2"/>
    </row>
    <row r="321" spans="19:19" x14ac:dyDescent="0.25">
      <c r="S321" s="2"/>
    </row>
    <row r="322" spans="19:19" x14ac:dyDescent="0.25">
      <c r="S322" s="2"/>
    </row>
    <row r="323" spans="19:19" x14ac:dyDescent="0.25">
      <c r="S323" s="2"/>
    </row>
    <row r="324" spans="19:19" x14ac:dyDescent="0.25">
      <c r="S324" s="2"/>
    </row>
    <row r="325" spans="19:19" x14ac:dyDescent="0.25">
      <c r="S325" s="2"/>
    </row>
    <row r="326" spans="19:19" x14ac:dyDescent="0.25">
      <c r="S326" s="2"/>
    </row>
    <row r="327" spans="19:19" x14ac:dyDescent="0.25">
      <c r="S327" s="2"/>
    </row>
    <row r="328" spans="19:19" x14ac:dyDescent="0.25">
      <c r="S328" s="2"/>
    </row>
    <row r="329" spans="19:19" x14ac:dyDescent="0.25">
      <c r="S329" s="2"/>
    </row>
    <row r="330" spans="19:19" x14ac:dyDescent="0.25">
      <c r="S330" s="2"/>
    </row>
    <row r="331" spans="19:19" x14ac:dyDescent="0.25">
      <c r="S331" s="2"/>
    </row>
    <row r="332" spans="19:19" x14ac:dyDescent="0.25">
      <c r="S332" s="2"/>
    </row>
    <row r="333" spans="19:19" x14ac:dyDescent="0.25">
      <c r="S333" s="2"/>
    </row>
    <row r="334" spans="19:19" x14ac:dyDescent="0.25">
      <c r="S334" s="2"/>
    </row>
    <row r="335" spans="19:19" x14ac:dyDescent="0.25">
      <c r="S335" s="2"/>
    </row>
    <row r="336" spans="19:19" x14ac:dyDescent="0.25">
      <c r="S336" s="2"/>
    </row>
    <row r="337" spans="19:19" x14ac:dyDescent="0.25">
      <c r="S337" s="2"/>
    </row>
    <row r="338" spans="19:19" x14ac:dyDescent="0.25">
      <c r="S338" s="2"/>
    </row>
    <row r="339" spans="19:19" x14ac:dyDescent="0.25">
      <c r="S339" s="2"/>
    </row>
    <row r="340" spans="19:19" x14ac:dyDescent="0.25">
      <c r="S340" s="2"/>
    </row>
    <row r="341" spans="19:19" x14ac:dyDescent="0.25">
      <c r="S341" s="2"/>
    </row>
    <row r="342" spans="19:19" x14ac:dyDescent="0.25">
      <c r="S342" s="2"/>
    </row>
    <row r="343" spans="19:19" x14ac:dyDescent="0.25">
      <c r="S343" s="2"/>
    </row>
    <row r="344" spans="19:19" x14ac:dyDescent="0.25">
      <c r="S344" s="2"/>
    </row>
    <row r="345" spans="19:19" x14ac:dyDescent="0.25">
      <c r="S345" s="2"/>
    </row>
    <row r="346" spans="19:19" x14ac:dyDescent="0.25">
      <c r="S346" s="2"/>
    </row>
    <row r="347" spans="19:19" x14ac:dyDescent="0.25">
      <c r="S347" s="2"/>
    </row>
    <row r="348" spans="19:19" x14ac:dyDescent="0.25">
      <c r="S348" s="2"/>
    </row>
    <row r="349" spans="19:19" x14ac:dyDescent="0.25">
      <c r="S349" s="2"/>
    </row>
    <row r="350" spans="19:19" x14ac:dyDescent="0.25">
      <c r="S350" s="2"/>
    </row>
    <row r="351" spans="19:19" x14ac:dyDescent="0.25">
      <c r="S351" s="2"/>
    </row>
    <row r="352" spans="19:19" x14ac:dyDescent="0.25">
      <c r="S352" s="2"/>
    </row>
    <row r="353" spans="19:19" x14ac:dyDescent="0.25">
      <c r="S353" s="2"/>
    </row>
    <row r="354" spans="19:19" x14ac:dyDescent="0.25">
      <c r="S354" s="2"/>
    </row>
    <row r="355" spans="19:19" x14ac:dyDescent="0.25">
      <c r="S355" s="2"/>
    </row>
    <row r="356" spans="19:19" x14ac:dyDescent="0.25">
      <c r="S356" s="2"/>
    </row>
    <row r="357" spans="19:19" x14ac:dyDescent="0.25">
      <c r="S357" s="2"/>
    </row>
    <row r="358" spans="19:19" x14ac:dyDescent="0.25">
      <c r="S358" s="2"/>
    </row>
    <row r="359" spans="19:19" x14ac:dyDescent="0.25">
      <c r="S359" s="2"/>
    </row>
    <row r="360" spans="19:19" x14ac:dyDescent="0.25">
      <c r="S360" s="2"/>
    </row>
    <row r="361" spans="19:19" x14ac:dyDescent="0.25">
      <c r="S361" s="2"/>
    </row>
    <row r="362" spans="19:19" x14ac:dyDescent="0.25">
      <c r="S362" s="2"/>
    </row>
    <row r="363" spans="19:19" x14ac:dyDescent="0.25">
      <c r="S363" s="2"/>
    </row>
    <row r="364" spans="19:19" x14ac:dyDescent="0.25">
      <c r="S364" s="2"/>
    </row>
    <row r="365" spans="19:19" x14ac:dyDescent="0.25">
      <c r="S365" s="2"/>
    </row>
    <row r="366" spans="19:19" x14ac:dyDescent="0.25">
      <c r="S366" s="2"/>
    </row>
    <row r="367" spans="19:19" x14ac:dyDescent="0.25">
      <c r="S367" s="2"/>
    </row>
    <row r="368" spans="19:19" x14ac:dyDescent="0.25">
      <c r="S368" s="2"/>
    </row>
    <row r="369" spans="19:19" x14ac:dyDescent="0.25">
      <c r="S369" s="2"/>
    </row>
    <row r="370" spans="19:19" x14ac:dyDescent="0.25">
      <c r="S370" s="2"/>
    </row>
    <row r="371" spans="19:19" x14ac:dyDescent="0.25">
      <c r="S371" s="2"/>
    </row>
    <row r="372" spans="19:19" x14ac:dyDescent="0.25">
      <c r="S372" s="2"/>
    </row>
    <row r="373" spans="19:19" x14ac:dyDescent="0.25">
      <c r="S373" s="2"/>
    </row>
    <row r="374" spans="19:19" x14ac:dyDescent="0.25">
      <c r="S374" s="2"/>
    </row>
    <row r="375" spans="19:19" x14ac:dyDescent="0.25">
      <c r="S375" s="2"/>
    </row>
    <row r="376" spans="19:19" x14ac:dyDescent="0.25">
      <c r="S376" s="2"/>
    </row>
    <row r="377" spans="19:19" x14ac:dyDescent="0.25">
      <c r="S377" s="2"/>
    </row>
    <row r="378" spans="19:19" x14ac:dyDescent="0.25">
      <c r="S378" s="2"/>
    </row>
    <row r="379" spans="19:19" x14ac:dyDescent="0.25">
      <c r="S379" s="2"/>
    </row>
    <row r="380" spans="19:19" x14ac:dyDescent="0.25">
      <c r="S380" s="2"/>
    </row>
    <row r="381" spans="19:19" x14ac:dyDescent="0.25">
      <c r="S381" s="2"/>
    </row>
    <row r="382" spans="19:19" x14ac:dyDescent="0.25">
      <c r="S382" s="2"/>
    </row>
    <row r="383" spans="19:19" x14ac:dyDescent="0.25">
      <c r="S383" s="2"/>
    </row>
    <row r="384" spans="19:19" x14ac:dyDescent="0.25">
      <c r="S384" s="2"/>
    </row>
    <row r="385" spans="19:19" x14ac:dyDescent="0.25">
      <c r="S385" s="2"/>
    </row>
    <row r="386" spans="19:19" x14ac:dyDescent="0.25">
      <c r="S386" s="2"/>
    </row>
    <row r="387" spans="19:19" x14ac:dyDescent="0.25">
      <c r="S387" s="2"/>
    </row>
    <row r="388" spans="19:19" x14ac:dyDescent="0.25">
      <c r="S388" s="2"/>
    </row>
    <row r="389" spans="19:19" x14ac:dyDescent="0.25">
      <c r="S389" s="2"/>
    </row>
    <row r="390" spans="19:19" x14ac:dyDescent="0.25">
      <c r="S390" s="2"/>
    </row>
    <row r="391" spans="19:19" x14ac:dyDescent="0.25">
      <c r="S391" s="2"/>
    </row>
    <row r="392" spans="19:19" x14ac:dyDescent="0.25">
      <c r="S392" s="2"/>
    </row>
    <row r="393" spans="19:19" x14ac:dyDescent="0.25">
      <c r="S393" s="2"/>
    </row>
    <row r="394" spans="19:19" x14ac:dyDescent="0.25">
      <c r="S394" s="2"/>
    </row>
    <row r="395" spans="19:19" x14ac:dyDescent="0.25">
      <c r="S395" s="2"/>
    </row>
    <row r="396" spans="19:19" x14ac:dyDescent="0.25">
      <c r="S396" s="2"/>
    </row>
    <row r="397" spans="19:19" x14ac:dyDescent="0.25">
      <c r="S397" s="2"/>
    </row>
    <row r="398" spans="19:19" x14ac:dyDescent="0.25">
      <c r="S398" s="2"/>
    </row>
    <row r="399" spans="19:19" x14ac:dyDescent="0.25">
      <c r="S399" s="2"/>
    </row>
    <row r="400" spans="19:19" x14ac:dyDescent="0.25">
      <c r="S400" s="2"/>
    </row>
    <row r="401" spans="19:19" x14ac:dyDescent="0.25">
      <c r="S401" s="2"/>
    </row>
    <row r="402" spans="19:19" x14ac:dyDescent="0.25">
      <c r="S402" s="2"/>
    </row>
    <row r="403" spans="19:19" x14ac:dyDescent="0.25">
      <c r="S403" s="2"/>
    </row>
    <row r="404" spans="19:19" x14ac:dyDescent="0.25">
      <c r="S404" s="2"/>
    </row>
    <row r="405" spans="19:19" x14ac:dyDescent="0.25">
      <c r="S405" s="2"/>
    </row>
    <row r="406" spans="19:19" x14ac:dyDescent="0.25">
      <c r="S406" s="2"/>
    </row>
    <row r="407" spans="19:19" x14ac:dyDescent="0.25">
      <c r="S407" s="2"/>
    </row>
    <row r="408" spans="19:19" x14ac:dyDescent="0.25">
      <c r="S408" s="2"/>
    </row>
    <row r="409" spans="19:19" x14ac:dyDescent="0.25">
      <c r="S409" s="2"/>
    </row>
    <row r="410" spans="19:19" x14ac:dyDescent="0.25">
      <c r="S410" s="2"/>
    </row>
    <row r="411" spans="19:19" x14ac:dyDescent="0.25">
      <c r="S411" s="2"/>
    </row>
    <row r="412" spans="19:19" x14ac:dyDescent="0.25">
      <c r="S412" s="2"/>
    </row>
    <row r="413" spans="19:19" x14ac:dyDescent="0.25">
      <c r="S413" s="2"/>
    </row>
    <row r="414" spans="19:19" x14ac:dyDescent="0.25">
      <c r="S414" s="2"/>
    </row>
    <row r="415" spans="19:19" x14ac:dyDescent="0.25">
      <c r="S415" s="2"/>
    </row>
    <row r="416" spans="19:19" x14ac:dyDescent="0.25">
      <c r="S416" s="2"/>
    </row>
    <row r="417" spans="19:19" x14ac:dyDescent="0.25">
      <c r="S417" s="2"/>
    </row>
    <row r="418" spans="19:19" x14ac:dyDescent="0.25">
      <c r="S418" s="2"/>
    </row>
    <row r="419" spans="19:19" x14ac:dyDescent="0.25">
      <c r="S419" s="2"/>
    </row>
    <row r="420" spans="19:19" x14ac:dyDescent="0.25">
      <c r="S420" s="2"/>
    </row>
    <row r="421" spans="19:19" x14ac:dyDescent="0.25">
      <c r="S421" s="2"/>
    </row>
    <row r="422" spans="19:19" x14ac:dyDescent="0.25">
      <c r="S422" s="2"/>
    </row>
    <row r="423" spans="19:19" x14ac:dyDescent="0.25">
      <c r="S423" s="2"/>
    </row>
    <row r="424" spans="19:19" x14ac:dyDescent="0.25">
      <c r="S424" s="2"/>
    </row>
    <row r="425" spans="19:19" x14ac:dyDescent="0.25">
      <c r="S425" s="2"/>
    </row>
    <row r="426" spans="19:19" x14ac:dyDescent="0.25">
      <c r="S426" s="2"/>
    </row>
    <row r="427" spans="19:19" x14ac:dyDescent="0.25">
      <c r="S427" s="2"/>
    </row>
    <row r="428" spans="19:19" x14ac:dyDescent="0.25">
      <c r="S428" s="2"/>
    </row>
    <row r="429" spans="19:19" x14ac:dyDescent="0.25">
      <c r="S429" s="2"/>
    </row>
    <row r="430" spans="19:19" x14ac:dyDescent="0.25">
      <c r="S430" s="2"/>
    </row>
    <row r="431" spans="19:19" x14ac:dyDescent="0.25">
      <c r="S431" s="2"/>
    </row>
    <row r="432" spans="19:19" x14ac:dyDescent="0.25">
      <c r="S432" s="2"/>
    </row>
    <row r="433" spans="19:19" x14ac:dyDescent="0.25">
      <c r="S433" s="2"/>
    </row>
    <row r="434" spans="19:19" x14ac:dyDescent="0.25">
      <c r="S434" s="2"/>
    </row>
    <row r="435" spans="19:19" x14ac:dyDescent="0.25">
      <c r="S435" s="2"/>
    </row>
    <row r="436" spans="19:19" x14ac:dyDescent="0.25">
      <c r="S436" s="2"/>
    </row>
    <row r="437" spans="19:19" x14ac:dyDescent="0.25">
      <c r="S437" s="2"/>
    </row>
    <row r="438" spans="19:19" x14ac:dyDescent="0.25">
      <c r="S438" s="2"/>
    </row>
    <row r="439" spans="19:19" x14ac:dyDescent="0.25">
      <c r="S439" s="2"/>
    </row>
    <row r="440" spans="19:19" x14ac:dyDescent="0.25">
      <c r="S440" s="2"/>
    </row>
    <row r="441" spans="19:19" x14ac:dyDescent="0.25">
      <c r="S441" s="2"/>
    </row>
    <row r="442" spans="19:19" x14ac:dyDescent="0.25">
      <c r="S442" s="2"/>
    </row>
    <row r="443" spans="19:19" x14ac:dyDescent="0.25">
      <c r="S443" s="2"/>
    </row>
    <row r="444" spans="19:19" x14ac:dyDescent="0.25">
      <c r="S444" s="2"/>
    </row>
    <row r="445" spans="19:19" x14ac:dyDescent="0.25">
      <c r="S445" s="2"/>
    </row>
    <row r="446" spans="19:19" x14ac:dyDescent="0.25">
      <c r="S446" s="2"/>
    </row>
    <row r="447" spans="19:19" x14ac:dyDescent="0.25">
      <c r="S447" s="2"/>
    </row>
    <row r="448" spans="19:19" x14ac:dyDescent="0.25">
      <c r="S448" s="2"/>
    </row>
    <row r="449" spans="19:19" x14ac:dyDescent="0.25">
      <c r="S449" s="2"/>
    </row>
    <row r="450" spans="19:19" x14ac:dyDescent="0.25">
      <c r="S450" s="2"/>
    </row>
    <row r="451" spans="19:19" x14ac:dyDescent="0.25">
      <c r="S451" s="2"/>
    </row>
    <row r="452" spans="19:19" x14ac:dyDescent="0.25">
      <c r="S452" s="2"/>
    </row>
    <row r="453" spans="19:19" x14ac:dyDescent="0.25">
      <c r="S453" s="2"/>
    </row>
    <row r="454" spans="19:19" x14ac:dyDescent="0.25">
      <c r="S454" s="2"/>
    </row>
    <row r="455" spans="19:19" x14ac:dyDescent="0.25">
      <c r="S455" s="2"/>
    </row>
    <row r="456" spans="19:19" x14ac:dyDescent="0.25">
      <c r="S456" s="2"/>
    </row>
    <row r="457" spans="19:19" x14ac:dyDescent="0.25">
      <c r="S457" s="2"/>
    </row>
    <row r="458" spans="19:19" x14ac:dyDescent="0.25">
      <c r="S458" s="2"/>
    </row>
    <row r="459" spans="19:19" x14ac:dyDescent="0.25">
      <c r="S459" s="2"/>
    </row>
    <row r="460" spans="19:19" x14ac:dyDescent="0.25">
      <c r="S460" s="2"/>
    </row>
    <row r="461" spans="19:19" x14ac:dyDescent="0.25">
      <c r="S461" s="2"/>
    </row>
    <row r="462" spans="19:19" x14ac:dyDescent="0.25">
      <c r="S462" s="2"/>
    </row>
    <row r="463" spans="19:19" x14ac:dyDescent="0.25">
      <c r="S463" s="2"/>
    </row>
    <row r="464" spans="19:19" x14ac:dyDescent="0.25">
      <c r="S464" s="2"/>
    </row>
    <row r="465" spans="19:19" x14ac:dyDescent="0.25">
      <c r="S465" s="2"/>
    </row>
    <row r="466" spans="19:19" x14ac:dyDescent="0.25">
      <c r="S466" s="2"/>
    </row>
    <row r="467" spans="19:19" x14ac:dyDescent="0.25">
      <c r="S467" s="2"/>
    </row>
    <row r="468" spans="19:19" x14ac:dyDescent="0.25">
      <c r="S468" s="2"/>
    </row>
  </sheetData>
  <mergeCells count="1">
    <mergeCell ref="A67:O69"/>
  </mergeCells>
  <printOptions horizontalCentered="1" verticalCentered="1"/>
  <pageMargins left="0.75" right="0.75" top="1" bottom="1" header="0.5" footer="0.5"/>
  <pageSetup scale="63"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5AFB-500D-4974-A687-514C37C3DA47}">
  <sheetPr>
    <pageSetUpPr fitToPage="1"/>
  </sheetPr>
  <dimension ref="A1:BI111"/>
  <sheetViews>
    <sheetView zoomScaleNormal="100" workbookViewId="0"/>
  </sheetViews>
  <sheetFormatPr defaultColWidth="9" defaultRowHeight="14.4" x14ac:dyDescent="0.3"/>
  <cols>
    <col min="1" max="17" width="9" style="28"/>
    <col min="18" max="18" width="31.21875" style="28" customWidth="1"/>
    <col min="19" max="22" width="9" style="28"/>
    <col min="23" max="23" width="2.21875" style="28" customWidth="1"/>
    <col min="24" max="24" width="44.21875" style="28" customWidth="1"/>
    <col min="25" max="28" width="7.77734375" style="28" customWidth="1"/>
    <col min="29" max="31" width="10.21875" style="28" customWidth="1"/>
    <col min="32" max="32" width="21.77734375" style="28" customWidth="1"/>
    <col min="33" max="34" width="9" style="28"/>
    <col min="35" max="35" width="20.21875" style="28" bestFit="1" customWidth="1"/>
    <col min="36" max="56" width="9" style="28"/>
    <col min="57" max="57" width="12.77734375" style="28" customWidth="1"/>
    <col min="58" max="16384" width="9" style="28"/>
  </cols>
  <sheetData>
    <row r="1" spans="19:38" ht="15" customHeight="1" thickBot="1" x14ac:dyDescent="0.35">
      <c r="S1" s="93" t="s">
        <v>213</v>
      </c>
      <c r="W1" s="137" t="s">
        <v>280</v>
      </c>
      <c r="X1" s="37"/>
      <c r="Y1" s="37"/>
      <c r="Z1" s="37"/>
      <c r="AA1" s="37"/>
      <c r="AB1" s="37"/>
      <c r="AC1" s="37"/>
      <c r="AD1" s="37"/>
      <c r="AE1" s="37"/>
    </row>
    <row r="2" spans="19:38" ht="15" customHeight="1" thickTop="1" x14ac:dyDescent="0.3">
      <c r="S2" s="93" t="s">
        <v>216</v>
      </c>
      <c r="T2" s="34"/>
      <c r="W2" s="38" t="s">
        <v>37</v>
      </c>
      <c r="X2" s="38"/>
      <c r="Y2" s="39">
        <v>2019</v>
      </c>
      <c r="Z2" s="40">
        <v>2020</v>
      </c>
      <c r="AA2" s="40">
        <v>2021</v>
      </c>
      <c r="AB2" s="40">
        <v>2022</v>
      </c>
      <c r="AC2" s="40" t="s">
        <v>185</v>
      </c>
      <c r="AD2" s="40" t="s">
        <v>45</v>
      </c>
      <c r="AE2" s="40" t="s">
        <v>46</v>
      </c>
      <c r="AG2" s="28">
        <v>2019</v>
      </c>
      <c r="AH2" s="28">
        <v>2020</v>
      </c>
      <c r="AI2" s="28">
        <v>2021</v>
      </c>
      <c r="AJ2" s="28">
        <v>2022</v>
      </c>
    </row>
    <row r="3" spans="19:38" ht="15" customHeight="1" x14ac:dyDescent="0.3">
      <c r="T3" s="92" t="s">
        <v>208</v>
      </c>
      <c r="U3" s="90" t="s">
        <v>209</v>
      </c>
      <c r="W3" s="37"/>
      <c r="X3" s="37" t="s">
        <v>231</v>
      </c>
      <c r="Y3" s="41">
        <f>AG3</f>
        <v>9.9147789180278778E-2</v>
      </c>
      <c r="Z3" s="41">
        <f>AH3</f>
        <v>7.4282750487327576E-2</v>
      </c>
      <c r="AA3" s="41">
        <f>AI3</f>
        <v>6.0272905975580215E-2</v>
      </c>
      <c r="AB3" s="41">
        <f>AJ3</f>
        <v>0.1007300391793251</v>
      </c>
      <c r="AC3" s="41">
        <f t="shared" ref="AC3:AE4" si="0">Z3-Y3</f>
        <v>-2.4865038692951202E-2</v>
      </c>
      <c r="AD3" s="35">
        <f t="shared" si="0"/>
        <v>-1.400984451174736E-2</v>
      </c>
      <c r="AE3" s="35">
        <f t="shared" si="0"/>
        <v>4.0457133203744888E-2</v>
      </c>
      <c r="AF3" s="84" t="s">
        <v>186</v>
      </c>
      <c r="AG3">
        <v>9.9147789180278778E-2</v>
      </c>
      <c r="AH3">
        <v>7.4282750487327576E-2</v>
      </c>
      <c r="AI3">
        <v>6.0272905975580215E-2</v>
      </c>
      <c r="AJ3">
        <v>0.1007300391793251</v>
      </c>
      <c r="AL3" s="94">
        <f>+AE3/AA3</f>
        <v>0.67123249740333146</v>
      </c>
    </row>
    <row r="4" spans="19:38" ht="15" customHeight="1" x14ac:dyDescent="0.3">
      <c r="S4" s="90" t="s">
        <v>210</v>
      </c>
      <c r="T4" s="91">
        <f>+AC3</f>
        <v>-2.4865038692951202E-2</v>
      </c>
      <c r="U4" s="91">
        <f>+AC16</f>
        <v>-2.7865193784236908E-2</v>
      </c>
      <c r="X4" s="37" t="s">
        <v>183</v>
      </c>
      <c r="Y4" s="41">
        <f t="shared" ref="Y4:AB8" si="1">AG4</f>
        <v>9.8405502736568451E-2</v>
      </c>
      <c r="Z4" s="41">
        <f t="shared" si="1"/>
        <v>9.3734554946422577E-2</v>
      </c>
      <c r="AA4" s="41">
        <f t="shared" si="1"/>
        <v>7.0412516593933105E-2</v>
      </c>
      <c r="AB4" s="41">
        <f t="shared" si="1"/>
        <v>0.10016746073961258</v>
      </c>
      <c r="AC4" s="41">
        <f t="shared" si="0"/>
        <v>-4.670947790145874E-3</v>
      </c>
      <c r="AD4" s="35">
        <f t="shared" si="0"/>
        <v>-2.3322038352489471E-2</v>
      </c>
      <c r="AE4" s="35">
        <f t="shared" si="0"/>
        <v>2.9754944145679474E-2</v>
      </c>
      <c r="AF4" s="84" t="s">
        <v>187</v>
      </c>
      <c r="AG4">
        <v>9.8405502736568451E-2</v>
      </c>
      <c r="AH4">
        <v>9.3734554946422577E-2</v>
      </c>
      <c r="AI4">
        <v>7.0412516593933105E-2</v>
      </c>
      <c r="AJ4">
        <v>0.10016746073961258</v>
      </c>
      <c r="AL4" s="94"/>
    </row>
    <row r="5" spans="19:38" ht="15" customHeight="1" x14ac:dyDescent="0.3">
      <c r="S5" s="90" t="s">
        <v>211</v>
      </c>
      <c r="T5" s="33">
        <f>+AC5</f>
        <v>-3.9932727813720703E-3</v>
      </c>
      <c r="U5" s="33">
        <f>AC18</f>
        <v>-3.2708644866943359E-3</v>
      </c>
      <c r="W5" s="37"/>
      <c r="X5" s="37" t="s">
        <v>48</v>
      </c>
      <c r="Y5" s="42">
        <f t="shared" si="1"/>
        <v>9.9147789180278778E-2</v>
      </c>
      <c r="Z5" s="42">
        <f t="shared" si="1"/>
        <v>9.5154516398906708E-2</v>
      </c>
      <c r="AA5" s="42">
        <f t="shared" si="1"/>
        <v>7.8605383634567261E-2</v>
      </c>
      <c r="AB5" s="42">
        <f t="shared" si="1"/>
        <v>0.1007300391793251</v>
      </c>
      <c r="AC5" s="41">
        <f t="shared" ref="AC5:AE8" si="2">Z5-Y5</f>
        <v>-3.9932727813720703E-3</v>
      </c>
      <c r="AD5" s="36">
        <f t="shared" si="2"/>
        <v>-1.6549132764339447E-2</v>
      </c>
      <c r="AE5" s="36">
        <f t="shared" si="2"/>
        <v>2.2124655544757843E-2</v>
      </c>
      <c r="AF5" s="84" t="s">
        <v>188</v>
      </c>
      <c r="AG5">
        <v>9.9147789180278778E-2</v>
      </c>
      <c r="AH5">
        <v>9.5154516398906708E-2</v>
      </c>
      <c r="AI5">
        <v>7.8605383634567261E-2</v>
      </c>
      <c r="AJ5">
        <v>0.1007300391793251</v>
      </c>
      <c r="AL5" s="94"/>
    </row>
    <row r="6" spans="19:38" ht="15" customHeight="1" x14ac:dyDescent="0.3">
      <c r="S6" s="90" t="s">
        <v>212</v>
      </c>
      <c r="T6" s="33">
        <f>+Z4-Y3</f>
        <v>-5.4132342338562012E-3</v>
      </c>
      <c r="U6" s="33">
        <f>Z17-Y16</f>
        <v>-3.9209872484207153E-3</v>
      </c>
      <c r="W6" s="37"/>
      <c r="X6" s="37" t="s">
        <v>47</v>
      </c>
      <c r="Y6" s="42">
        <f t="shared" si="1"/>
        <v>9.9147789180278778E-2</v>
      </c>
      <c r="Z6" s="42">
        <f t="shared" si="1"/>
        <v>7.4239395558834076E-2</v>
      </c>
      <c r="AA6" s="42">
        <f t="shared" si="1"/>
        <v>6.8725720047950745E-2</v>
      </c>
      <c r="AB6" s="42">
        <f t="shared" si="1"/>
        <v>0.1007300391793251</v>
      </c>
      <c r="AC6" s="41">
        <f t="shared" si="2"/>
        <v>-2.4908393621444702E-2</v>
      </c>
      <c r="AD6" s="36">
        <f t="shared" si="2"/>
        <v>-5.5136755108833313E-3</v>
      </c>
      <c r="AE6" s="36">
        <f t="shared" si="2"/>
        <v>3.2004319131374359E-2</v>
      </c>
      <c r="AF6" s="84" t="s">
        <v>189</v>
      </c>
      <c r="AG6">
        <v>9.9147789180278778E-2</v>
      </c>
      <c r="AH6">
        <v>7.4239395558834076E-2</v>
      </c>
      <c r="AI6">
        <v>6.8725720047950745E-2</v>
      </c>
      <c r="AJ6">
        <v>0.1007300391793251</v>
      </c>
      <c r="AL6" s="94"/>
    </row>
    <row r="7" spans="19:38" ht="15" customHeight="1" x14ac:dyDescent="0.3">
      <c r="W7" s="37"/>
      <c r="X7" s="37" t="s">
        <v>49</v>
      </c>
      <c r="Y7" s="42">
        <f t="shared" si="1"/>
        <v>9.9147789180278778E-2</v>
      </c>
      <c r="Z7" s="42">
        <f t="shared" si="1"/>
        <v>7.4239395558834076E-2</v>
      </c>
      <c r="AA7" s="42">
        <f t="shared" si="1"/>
        <v>6.414736807346344E-2</v>
      </c>
      <c r="AB7" s="42">
        <f t="shared" si="1"/>
        <v>8.963765949010849E-2</v>
      </c>
      <c r="AC7" s="41">
        <f t="shared" si="2"/>
        <v>-2.4908393621444702E-2</v>
      </c>
      <c r="AD7" s="36">
        <f t="shared" si="2"/>
        <v>-1.0092027485370636E-2</v>
      </c>
      <c r="AE7" s="36">
        <f t="shared" si="2"/>
        <v>2.549029141664505E-2</v>
      </c>
      <c r="AF7" s="84" t="s">
        <v>190</v>
      </c>
      <c r="AG7">
        <v>9.9147789180278778E-2</v>
      </c>
      <c r="AH7">
        <v>7.4239395558834076E-2</v>
      </c>
      <c r="AI7">
        <v>6.414736807346344E-2</v>
      </c>
      <c r="AJ7">
        <v>8.963765949010849E-2</v>
      </c>
      <c r="AL7" s="94">
        <f>+AE7/AA7</f>
        <v>0.39737080697454064</v>
      </c>
    </row>
    <row r="8" spans="19:38" ht="15" customHeight="1" x14ac:dyDescent="0.3">
      <c r="W8" s="37"/>
      <c r="X8" s="37" t="s">
        <v>51</v>
      </c>
      <c r="Y8" s="42">
        <f t="shared" si="1"/>
        <v>9.9147789180278778E-2</v>
      </c>
      <c r="Z8" s="42">
        <f t="shared" si="1"/>
        <v>7.4282750487327576E-2</v>
      </c>
      <c r="AA8" s="42">
        <f t="shared" si="1"/>
        <v>6.0272905975580215E-2</v>
      </c>
      <c r="AB8" s="42">
        <f t="shared" si="1"/>
        <v>7.2516448795795441E-2</v>
      </c>
      <c r="AC8" s="41">
        <f t="shared" si="2"/>
        <v>-2.4865038692951202E-2</v>
      </c>
      <c r="AD8" s="36">
        <f t="shared" si="2"/>
        <v>-1.400984451174736E-2</v>
      </c>
      <c r="AE8" s="36">
        <f t="shared" si="2"/>
        <v>1.2243542820215225E-2</v>
      </c>
      <c r="AF8" s="84" t="s">
        <v>191</v>
      </c>
      <c r="AG8">
        <v>9.9147789180278778E-2</v>
      </c>
      <c r="AH8">
        <v>7.4282750487327576E-2</v>
      </c>
      <c r="AI8">
        <v>6.0272905975580215E-2</v>
      </c>
      <c r="AJ8">
        <v>7.2516448795795441E-2</v>
      </c>
      <c r="AL8" s="94">
        <f>+AE8/AA8</f>
        <v>0.20313510062341678</v>
      </c>
    </row>
    <row r="9" spans="19:38" ht="15" customHeight="1" x14ac:dyDescent="0.3">
      <c r="S9" s="93" t="s">
        <v>217</v>
      </c>
      <c r="W9" s="158" t="s">
        <v>282</v>
      </c>
      <c r="X9" s="158"/>
      <c r="Y9" s="158"/>
      <c r="Z9" s="158"/>
      <c r="AA9" s="158"/>
      <c r="AB9" s="158"/>
      <c r="AC9" s="158"/>
      <c r="AD9" s="158"/>
      <c r="AE9" s="158"/>
      <c r="AG9" s="7"/>
      <c r="AH9" s="7"/>
      <c r="AI9" s="7"/>
      <c r="AJ9" s="7"/>
    </row>
    <row r="10" spans="19:38" ht="15" customHeight="1" x14ac:dyDescent="0.3">
      <c r="T10" s="33"/>
      <c r="W10" s="159"/>
      <c r="X10" s="159"/>
      <c r="Y10" s="159"/>
      <c r="Z10" s="159"/>
      <c r="AA10" s="159"/>
      <c r="AB10" s="159"/>
      <c r="AC10" s="159"/>
      <c r="AD10" s="159"/>
      <c r="AE10" s="159"/>
      <c r="AG10"/>
      <c r="AH10"/>
      <c r="AI10"/>
      <c r="AJ10"/>
    </row>
    <row r="11" spans="19:38" ht="15" customHeight="1" x14ac:dyDescent="0.3">
      <c r="S11" s="90" t="s">
        <v>211</v>
      </c>
      <c r="T11" s="33">
        <f>+T4-T5</f>
        <v>-2.0871765911579132E-2</v>
      </c>
      <c r="U11" s="33">
        <f>+U4-U5</f>
        <v>-2.4594329297542572E-2</v>
      </c>
    </row>
    <row r="12" spans="19:38" ht="15" customHeight="1" x14ac:dyDescent="0.3">
      <c r="S12" s="90" t="s">
        <v>212</v>
      </c>
      <c r="T12" s="33">
        <f>+T4-T6</f>
        <v>-1.9451804459095001E-2</v>
      </c>
      <c r="U12" s="33">
        <f>+U4-U6</f>
        <v>-2.3944206535816193E-2</v>
      </c>
    </row>
    <row r="13" spans="19:38" ht="15" customHeight="1" x14ac:dyDescent="0.3">
      <c r="S13" s="93" t="s">
        <v>218</v>
      </c>
    </row>
    <row r="14" spans="19:38" ht="15" customHeight="1" thickBot="1" x14ac:dyDescent="0.35">
      <c r="S14" s="30"/>
      <c r="T14" s="34"/>
      <c r="U14" s="34"/>
      <c r="W14" s="37" t="s">
        <v>281</v>
      </c>
      <c r="X14" s="37"/>
      <c r="Y14" s="37"/>
      <c r="Z14" s="37"/>
      <c r="AA14" s="37"/>
      <c r="AB14" s="37"/>
      <c r="AC14" s="37"/>
      <c r="AD14" s="37"/>
      <c r="AE14" s="37"/>
    </row>
    <row r="15" spans="19:38" ht="15" customHeight="1" thickTop="1" x14ac:dyDescent="0.3">
      <c r="T15" s="33">
        <f>+T11/T4</f>
        <v>0.83940210869231058</v>
      </c>
      <c r="U15" s="33">
        <f>+U11/U4</f>
        <v>0.88261827597464493</v>
      </c>
      <c r="W15" s="38" t="s">
        <v>37</v>
      </c>
      <c r="X15" s="38"/>
      <c r="Y15" s="39">
        <v>2019</v>
      </c>
      <c r="Z15" s="40">
        <v>2020</v>
      </c>
      <c r="AA15" s="40">
        <v>2021</v>
      </c>
      <c r="AB15" s="40">
        <v>2022</v>
      </c>
      <c r="AC15" s="40" t="s">
        <v>185</v>
      </c>
      <c r="AD15" s="40" t="s">
        <v>45</v>
      </c>
      <c r="AE15" s="40" t="s">
        <v>46</v>
      </c>
      <c r="AG15" s="28">
        <v>2019</v>
      </c>
      <c r="AH15" s="28">
        <v>2020</v>
      </c>
      <c r="AI15" s="28">
        <v>2021</v>
      </c>
      <c r="AJ15" s="28">
        <v>2022</v>
      </c>
    </row>
    <row r="16" spans="19:38" ht="15" customHeight="1" x14ac:dyDescent="0.3">
      <c r="S16" s="33"/>
      <c r="T16" s="33"/>
      <c r="U16" s="33"/>
      <c r="W16" s="37"/>
      <c r="X16" s="37" t="s">
        <v>226</v>
      </c>
      <c r="Y16" s="41">
        <f t="shared" ref="Y16:AB21" si="3">AG16</f>
        <v>0.1119672879576683</v>
      </c>
      <c r="Z16" s="41">
        <f t="shared" si="3"/>
        <v>8.4102094173431396E-2</v>
      </c>
      <c r="AA16" s="41">
        <f t="shared" si="3"/>
        <v>4.8120692372322083E-2</v>
      </c>
      <c r="AB16" s="41">
        <f t="shared" si="3"/>
        <v>0.10846481472253799</v>
      </c>
      <c r="AC16" s="41">
        <f t="shared" ref="AC16:AE17" si="4">Z16-Y16</f>
        <v>-2.7865193784236908E-2</v>
      </c>
      <c r="AD16" s="35">
        <f t="shared" si="4"/>
        <v>-3.5981401801109314E-2</v>
      </c>
      <c r="AE16" s="35">
        <f t="shared" si="4"/>
        <v>6.0344122350215912E-2</v>
      </c>
      <c r="AF16" s="77" t="s">
        <v>178</v>
      </c>
      <c r="AG16">
        <v>0.1119672879576683</v>
      </c>
      <c r="AH16">
        <v>8.4102094173431396E-2</v>
      </c>
      <c r="AI16">
        <v>4.8120692372322083E-2</v>
      </c>
      <c r="AJ16">
        <v>0.10846481472253799</v>
      </c>
      <c r="AL16" s="94">
        <f>+AE16/AA16</f>
        <v>1.2540160869531558</v>
      </c>
    </row>
    <row r="17" spans="1:36" ht="15" customHeight="1" x14ac:dyDescent="0.3">
      <c r="S17" s="33"/>
      <c r="T17" s="33"/>
      <c r="U17" s="33"/>
      <c r="X17" s="37" t="s">
        <v>183</v>
      </c>
      <c r="Y17" s="41">
        <f t="shared" si="3"/>
        <v>0.11078023910522461</v>
      </c>
      <c r="Z17" s="41">
        <f t="shared" si="3"/>
        <v>0.10804630070924759</v>
      </c>
      <c r="AA17" s="41">
        <f t="shared" si="3"/>
        <v>5.845244973897934E-2</v>
      </c>
      <c r="AB17" s="41">
        <f t="shared" si="3"/>
        <v>0.10795197635889053</v>
      </c>
      <c r="AC17" s="41">
        <f t="shared" si="4"/>
        <v>-2.7339383959770203E-3</v>
      </c>
      <c r="AD17" s="35">
        <f t="shared" si="4"/>
        <v>-4.959385097026825E-2</v>
      </c>
      <c r="AE17" s="35">
        <f t="shared" si="4"/>
        <v>4.9499526619911194E-2</v>
      </c>
      <c r="AF17" s="79" t="s">
        <v>184</v>
      </c>
      <c r="AG17">
        <v>0.11078023910522461</v>
      </c>
      <c r="AH17">
        <v>0.10804630070924759</v>
      </c>
      <c r="AI17">
        <v>5.845244973897934E-2</v>
      </c>
      <c r="AJ17">
        <v>0.10795197635889053</v>
      </c>
    </row>
    <row r="18" spans="1:36" ht="15" customHeight="1" x14ac:dyDescent="0.3">
      <c r="W18" s="37"/>
      <c r="X18" s="37" t="s">
        <v>48</v>
      </c>
      <c r="Y18" s="42">
        <f t="shared" si="3"/>
        <v>0.1119672879576683</v>
      </c>
      <c r="Z18" s="42">
        <f t="shared" si="3"/>
        <v>0.10869642347097397</v>
      </c>
      <c r="AA18" s="42">
        <f t="shared" si="3"/>
        <v>6.9414496421813965E-2</v>
      </c>
      <c r="AB18" s="42">
        <f t="shared" si="3"/>
        <v>0.10846481472253799</v>
      </c>
      <c r="AC18" s="41">
        <f t="shared" ref="AC18:AE21" si="5">Z18-Y18</f>
        <v>-3.2708644866943359E-3</v>
      </c>
      <c r="AD18" s="36">
        <f t="shared" si="5"/>
        <v>-3.9281927049160004E-2</v>
      </c>
      <c r="AE18" s="36">
        <f t="shared" si="5"/>
        <v>3.905031830072403E-2</v>
      </c>
      <c r="AF18" s="77" t="s">
        <v>179</v>
      </c>
      <c r="AG18">
        <v>0.1119672879576683</v>
      </c>
      <c r="AH18">
        <v>0.10869642347097397</v>
      </c>
      <c r="AI18">
        <v>6.9414496421813965E-2</v>
      </c>
      <c r="AJ18">
        <v>0.10846481472253799</v>
      </c>
    </row>
    <row r="19" spans="1:36" ht="15" customHeight="1" x14ac:dyDescent="0.3">
      <c r="A19" s="165" t="s">
        <v>312</v>
      </c>
      <c r="B19" s="164"/>
      <c r="C19" s="164"/>
      <c r="D19" s="164"/>
      <c r="E19" s="164"/>
      <c r="F19" s="164"/>
      <c r="G19" s="164"/>
      <c r="H19" s="164"/>
      <c r="I19" s="164"/>
      <c r="J19" s="164"/>
      <c r="K19" s="164"/>
      <c r="L19" s="164"/>
      <c r="M19" s="164"/>
      <c r="N19" s="164"/>
      <c r="O19" s="164"/>
      <c r="P19" s="164"/>
      <c r="W19" s="37"/>
      <c r="X19" s="37" t="s">
        <v>47</v>
      </c>
      <c r="Y19" s="42">
        <f t="shared" si="3"/>
        <v>0.1119672879576683</v>
      </c>
      <c r="Z19" s="42">
        <f t="shared" si="3"/>
        <v>8.3975240588188171E-2</v>
      </c>
      <c r="AA19" s="42">
        <f t="shared" si="3"/>
        <v>7.0464514195919037E-2</v>
      </c>
      <c r="AB19" s="42">
        <f t="shared" si="3"/>
        <v>0.10846481472253799</v>
      </c>
      <c r="AC19" s="41">
        <f t="shared" si="5"/>
        <v>-2.7992047369480133E-2</v>
      </c>
      <c r="AD19" s="36">
        <f t="shared" si="5"/>
        <v>-1.3510726392269135E-2</v>
      </c>
      <c r="AE19" s="36">
        <f t="shared" si="5"/>
        <v>3.8000300526618958E-2</v>
      </c>
      <c r="AF19" s="77" t="s">
        <v>180</v>
      </c>
      <c r="AG19">
        <v>0.1119672879576683</v>
      </c>
      <c r="AH19">
        <v>8.3975240588188171E-2</v>
      </c>
      <c r="AI19">
        <v>7.0464514195919037E-2</v>
      </c>
      <c r="AJ19">
        <v>0.10846481472253799</v>
      </c>
    </row>
    <row r="20" spans="1:36" ht="15" customHeight="1" x14ac:dyDescent="0.3">
      <c r="A20" s="164"/>
      <c r="B20" s="164"/>
      <c r="C20" s="164"/>
      <c r="D20" s="164"/>
      <c r="E20" s="164"/>
      <c r="F20" s="164"/>
      <c r="G20" s="164"/>
      <c r="H20" s="164"/>
      <c r="I20" s="164"/>
      <c r="J20" s="164"/>
      <c r="K20" s="164"/>
      <c r="L20" s="164"/>
      <c r="M20" s="164"/>
      <c r="N20" s="164"/>
      <c r="O20" s="164"/>
      <c r="P20" s="164"/>
      <c r="W20" s="37"/>
      <c r="X20" s="37" t="s">
        <v>49</v>
      </c>
      <c r="Y20" s="42">
        <f t="shared" si="3"/>
        <v>0.1119672879576683</v>
      </c>
      <c r="Z20" s="42">
        <f t="shared" si="3"/>
        <v>8.3975240588188171E-2</v>
      </c>
      <c r="AA20" s="42">
        <f t="shared" si="3"/>
        <v>5.8242481201887131E-2</v>
      </c>
      <c r="AB20" s="42">
        <f t="shared" si="3"/>
        <v>7.876606285572052E-2</v>
      </c>
      <c r="AC20" s="41">
        <f t="shared" si="5"/>
        <v>-2.7992047369480133E-2</v>
      </c>
      <c r="AD20" s="36">
        <f t="shared" si="5"/>
        <v>-2.5732759386301041E-2</v>
      </c>
      <c r="AE20" s="36">
        <f t="shared" si="5"/>
        <v>2.0523581653833389E-2</v>
      </c>
      <c r="AF20" s="77" t="s">
        <v>181</v>
      </c>
      <c r="AG20">
        <v>0.1119672879576683</v>
      </c>
      <c r="AH20">
        <v>8.3975240588188171E-2</v>
      </c>
      <c r="AI20">
        <v>5.8242481201887131E-2</v>
      </c>
      <c r="AJ20">
        <v>7.876606285572052E-2</v>
      </c>
    </row>
    <row r="21" spans="1:36" ht="15" customHeight="1" x14ac:dyDescent="0.3">
      <c r="A21" s="114"/>
      <c r="B21" s="114"/>
      <c r="C21" s="114"/>
      <c r="D21" s="114"/>
      <c r="E21" s="114"/>
      <c r="F21" s="114"/>
      <c r="G21" s="114"/>
      <c r="H21" s="114"/>
      <c r="I21" s="114"/>
      <c r="J21" s="114"/>
      <c r="K21" s="114"/>
      <c r="L21" s="114"/>
      <c r="M21" s="114"/>
      <c r="N21" s="114"/>
      <c r="O21" s="114"/>
      <c r="P21" s="114"/>
      <c r="W21" s="37"/>
      <c r="X21" s="37" t="s">
        <v>51</v>
      </c>
      <c r="Y21" s="42">
        <f t="shared" si="3"/>
        <v>0.1119672879576683</v>
      </c>
      <c r="Z21" s="42">
        <f t="shared" si="3"/>
        <v>8.4102094173431396E-2</v>
      </c>
      <c r="AA21" s="42">
        <f t="shared" si="3"/>
        <v>4.8120692372322083E-2</v>
      </c>
      <c r="AB21" s="42">
        <f t="shared" si="3"/>
        <v>7.0176787674427032E-2</v>
      </c>
      <c r="AC21" s="41">
        <f t="shared" si="5"/>
        <v>-2.7865193784236908E-2</v>
      </c>
      <c r="AD21" s="36">
        <f t="shared" si="5"/>
        <v>-3.5981401801109314E-2</v>
      </c>
      <c r="AE21" s="36">
        <f t="shared" si="5"/>
        <v>2.205609530210495E-2</v>
      </c>
      <c r="AF21" s="77" t="s">
        <v>182</v>
      </c>
      <c r="AG21">
        <v>0.1119672879576683</v>
      </c>
      <c r="AH21">
        <v>8.4102094173431396E-2</v>
      </c>
      <c r="AI21">
        <v>4.8120692372322083E-2</v>
      </c>
      <c r="AJ21">
        <v>7.0176787674427032E-2</v>
      </c>
    </row>
    <row r="22" spans="1:36" ht="15" customHeight="1" x14ac:dyDescent="0.3">
      <c r="A22" s="114"/>
      <c r="B22" s="114"/>
      <c r="C22" s="114"/>
      <c r="D22" s="114"/>
      <c r="E22" s="114"/>
      <c r="F22" s="114"/>
      <c r="G22" s="114"/>
      <c r="H22" s="114"/>
      <c r="I22" s="114"/>
      <c r="J22" s="114"/>
      <c r="K22" s="114"/>
      <c r="L22" s="114"/>
      <c r="M22" s="114"/>
      <c r="N22" s="114"/>
      <c r="O22" s="114"/>
      <c r="P22" s="114"/>
      <c r="W22" s="158" t="s">
        <v>283</v>
      </c>
      <c r="X22" s="158"/>
      <c r="Y22" s="158"/>
      <c r="Z22" s="158"/>
      <c r="AA22" s="158"/>
      <c r="AB22" s="158"/>
      <c r="AC22" s="158"/>
      <c r="AD22" s="158"/>
      <c r="AE22" s="158"/>
      <c r="AG22" s="7"/>
      <c r="AH22" s="7"/>
      <c r="AI22" s="7"/>
      <c r="AJ22" s="7"/>
    </row>
    <row r="23" spans="1:36" ht="15" customHeight="1" x14ac:dyDescent="0.3">
      <c r="A23" s="114"/>
      <c r="B23" s="114"/>
      <c r="C23" s="114"/>
      <c r="D23" s="114"/>
      <c r="E23" s="114"/>
      <c r="F23" s="114"/>
      <c r="G23" s="114"/>
      <c r="H23" s="114"/>
      <c r="I23" s="114"/>
      <c r="J23" s="114"/>
      <c r="K23" s="114"/>
      <c r="L23" s="114"/>
      <c r="M23" s="114"/>
      <c r="N23" s="114"/>
      <c r="O23" s="114"/>
      <c r="P23" s="114"/>
      <c r="W23" s="159"/>
      <c r="X23" s="159"/>
      <c r="Y23" s="159"/>
      <c r="Z23" s="159"/>
      <c r="AA23" s="159"/>
      <c r="AB23" s="159"/>
      <c r="AC23" s="159"/>
      <c r="AD23" s="159"/>
      <c r="AE23" s="159"/>
      <c r="AG23"/>
      <c r="AH23"/>
      <c r="AI23">
        <f>AI19-AI16</f>
        <v>2.2343821823596954E-2</v>
      </c>
      <c r="AJ23"/>
    </row>
    <row r="24" spans="1:36" ht="15" customHeight="1" x14ac:dyDescent="0.3">
      <c r="R24" s="93" t="s">
        <v>214</v>
      </c>
      <c r="S24" s="93"/>
    </row>
    <row r="25" spans="1:36" ht="15" customHeight="1" x14ac:dyDescent="0.3">
      <c r="S25" s="92" t="s">
        <v>208</v>
      </c>
      <c r="T25" s="90" t="s">
        <v>209</v>
      </c>
      <c r="Z25" s="123" t="s">
        <v>278</v>
      </c>
      <c r="AA25" s="28">
        <f>AA16-AA19</f>
        <v>-2.2343821823596954E-2</v>
      </c>
    </row>
    <row r="26" spans="1:36" ht="15" customHeight="1" x14ac:dyDescent="0.3">
      <c r="R26" s="90" t="s">
        <v>210</v>
      </c>
      <c r="S26" s="91">
        <f>+AD3</f>
        <v>-1.400984451174736E-2</v>
      </c>
      <c r="T26" s="91">
        <f>+AD16</f>
        <v>-3.5981401801109314E-2</v>
      </c>
      <c r="Z26" s="123" t="s">
        <v>279</v>
      </c>
      <c r="AA26" s="94">
        <f>AA25/AA19</f>
        <v>-0.31709325010703049</v>
      </c>
    </row>
    <row r="27" spans="1:36" ht="15" customHeight="1" x14ac:dyDescent="0.3">
      <c r="R27" s="107" t="s">
        <v>234</v>
      </c>
      <c r="S27" s="33">
        <f>+AD6</f>
        <v>-5.5136755108833313E-3</v>
      </c>
      <c r="T27" s="33">
        <f>+AD19</f>
        <v>-1.3510726392269135E-2</v>
      </c>
    </row>
    <row r="28" spans="1:36" ht="15" customHeight="1" x14ac:dyDescent="0.3">
      <c r="R28" s="107" t="s">
        <v>235</v>
      </c>
      <c r="S28" s="33">
        <f>+AA5-Z3</f>
        <v>4.3226331472396851E-3</v>
      </c>
      <c r="T28" s="33">
        <f>+AA18-Z16</f>
        <v>-1.4687597751617432E-2</v>
      </c>
    </row>
    <row r="29" spans="1:36" ht="15" customHeight="1" x14ac:dyDescent="0.3">
      <c r="R29" s="107" t="s">
        <v>212</v>
      </c>
      <c r="S29" s="33">
        <f>AA4-Z3</f>
        <v>-3.8702338933944702E-3</v>
      </c>
      <c r="T29" s="33">
        <f>AA17-Z16</f>
        <v>-2.5649644434452057E-2</v>
      </c>
      <c r="X29" s="115"/>
      <c r="Y29" s="115"/>
      <c r="Z29" s="115"/>
      <c r="AA29" s="115"/>
      <c r="AB29" s="115"/>
      <c r="AC29" s="115"/>
      <c r="AD29" s="115"/>
      <c r="AE29" s="115"/>
    </row>
    <row r="30" spans="1:36" ht="15" customHeight="1" x14ac:dyDescent="0.3">
      <c r="W30" s="115"/>
      <c r="X30" s="115"/>
      <c r="Y30" s="115"/>
      <c r="Z30" s="115"/>
      <c r="AA30" s="115"/>
      <c r="AB30" s="115"/>
      <c r="AC30" s="115"/>
      <c r="AD30" s="115"/>
      <c r="AE30" s="115"/>
    </row>
    <row r="31" spans="1:36" ht="15" customHeight="1" x14ac:dyDescent="0.3">
      <c r="R31" s="93" t="s">
        <v>217</v>
      </c>
      <c r="W31" s="115"/>
      <c r="X31" s="115"/>
      <c r="Y31" s="115"/>
      <c r="Z31" s="115"/>
      <c r="AA31" s="115"/>
      <c r="AB31" s="115"/>
      <c r="AC31" s="115"/>
      <c r="AD31" s="115"/>
      <c r="AE31" s="115"/>
    </row>
    <row r="32" spans="1:36" ht="15" customHeight="1" x14ac:dyDescent="0.3">
      <c r="R32" s="107" t="s">
        <v>234</v>
      </c>
      <c r="S32" s="33">
        <f>+S26-S27</f>
        <v>-8.4961690008640289E-3</v>
      </c>
      <c r="T32" s="33">
        <f>+T26-T27</f>
        <v>-2.2470675408840179E-2</v>
      </c>
    </row>
    <row r="33" spans="1:35" ht="15" customHeight="1" x14ac:dyDescent="0.3">
      <c r="R33" s="107" t="s">
        <v>235</v>
      </c>
      <c r="S33" s="33">
        <f>+S26-S28</f>
        <v>-1.8332477658987045E-2</v>
      </c>
      <c r="T33" s="33">
        <f>+T26-T28</f>
        <v>-2.1293804049491882E-2</v>
      </c>
    </row>
    <row r="34" spans="1:35" ht="15" customHeight="1" x14ac:dyDescent="0.3">
      <c r="R34" s="107" t="s">
        <v>212</v>
      </c>
      <c r="S34" s="33">
        <f>+S26-S29</f>
        <v>-1.013961061835289E-2</v>
      </c>
      <c r="T34" s="33">
        <f>+T26-T29</f>
        <v>-1.0331757366657257E-2</v>
      </c>
    </row>
    <row r="35" spans="1:35" ht="15" customHeight="1" x14ac:dyDescent="0.3">
      <c r="R35" s="93" t="s">
        <v>218</v>
      </c>
    </row>
    <row r="36" spans="1:35" ht="15" customHeight="1" x14ac:dyDescent="0.3">
      <c r="S36" s="135">
        <f t="shared" ref="S36:T38" si="6">+S32/S$26</f>
        <v>0.60644277627349308</v>
      </c>
      <c r="T36" s="135">
        <f t="shared" si="6"/>
        <v>0.62450805927598418</v>
      </c>
    </row>
    <row r="37" spans="1:35" ht="15" customHeight="1" x14ac:dyDescent="0.3">
      <c r="S37" s="135">
        <f t="shared" si="6"/>
        <v>1.3085425497488659</v>
      </c>
      <c r="T37" s="135">
        <f t="shared" si="6"/>
        <v>0.59180029080566254</v>
      </c>
    </row>
    <row r="38" spans="1:35" ht="15" customHeight="1" x14ac:dyDescent="0.3">
      <c r="Q38" s="78"/>
      <c r="S38" s="135">
        <f t="shared" si="6"/>
        <v>0.72374897593265575</v>
      </c>
      <c r="T38" s="135">
        <f t="shared" si="6"/>
        <v>0.28714160231352426</v>
      </c>
    </row>
    <row r="39" spans="1:35" ht="15" customHeight="1" x14ac:dyDescent="0.3">
      <c r="Q39" s="33"/>
    </row>
    <row r="40" spans="1:35" ht="15" customHeight="1" x14ac:dyDescent="0.3">
      <c r="Q40" s="33"/>
    </row>
    <row r="41" spans="1:35" ht="15" customHeight="1" x14ac:dyDescent="0.3">
      <c r="A41" s="165" t="s">
        <v>313</v>
      </c>
      <c r="B41" s="164"/>
      <c r="C41" s="164"/>
      <c r="D41" s="164"/>
      <c r="E41" s="164"/>
      <c r="F41" s="164"/>
      <c r="G41" s="164"/>
      <c r="H41" s="164"/>
      <c r="I41" s="164"/>
      <c r="J41" s="164"/>
      <c r="K41" s="164"/>
      <c r="L41" s="164"/>
      <c r="M41" s="164"/>
      <c r="N41" s="164"/>
      <c r="O41" s="164"/>
      <c r="P41" s="164"/>
    </row>
    <row r="42" spans="1:35" ht="15" customHeight="1" x14ac:dyDescent="0.3">
      <c r="A42" s="164"/>
      <c r="B42" s="164"/>
      <c r="C42" s="164"/>
      <c r="D42" s="164"/>
      <c r="E42" s="164"/>
      <c r="F42" s="164"/>
      <c r="G42" s="164"/>
      <c r="H42" s="164"/>
      <c r="I42" s="164"/>
      <c r="J42" s="164"/>
      <c r="K42" s="164"/>
      <c r="L42" s="164"/>
      <c r="M42" s="164"/>
      <c r="N42" s="164"/>
      <c r="O42" s="164"/>
      <c r="P42" s="164"/>
    </row>
    <row r="43" spans="1:35" ht="15" customHeight="1" x14ac:dyDescent="0.3">
      <c r="A43" s="136"/>
      <c r="B43" s="136"/>
      <c r="C43" s="136"/>
      <c r="D43" s="136"/>
      <c r="E43" s="136"/>
      <c r="F43" s="136"/>
      <c r="G43" s="136"/>
      <c r="H43" s="136"/>
      <c r="I43" s="136"/>
      <c r="J43" s="136"/>
      <c r="K43" s="136"/>
      <c r="L43" s="136"/>
      <c r="M43" s="136"/>
      <c r="N43" s="136"/>
      <c r="O43" s="136"/>
      <c r="P43" s="136"/>
    </row>
    <row r="44" spans="1:35" ht="15" customHeight="1" x14ac:dyDescent="0.3">
      <c r="A44" s="114"/>
      <c r="B44" s="114"/>
      <c r="C44" s="114"/>
      <c r="D44" s="114"/>
      <c r="E44" s="114"/>
      <c r="F44" s="114"/>
      <c r="G44" s="114"/>
      <c r="H44" s="114"/>
      <c r="I44" s="114"/>
      <c r="J44" s="114"/>
      <c r="K44" s="114"/>
      <c r="L44" s="114"/>
      <c r="M44" s="114"/>
      <c r="N44" s="114"/>
      <c r="O44" s="114"/>
      <c r="P44" s="114"/>
    </row>
    <row r="45" spans="1:35" ht="15" customHeight="1" x14ac:dyDescent="0.3">
      <c r="A45" s="114"/>
      <c r="B45" s="114"/>
      <c r="C45" s="114"/>
      <c r="D45" s="114"/>
      <c r="E45" s="114"/>
      <c r="F45" s="114"/>
      <c r="G45" s="114"/>
      <c r="H45" s="114"/>
      <c r="I45" s="114"/>
      <c r="J45" s="114"/>
      <c r="K45" s="114"/>
      <c r="L45" s="114"/>
      <c r="M45" s="114"/>
      <c r="N45" s="114"/>
      <c r="O45" s="114"/>
      <c r="P45" s="114"/>
      <c r="AA45" s="30"/>
      <c r="AB45" s="99"/>
      <c r="AC45" s="99"/>
      <c r="AD45" s="100"/>
      <c r="AE45" s="100"/>
    </row>
    <row r="46" spans="1:35" ht="15" customHeight="1" x14ac:dyDescent="0.3">
      <c r="AA46" s="101"/>
      <c r="AB46" s="99"/>
      <c r="AC46" s="100"/>
      <c r="AD46" s="100"/>
      <c r="AE46" s="100"/>
      <c r="AI46" s="87"/>
    </row>
    <row r="47" spans="1:35" ht="15" customHeight="1" x14ac:dyDescent="0.3">
      <c r="AA47" s="102"/>
      <c r="AB47" s="103"/>
      <c r="AC47" s="103"/>
      <c r="AD47" s="100"/>
      <c r="AE47" s="100"/>
      <c r="AI47" s="87"/>
    </row>
    <row r="48" spans="1:35" ht="15" customHeight="1" x14ac:dyDescent="0.3">
      <c r="X48" s="82"/>
      <c r="Y48" s="83"/>
      <c r="AB48" s="104"/>
      <c r="AC48" s="99"/>
      <c r="AD48" s="100"/>
      <c r="AE48" s="100"/>
    </row>
    <row r="49" spans="1:61" ht="15" customHeight="1" x14ac:dyDescent="0.3">
      <c r="AB49" s="104"/>
      <c r="AC49" s="82"/>
    </row>
    <row r="50" spans="1:61" ht="15" customHeight="1" x14ac:dyDescent="0.3">
      <c r="AB50" s="104"/>
      <c r="AC50" s="82"/>
      <c r="AD50" s="82"/>
    </row>
    <row r="51" spans="1:61" ht="15" customHeight="1" x14ac:dyDescent="0.3">
      <c r="U51" s="78"/>
      <c r="AA51" s="30"/>
      <c r="AB51" s="99"/>
      <c r="AC51" s="99"/>
      <c r="AD51" s="105"/>
      <c r="AE51" s="105"/>
    </row>
    <row r="52" spans="1:61" ht="15" customHeight="1" x14ac:dyDescent="0.3">
      <c r="U52" s="33"/>
      <c r="AA52" s="101"/>
      <c r="AB52" s="106"/>
      <c r="AC52" s="105"/>
      <c r="AD52" s="105"/>
      <c r="AE52" s="105"/>
    </row>
    <row r="53" spans="1:61" ht="15" customHeight="1" x14ac:dyDescent="0.3">
      <c r="U53" s="33"/>
      <c r="Z53"/>
      <c r="AA53" s="29"/>
      <c r="AB53" s="32"/>
      <c r="AC53" s="32"/>
      <c r="AD53" s="31"/>
      <c r="AE53" s="31"/>
    </row>
    <row r="54" spans="1:61" ht="15" customHeight="1" x14ac:dyDescent="0.3">
      <c r="Z54"/>
      <c r="AA54" s="29"/>
      <c r="AB54" s="81"/>
      <c r="AC54" s="32"/>
      <c r="AD54" s="31"/>
      <c r="AE54" s="31"/>
    </row>
    <row r="55" spans="1:61" ht="15" customHeight="1" x14ac:dyDescent="0.3"/>
    <row r="56" spans="1:61" ht="15" customHeight="1" x14ac:dyDescent="0.3"/>
    <row r="57" spans="1:61" ht="15" customHeight="1" x14ac:dyDescent="0.3">
      <c r="N57" s="79"/>
      <c r="O57" s="33"/>
      <c r="P57" s="33"/>
    </row>
    <row r="58" spans="1:61" ht="15" customHeight="1" x14ac:dyDescent="0.3">
      <c r="N58" s="89"/>
      <c r="O58" s="88"/>
      <c r="P58" s="88"/>
      <c r="Q58" s="88"/>
      <c r="R58" s="88"/>
      <c r="S58" s="93" t="s">
        <v>215</v>
      </c>
      <c r="BI58" s="88"/>
    </row>
    <row r="59" spans="1:61" ht="15" customHeight="1" x14ac:dyDescent="0.3">
      <c r="T59" s="92" t="s">
        <v>208</v>
      </c>
      <c r="U59" s="90" t="s">
        <v>209</v>
      </c>
    </row>
    <row r="60" spans="1:61" ht="15" customHeight="1" x14ac:dyDescent="0.3">
      <c r="S60" s="90" t="s">
        <v>210</v>
      </c>
      <c r="T60" s="91">
        <f>+AE3</f>
        <v>4.0457133203744888E-2</v>
      </c>
      <c r="U60" s="91">
        <f>+AE16</f>
        <v>6.0344122350215912E-2</v>
      </c>
    </row>
    <row r="61" spans="1:61" ht="15" customHeight="1" x14ac:dyDescent="0.3">
      <c r="S61" s="107" t="s">
        <v>236</v>
      </c>
      <c r="T61" s="33">
        <f>+AE7</f>
        <v>2.549029141664505E-2</v>
      </c>
      <c r="U61" s="33">
        <f>+AE20</f>
        <v>2.0523581653833389E-2</v>
      </c>
    </row>
    <row r="62" spans="1:61" ht="15" customHeight="1" x14ac:dyDescent="0.3">
      <c r="S62" s="107" t="s">
        <v>237</v>
      </c>
      <c r="T62" s="33">
        <f>+AE8</f>
        <v>1.2243542820215225E-2</v>
      </c>
      <c r="U62" s="33">
        <f>+AE21</f>
        <v>2.205609530210495E-2</v>
      </c>
    </row>
    <row r="63" spans="1:61" ht="15" customHeight="1" x14ac:dyDescent="0.3">
      <c r="S63" s="90"/>
    </row>
    <row r="64" spans="1:61" ht="15" customHeight="1" x14ac:dyDescent="0.3">
      <c r="A64" s="165" t="s">
        <v>314</v>
      </c>
      <c r="B64" s="164"/>
      <c r="C64" s="164"/>
      <c r="D64" s="164"/>
      <c r="E64" s="164"/>
      <c r="F64" s="164"/>
      <c r="G64" s="164"/>
      <c r="H64" s="164"/>
      <c r="I64" s="164"/>
      <c r="J64" s="164"/>
      <c r="K64" s="164"/>
      <c r="L64" s="164"/>
      <c r="M64" s="164"/>
      <c r="N64" s="164"/>
      <c r="O64" s="164"/>
      <c r="P64" s="164"/>
    </row>
    <row r="65" spans="1:54" ht="15" customHeight="1" x14ac:dyDescent="0.3">
      <c r="A65" s="164"/>
      <c r="B65" s="164"/>
      <c r="C65" s="164"/>
      <c r="D65" s="164"/>
      <c r="E65" s="164"/>
      <c r="F65" s="164"/>
      <c r="G65" s="164"/>
      <c r="H65" s="164"/>
      <c r="I65" s="164"/>
      <c r="J65" s="164"/>
      <c r="K65" s="164"/>
      <c r="L65" s="164"/>
      <c r="M65" s="164"/>
      <c r="N65" s="164"/>
      <c r="O65" s="164"/>
      <c r="P65" s="164"/>
      <c r="S65" s="93" t="s">
        <v>217</v>
      </c>
    </row>
    <row r="66" spans="1:54" ht="15" customHeight="1" x14ac:dyDescent="0.3">
      <c r="A66" s="136"/>
      <c r="B66" s="136"/>
      <c r="C66" s="136"/>
      <c r="D66" s="136"/>
      <c r="E66" s="136"/>
      <c r="F66" s="136"/>
      <c r="G66" s="136"/>
      <c r="H66" s="136"/>
      <c r="I66" s="136"/>
      <c r="J66" s="136"/>
      <c r="K66" s="136"/>
      <c r="L66" s="136"/>
      <c r="M66" s="136"/>
      <c r="N66" s="136"/>
      <c r="O66" s="136"/>
      <c r="P66" s="136"/>
      <c r="S66" s="107" t="s">
        <v>236</v>
      </c>
      <c r="T66" s="33">
        <f>+T60-T61</f>
        <v>1.4966841787099838E-2</v>
      </c>
      <c r="U66" s="33">
        <f>+U60-U61</f>
        <v>3.9820540696382523E-2</v>
      </c>
    </row>
    <row r="67" spans="1:54" x14ac:dyDescent="0.3">
      <c r="A67" s="114"/>
      <c r="B67" s="114"/>
      <c r="C67" s="114"/>
      <c r="D67" s="114"/>
      <c r="E67" s="114"/>
      <c r="F67" s="114"/>
      <c r="G67" s="114"/>
      <c r="H67" s="114"/>
      <c r="I67" s="114"/>
      <c r="J67" s="114"/>
      <c r="K67" s="114"/>
      <c r="L67" s="114"/>
      <c r="M67" s="114"/>
      <c r="N67" s="114"/>
      <c r="O67" s="114"/>
      <c r="P67" s="114"/>
      <c r="S67" s="107" t="s">
        <v>237</v>
      </c>
      <c r="T67" s="33">
        <f>+T60-T62</f>
        <v>2.8213590383529663E-2</v>
      </c>
      <c r="U67" s="33">
        <f>+U60-U62</f>
        <v>3.8288027048110962E-2</v>
      </c>
    </row>
    <row r="68" spans="1:54" x14ac:dyDescent="0.3">
      <c r="A68" s="114"/>
      <c r="B68" s="114"/>
      <c r="C68" s="114"/>
      <c r="D68" s="114"/>
      <c r="E68" s="114"/>
      <c r="F68" s="114"/>
      <c r="G68" s="114"/>
      <c r="H68" s="114"/>
      <c r="I68" s="114"/>
      <c r="J68" s="114"/>
      <c r="K68" s="114"/>
      <c r="L68" s="114"/>
      <c r="M68" s="114"/>
      <c r="N68" s="114"/>
      <c r="O68" s="114"/>
      <c r="P68" s="114"/>
      <c r="T68" s="33"/>
    </row>
    <row r="69" spans="1:54" x14ac:dyDescent="0.3">
      <c r="S69" s="93" t="s">
        <v>218</v>
      </c>
    </row>
    <row r="70" spans="1:54" x14ac:dyDescent="0.3">
      <c r="T70" s="124">
        <f>+T66/T$60</f>
        <v>0.36994321154012078</v>
      </c>
      <c r="U70" s="124">
        <f>+U66/U$60</f>
        <v>0.65989095781819829</v>
      </c>
    </row>
    <row r="71" spans="1:54" x14ac:dyDescent="0.3">
      <c r="T71" s="124">
        <f>+T67/T$60</f>
        <v>0.6973699851999916</v>
      </c>
      <c r="U71" s="124">
        <f>+U67/U$60</f>
        <v>0.6344947205611976</v>
      </c>
    </row>
    <row r="76" spans="1:54" x14ac:dyDescent="0.3">
      <c r="BA76" s="34"/>
      <c r="BB76" s="34"/>
    </row>
    <row r="95" spans="53:56" x14ac:dyDescent="0.3">
      <c r="BA95" s="34"/>
      <c r="BB95" s="34"/>
    </row>
    <row r="96" spans="53:56" x14ac:dyDescent="0.3">
      <c r="BB96" s="80"/>
      <c r="BC96" s="78"/>
      <c r="BD96" s="78"/>
    </row>
    <row r="97" spans="53:56" x14ac:dyDescent="0.3">
      <c r="BA97" s="34"/>
      <c r="BB97" s="34"/>
      <c r="BC97" s="33"/>
      <c r="BD97" s="33"/>
    </row>
    <row r="98" spans="53:56" x14ac:dyDescent="0.3">
      <c r="BA98" s="79"/>
      <c r="BB98" s="33"/>
      <c r="BC98" s="33"/>
      <c r="BD98" s="33"/>
    </row>
    <row r="99" spans="53:56" x14ac:dyDescent="0.3">
      <c r="BA99" s="79"/>
      <c r="BB99" s="33"/>
      <c r="BC99" s="33"/>
    </row>
    <row r="111" spans="53:56" ht="15" customHeight="1" x14ac:dyDescent="0.3"/>
  </sheetData>
  <mergeCells count="5">
    <mergeCell ref="W9:AE10"/>
    <mergeCell ref="W22:AE23"/>
    <mergeCell ref="A19:P20"/>
    <mergeCell ref="A41:P42"/>
    <mergeCell ref="A64:P65"/>
  </mergeCells>
  <printOptions horizontalCentered="1"/>
  <pageMargins left="0.7" right="0.7" top="0.75" bottom="0.75" header="0.3" footer="0.3"/>
  <pageSetup scale="86"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B761-7F65-4B2A-9B38-4755B32D2B40}">
  <sheetPr>
    <pageSetUpPr fitToPage="1"/>
  </sheetPr>
  <dimension ref="A1:P47"/>
  <sheetViews>
    <sheetView topLeftCell="A20" zoomScale="104" zoomScaleNormal="104" zoomScaleSheetLayoutView="85" workbookViewId="0">
      <selection activeCell="A29" sqref="A29:F41"/>
    </sheetView>
  </sheetViews>
  <sheetFormatPr defaultRowHeight="13.2" x14ac:dyDescent="0.25"/>
  <cols>
    <col min="1" max="1" width="5.77734375" customWidth="1"/>
    <col min="2" max="6" width="16.77734375" customWidth="1"/>
    <col min="7" max="7" width="11.5546875" customWidth="1"/>
    <col min="8" max="8" width="15" customWidth="1"/>
    <col min="10" max="10" width="9.21875" bestFit="1" customWidth="1"/>
    <col min="11" max="11" width="11.5546875" customWidth="1"/>
    <col min="12" max="12" width="17.21875" customWidth="1"/>
    <col min="235" max="237" width="11.5546875" customWidth="1"/>
    <col min="238" max="238" width="1" customWidth="1"/>
    <col min="239" max="240" width="11.5546875" customWidth="1"/>
    <col min="241" max="241" width="1" customWidth="1"/>
    <col min="242" max="242" width="10.77734375" customWidth="1"/>
    <col min="243" max="243" width="11.5546875" customWidth="1"/>
    <col min="245" max="245" width="21" customWidth="1"/>
    <col min="246" max="246" width="10.5546875" customWidth="1"/>
    <col min="491" max="493" width="11.5546875" customWidth="1"/>
    <col min="494" max="494" width="1" customWidth="1"/>
    <col min="495" max="496" width="11.5546875" customWidth="1"/>
    <col min="497" max="497" width="1" customWidth="1"/>
    <col min="498" max="498" width="10.77734375" customWidth="1"/>
    <col min="499" max="499" width="11.5546875" customWidth="1"/>
    <col min="501" max="501" width="21" customWidth="1"/>
    <col min="502" max="502" width="10.5546875" customWidth="1"/>
    <col min="747" max="749" width="11.5546875" customWidth="1"/>
    <col min="750" max="750" width="1" customWidth="1"/>
    <col min="751" max="752" width="11.5546875" customWidth="1"/>
    <col min="753" max="753" width="1" customWidth="1"/>
    <col min="754" max="754" width="10.77734375" customWidth="1"/>
    <col min="755" max="755" width="11.5546875" customWidth="1"/>
    <col min="757" max="757" width="21" customWidth="1"/>
    <col min="758" max="758" width="10.5546875" customWidth="1"/>
    <col min="1003" max="1005" width="11.5546875" customWidth="1"/>
    <col min="1006" max="1006" width="1" customWidth="1"/>
    <col min="1007" max="1008" width="11.5546875" customWidth="1"/>
    <col min="1009" max="1009" width="1" customWidth="1"/>
    <col min="1010" max="1010" width="10.77734375" customWidth="1"/>
    <col min="1011" max="1011" width="11.5546875" customWidth="1"/>
    <col min="1013" max="1013" width="21" customWidth="1"/>
    <col min="1014" max="1014" width="10.5546875" customWidth="1"/>
    <col min="1259" max="1261" width="11.5546875" customWidth="1"/>
    <col min="1262" max="1262" width="1" customWidth="1"/>
    <col min="1263" max="1264" width="11.5546875" customWidth="1"/>
    <col min="1265" max="1265" width="1" customWidth="1"/>
    <col min="1266" max="1266" width="10.77734375" customWidth="1"/>
    <col min="1267" max="1267" width="11.5546875" customWidth="1"/>
    <col min="1269" max="1269" width="21" customWidth="1"/>
    <col min="1270" max="1270" width="10.5546875" customWidth="1"/>
    <col min="1515" max="1517" width="11.5546875" customWidth="1"/>
    <col min="1518" max="1518" width="1" customWidth="1"/>
    <col min="1519" max="1520" width="11.5546875" customWidth="1"/>
    <col min="1521" max="1521" width="1" customWidth="1"/>
    <col min="1522" max="1522" width="10.77734375" customWidth="1"/>
    <col min="1523" max="1523" width="11.5546875" customWidth="1"/>
    <col min="1525" max="1525" width="21" customWidth="1"/>
    <col min="1526" max="1526" width="10.5546875" customWidth="1"/>
    <col min="1771" max="1773" width="11.5546875" customWidth="1"/>
    <col min="1774" max="1774" width="1" customWidth="1"/>
    <col min="1775" max="1776" width="11.5546875" customWidth="1"/>
    <col min="1777" max="1777" width="1" customWidth="1"/>
    <col min="1778" max="1778" width="10.77734375" customWidth="1"/>
    <col min="1779" max="1779" width="11.5546875" customWidth="1"/>
    <col min="1781" max="1781" width="21" customWidth="1"/>
    <col min="1782" max="1782" width="10.5546875" customWidth="1"/>
    <col min="2027" max="2029" width="11.5546875" customWidth="1"/>
    <col min="2030" max="2030" width="1" customWidth="1"/>
    <col min="2031" max="2032" width="11.5546875" customWidth="1"/>
    <col min="2033" max="2033" width="1" customWidth="1"/>
    <col min="2034" max="2034" width="10.77734375" customWidth="1"/>
    <col min="2035" max="2035" width="11.5546875" customWidth="1"/>
    <col min="2037" max="2037" width="21" customWidth="1"/>
    <col min="2038" max="2038" width="10.5546875" customWidth="1"/>
    <col min="2283" max="2285" width="11.5546875" customWidth="1"/>
    <col min="2286" max="2286" width="1" customWidth="1"/>
    <col min="2287" max="2288" width="11.5546875" customWidth="1"/>
    <col min="2289" max="2289" width="1" customWidth="1"/>
    <col min="2290" max="2290" width="10.77734375" customWidth="1"/>
    <col min="2291" max="2291" width="11.5546875" customWidth="1"/>
    <col min="2293" max="2293" width="21" customWidth="1"/>
    <col min="2294" max="2294" width="10.5546875" customWidth="1"/>
    <col min="2539" max="2541" width="11.5546875" customWidth="1"/>
    <col min="2542" max="2542" width="1" customWidth="1"/>
    <col min="2543" max="2544" width="11.5546875" customWidth="1"/>
    <col min="2545" max="2545" width="1" customWidth="1"/>
    <col min="2546" max="2546" width="10.77734375" customWidth="1"/>
    <col min="2547" max="2547" width="11.5546875" customWidth="1"/>
    <col min="2549" max="2549" width="21" customWidth="1"/>
    <col min="2550" max="2550" width="10.5546875" customWidth="1"/>
    <col min="2795" max="2797" width="11.5546875" customWidth="1"/>
    <col min="2798" max="2798" width="1" customWidth="1"/>
    <col min="2799" max="2800" width="11.5546875" customWidth="1"/>
    <col min="2801" max="2801" width="1" customWidth="1"/>
    <col min="2802" max="2802" width="10.77734375" customWidth="1"/>
    <col min="2803" max="2803" width="11.5546875" customWidth="1"/>
    <col min="2805" max="2805" width="21" customWidth="1"/>
    <col min="2806" max="2806" width="10.5546875" customWidth="1"/>
    <col min="3051" max="3053" width="11.5546875" customWidth="1"/>
    <col min="3054" max="3054" width="1" customWidth="1"/>
    <col min="3055" max="3056" width="11.5546875" customWidth="1"/>
    <col min="3057" max="3057" width="1" customWidth="1"/>
    <col min="3058" max="3058" width="10.77734375" customWidth="1"/>
    <col min="3059" max="3059" width="11.5546875" customWidth="1"/>
    <col min="3061" max="3061" width="21" customWidth="1"/>
    <col min="3062" max="3062" width="10.5546875" customWidth="1"/>
    <col min="3307" max="3309" width="11.5546875" customWidth="1"/>
    <col min="3310" max="3310" width="1" customWidth="1"/>
    <col min="3311" max="3312" width="11.5546875" customWidth="1"/>
    <col min="3313" max="3313" width="1" customWidth="1"/>
    <col min="3314" max="3314" width="10.77734375" customWidth="1"/>
    <col min="3315" max="3315" width="11.5546875" customWidth="1"/>
    <col min="3317" max="3317" width="21" customWidth="1"/>
    <col min="3318" max="3318" width="10.5546875" customWidth="1"/>
    <col min="3563" max="3565" width="11.5546875" customWidth="1"/>
    <col min="3566" max="3566" width="1" customWidth="1"/>
    <col min="3567" max="3568" width="11.5546875" customWidth="1"/>
    <col min="3569" max="3569" width="1" customWidth="1"/>
    <col min="3570" max="3570" width="10.77734375" customWidth="1"/>
    <col min="3571" max="3571" width="11.5546875" customWidth="1"/>
    <col min="3573" max="3573" width="21" customWidth="1"/>
    <col min="3574" max="3574" width="10.5546875" customWidth="1"/>
    <col min="3819" max="3821" width="11.5546875" customWidth="1"/>
    <col min="3822" max="3822" width="1" customWidth="1"/>
    <col min="3823" max="3824" width="11.5546875" customWidth="1"/>
    <col min="3825" max="3825" width="1" customWidth="1"/>
    <col min="3826" max="3826" width="10.77734375" customWidth="1"/>
    <col min="3827" max="3827" width="11.5546875" customWidth="1"/>
    <col min="3829" max="3829" width="21" customWidth="1"/>
    <col min="3830" max="3830" width="10.5546875" customWidth="1"/>
    <col min="4075" max="4077" width="11.5546875" customWidth="1"/>
    <col min="4078" max="4078" width="1" customWidth="1"/>
    <col min="4079" max="4080" width="11.5546875" customWidth="1"/>
    <col min="4081" max="4081" width="1" customWidth="1"/>
    <col min="4082" max="4082" width="10.77734375" customWidth="1"/>
    <col min="4083" max="4083" width="11.5546875" customWidth="1"/>
    <col min="4085" max="4085" width="21" customWidth="1"/>
    <col min="4086" max="4086" width="10.5546875" customWidth="1"/>
    <col min="4331" max="4333" width="11.5546875" customWidth="1"/>
    <col min="4334" max="4334" width="1" customWidth="1"/>
    <col min="4335" max="4336" width="11.5546875" customWidth="1"/>
    <col min="4337" max="4337" width="1" customWidth="1"/>
    <col min="4338" max="4338" width="10.77734375" customWidth="1"/>
    <col min="4339" max="4339" width="11.5546875" customWidth="1"/>
    <col min="4341" max="4341" width="21" customWidth="1"/>
    <col min="4342" max="4342" width="10.5546875" customWidth="1"/>
    <col min="4587" max="4589" width="11.5546875" customWidth="1"/>
    <col min="4590" max="4590" width="1" customWidth="1"/>
    <col min="4591" max="4592" width="11.5546875" customWidth="1"/>
    <col min="4593" max="4593" width="1" customWidth="1"/>
    <col min="4594" max="4594" width="10.77734375" customWidth="1"/>
    <col min="4595" max="4595" width="11.5546875" customWidth="1"/>
    <col min="4597" max="4597" width="21" customWidth="1"/>
    <col min="4598" max="4598" width="10.5546875" customWidth="1"/>
    <col min="4843" max="4845" width="11.5546875" customWidth="1"/>
    <col min="4846" max="4846" width="1" customWidth="1"/>
    <col min="4847" max="4848" width="11.5546875" customWidth="1"/>
    <col min="4849" max="4849" width="1" customWidth="1"/>
    <col min="4850" max="4850" width="10.77734375" customWidth="1"/>
    <col min="4851" max="4851" width="11.5546875" customWidth="1"/>
    <col min="4853" max="4853" width="21" customWidth="1"/>
    <col min="4854" max="4854" width="10.5546875" customWidth="1"/>
    <col min="5099" max="5101" width="11.5546875" customWidth="1"/>
    <col min="5102" max="5102" width="1" customWidth="1"/>
    <col min="5103" max="5104" width="11.5546875" customWidth="1"/>
    <col min="5105" max="5105" width="1" customWidth="1"/>
    <col min="5106" max="5106" width="10.77734375" customWidth="1"/>
    <col min="5107" max="5107" width="11.5546875" customWidth="1"/>
    <col min="5109" max="5109" width="21" customWidth="1"/>
    <col min="5110" max="5110" width="10.5546875" customWidth="1"/>
    <col min="5355" max="5357" width="11.5546875" customWidth="1"/>
    <col min="5358" max="5358" width="1" customWidth="1"/>
    <col min="5359" max="5360" width="11.5546875" customWidth="1"/>
    <col min="5361" max="5361" width="1" customWidth="1"/>
    <col min="5362" max="5362" width="10.77734375" customWidth="1"/>
    <col min="5363" max="5363" width="11.5546875" customWidth="1"/>
    <col min="5365" max="5365" width="21" customWidth="1"/>
    <col min="5366" max="5366" width="10.5546875" customWidth="1"/>
    <col min="5611" max="5613" width="11.5546875" customWidth="1"/>
    <col min="5614" max="5614" width="1" customWidth="1"/>
    <col min="5615" max="5616" width="11.5546875" customWidth="1"/>
    <col min="5617" max="5617" width="1" customWidth="1"/>
    <col min="5618" max="5618" width="10.77734375" customWidth="1"/>
    <col min="5619" max="5619" width="11.5546875" customWidth="1"/>
    <col min="5621" max="5621" width="21" customWidth="1"/>
    <col min="5622" max="5622" width="10.5546875" customWidth="1"/>
    <col min="5867" max="5869" width="11.5546875" customWidth="1"/>
    <col min="5870" max="5870" width="1" customWidth="1"/>
    <col min="5871" max="5872" width="11.5546875" customWidth="1"/>
    <col min="5873" max="5873" width="1" customWidth="1"/>
    <col min="5874" max="5874" width="10.77734375" customWidth="1"/>
    <col min="5875" max="5875" width="11.5546875" customWidth="1"/>
    <col min="5877" max="5877" width="21" customWidth="1"/>
    <col min="5878" max="5878" width="10.5546875" customWidth="1"/>
    <col min="6123" max="6125" width="11.5546875" customWidth="1"/>
    <col min="6126" max="6126" width="1" customWidth="1"/>
    <col min="6127" max="6128" width="11.5546875" customWidth="1"/>
    <col min="6129" max="6129" width="1" customWidth="1"/>
    <col min="6130" max="6130" width="10.77734375" customWidth="1"/>
    <col min="6131" max="6131" width="11.5546875" customWidth="1"/>
    <col min="6133" max="6133" width="21" customWidth="1"/>
    <col min="6134" max="6134" width="10.5546875" customWidth="1"/>
    <col min="6379" max="6381" width="11.5546875" customWidth="1"/>
    <col min="6382" max="6382" width="1" customWidth="1"/>
    <col min="6383" max="6384" width="11.5546875" customWidth="1"/>
    <col min="6385" max="6385" width="1" customWidth="1"/>
    <col min="6386" max="6386" width="10.77734375" customWidth="1"/>
    <col min="6387" max="6387" width="11.5546875" customWidth="1"/>
    <col min="6389" max="6389" width="21" customWidth="1"/>
    <col min="6390" max="6390" width="10.5546875" customWidth="1"/>
    <col min="6635" max="6637" width="11.5546875" customWidth="1"/>
    <col min="6638" max="6638" width="1" customWidth="1"/>
    <col min="6639" max="6640" width="11.5546875" customWidth="1"/>
    <col min="6641" max="6641" width="1" customWidth="1"/>
    <col min="6642" max="6642" width="10.77734375" customWidth="1"/>
    <col min="6643" max="6643" width="11.5546875" customWidth="1"/>
    <col min="6645" max="6645" width="21" customWidth="1"/>
    <col min="6646" max="6646" width="10.5546875" customWidth="1"/>
    <col min="6891" max="6893" width="11.5546875" customWidth="1"/>
    <col min="6894" max="6894" width="1" customWidth="1"/>
    <col min="6895" max="6896" width="11.5546875" customWidth="1"/>
    <col min="6897" max="6897" width="1" customWidth="1"/>
    <col min="6898" max="6898" width="10.77734375" customWidth="1"/>
    <col min="6899" max="6899" width="11.5546875" customWidth="1"/>
    <col min="6901" max="6901" width="21" customWidth="1"/>
    <col min="6902" max="6902" width="10.5546875" customWidth="1"/>
    <col min="7147" max="7149" width="11.5546875" customWidth="1"/>
    <col min="7150" max="7150" width="1" customWidth="1"/>
    <col min="7151" max="7152" width="11.5546875" customWidth="1"/>
    <col min="7153" max="7153" width="1" customWidth="1"/>
    <col min="7154" max="7154" width="10.77734375" customWidth="1"/>
    <col min="7155" max="7155" width="11.5546875" customWidth="1"/>
    <col min="7157" max="7157" width="21" customWidth="1"/>
    <col min="7158" max="7158" width="10.5546875" customWidth="1"/>
    <col min="7403" max="7405" width="11.5546875" customWidth="1"/>
    <col min="7406" max="7406" width="1" customWidth="1"/>
    <col min="7407" max="7408" width="11.5546875" customWidth="1"/>
    <col min="7409" max="7409" width="1" customWidth="1"/>
    <col min="7410" max="7410" width="10.77734375" customWidth="1"/>
    <col min="7411" max="7411" width="11.5546875" customWidth="1"/>
    <col min="7413" max="7413" width="21" customWidth="1"/>
    <col min="7414" max="7414" width="10.5546875" customWidth="1"/>
    <col min="7659" max="7661" width="11.5546875" customWidth="1"/>
    <col min="7662" max="7662" width="1" customWidth="1"/>
    <col min="7663" max="7664" width="11.5546875" customWidth="1"/>
    <col min="7665" max="7665" width="1" customWidth="1"/>
    <col min="7666" max="7666" width="10.77734375" customWidth="1"/>
    <col min="7667" max="7667" width="11.5546875" customWidth="1"/>
    <col min="7669" max="7669" width="21" customWidth="1"/>
    <col min="7670" max="7670" width="10.5546875" customWidth="1"/>
    <col min="7915" max="7917" width="11.5546875" customWidth="1"/>
    <col min="7918" max="7918" width="1" customWidth="1"/>
    <col min="7919" max="7920" width="11.5546875" customWidth="1"/>
    <col min="7921" max="7921" width="1" customWidth="1"/>
    <col min="7922" max="7922" width="10.77734375" customWidth="1"/>
    <col min="7923" max="7923" width="11.5546875" customWidth="1"/>
    <col min="7925" max="7925" width="21" customWidth="1"/>
    <col min="7926" max="7926" width="10.5546875" customWidth="1"/>
    <col min="8171" max="8173" width="11.5546875" customWidth="1"/>
    <col min="8174" max="8174" width="1" customWidth="1"/>
    <col min="8175" max="8176" width="11.5546875" customWidth="1"/>
    <col min="8177" max="8177" width="1" customWidth="1"/>
    <col min="8178" max="8178" width="10.77734375" customWidth="1"/>
    <col min="8179" max="8179" width="11.5546875" customWidth="1"/>
    <col min="8181" max="8181" width="21" customWidth="1"/>
    <col min="8182" max="8182" width="10.5546875" customWidth="1"/>
    <col min="8427" max="8429" width="11.5546875" customWidth="1"/>
    <col min="8430" max="8430" width="1" customWidth="1"/>
    <col min="8431" max="8432" width="11.5546875" customWidth="1"/>
    <col min="8433" max="8433" width="1" customWidth="1"/>
    <col min="8434" max="8434" width="10.77734375" customWidth="1"/>
    <col min="8435" max="8435" width="11.5546875" customWidth="1"/>
    <col min="8437" max="8437" width="21" customWidth="1"/>
    <col min="8438" max="8438" width="10.5546875" customWidth="1"/>
    <col min="8683" max="8685" width="11.5546875" customWidth="1"/>
    <col min="8686" max="8686" width="1" customWidth="1"/>
    <col min="8687" max="8688" width="11.5546875" customWidth="1"/>
    <col min="8689" max="8689" width="1" customWidth="1"/>
    <col min="8690" max="8690" width="10.77734375" customWidth="1"/>
    <col min="8691" max="8691" width="11.5546875" customWidth="1"/>
    <col min="8693" max="8693" width="21" customWidth="1"/>
    <col min="8694" max="8694" width="10.5546875" customWidth="1"/>
    <col min="8939" max="8941" width="11.5546875" customWidth="1"/>
    <col min="8942" max="8942" width="1" customWidth="1"/>
    <col min="8943" max="8944" width="11.5546875" customWidth="1"/>
    <col min="8945" max="8945" width="1" customWidth="1"/>
    <col min="8946" max="8946" width="10.77734375" customWidth="1"/>
    <col min="8947" max="8947" width="11.5546875" customWidth="1"/>
    <col min="8949" max="8949" width="21" customWidth="1"/>
    <col min="8950" max="8950" width="10.5546875" customWidth="1"/>
    <col min="9195" max="9197" width="11.5546875" customWidth="1"/>
    <col min="9198" max="9198" width="1" customWidth="1"/>
    <col min="9199" max="9200" width="11.5546875" customWidth="1"/>
    <col min="9201" max="9201" width="1" customWidth="1"/>
    <col min="9202" max="9202" width="10.77734375" customWidth="1"/>
    <col min="9203" max="9203" width="11.5546875" customWidth="1"/>
    <col min="9205" max="9205" width="21" customWidth="1"/>
    <col min="9206" max="9206" width="10.5546875" customWidth="1"/>
    <col min="9451" max="9453" width="11.5546875" customWidth="1"/>
    <col min="9454" max="9454" width="1" customWidth="1"/>
    <col min="9455" max="9456" width="11.5546875" customWidth="1"/>
    <col min="9457" max="9457" width="1" customWidth="1"/>
    <col min="9458" max="9458" width="10.77734375" customWidth="1"/>
    <col min="9459" max="9459" width="11.5546875" customWidth="1"/>
    <col min="9461" max="9461" width="21" customWidth="1"/>
    <col min="9462" max="9462" width="10.5546875" customWidth="1"/>
    <col min="9707" max="9709" width="11.5546875" customWidth="1"/>
    <col min="9710" max="9710" width="1" customWidth="1"/>
    <col min="9711" max="9712" width="11.5546875" customWidth="1"/>
    <col min="9713" max="9713" width="1" customWidth="1"/>
    <col min="9714" max="9714" width="10.77734375" customWidth="1"/>
    <col min="9715" max="9715" width="11.5546875" customWidth="1"/>
    <col min="9717" max="9717" width="21" customWidth="1"/>
    <col min="9718" max="9718" width="10.5546875" customWidth="1"/>
    <col min="9963" max="9965" width="11.5546875" customWidth="1"/>
    <col min="9966" max="9966" width="1" customWidth="1"/>
    <col min="9967" max="9968" width="11.5546875" customWidth="1"/>
    <col min="9969" max="9969" width="1" customWidth="1"/>
    <col min="9970" max="9970" width="10.77734375" customWidth="1"/>
    <col min="9971" max="9971" width="11.5546875" customWidth="1"/>
    <col min="9973" max="9973" width="21" customWidth="1"/>
    <col min="9974" max="9974" width="10.5546875" customWidth="1"/>
    <col min="10219" max="10221" width="11.5546875" customWidth="1"/>
    <col min="10222" max="10222" width="1" customWidth="1"/>
    <col min="10223" max="10224" width="11.5546875" customWidth="1"/>
    <col min="10225" max="10225" width="1" customWidth="1"/>
    <col min="10226" max="10226" width="10.77734375" customWidth="1"/>
    <col min="10227" max="10227" width="11.5546875" customWidth="1"/>
    <col min="10229" max="10229" width="21" customWidth="1"/>
    <col min="10230" max="10230" width="10.5546875" customWidth="1"/>
    <col min="10475" max="10477" width="11.5546875" customWidth="1"/>
    <col min="10478" max="10478" width="1" customWidth="1"/>
    <col min="10479" max="10480" width="11.5546875" customWidth="1"/>
    <col min="10481" max="10481" width="1" customWidth="1"/>
    <col min="10482" max="10482" width="10.77734375" customWidth="1"/>
    <col min="10483" max="10483" width="11.5546875" customWidth="1"/>
    <col min="10485" max="10485" width="21" customWidth="1"/>
    <col min="10486" max="10486" width="10.5546875" customWidth="1"/>
    <col min="10731" max="10733" width="11.5546875" customWidth="1"/>
    <col min="10734" max="10734" width="1" customWidth="1"/>
    <col min="10735" max="10736" width="11.5546875" customWidth="1"/>
    <col min="10737" max="10737" width="1" customWidth="1"/>
    <col min="10738" max="10738" width="10.77734375" customWidth="1"/>
    <col min="10739" max="10739" width="11.5546875" customWidth="1"/>
    <col min="10741" max="10741" width="21" customWidth="1"/>
    <col min="10742" max="10742" width="10.5546875" customWidth="1"/>
    <col min="10987" max="10989" width="11.5546875" customWidth="1"/>
    <col min="10990" max="10990" width="1" customWidth="1"/>
    <col min="10991" max="10992" width="11.5546875" customWidth="1"/>
    <col min="10993" max="10993" width="1" customWidth="1"/>
    <col min="10994" max="10994" width="10.77734375" customWidth="1"/>
    <col min="10995" max="10995" width="11.5546875" customWidth="1"/>
    <col min="10997" max="10997" width="21" customWidth="1"/>
    <col min="10998" max="10998" width="10.5546875" customWidth="1"/>
    <col min="11243" max="11245" width="11.5546875" customWidth="1"/>
    <col min="11246" max="11246" width="1" customWidth="1"/>
    <col min="11247" max="11248" width="11.5546875" customWidth="1"/>
    <col min="11249" max="11249" width="1" customWidth="1"/>
    <col min="11250" max="11250" width="10.77734375" customWidth="1"/>
    <col min="11251" max="11251" width="11.5546875" customWidth="1"/>
    <col min="11253" max="11253" width="21" customWidth="1"/>
    <col min="11254" max="11254" width="10.5546875" customWidth="1"/>
    <col min="11499" max="11501" width="11.5546875" customWidth="1"/>
    <col min="11502" max="11502" width="1" customWidth="1"/>
    <col min="11503" max="11504" width="11.5546875" customWidth="1"/>
    <col min="11505" max="11505" width="1" customWidth="1"/>
    <col min="11506" max="11506" width="10.77734375" customWidth="1"/>
    <col min="11507" max="11507" width="11.5546875" customWidth="1"/>
    <col min="11509" max="11509" width="21" customWidth="1"/>
    <col min="11510" max="11510" width="10.5546875" customWidth="1"/>
    <col min="11755" max="11757" width="11.5546875" customWidth="1"/>
    <col min="11758" max="11758" width="1" customWidth="1"/>
    <col min="11759" max="11760" width="11.5546875" customWidth="1"/>
    <col min="11761" max="11761" width="1" customWidth="1"/>
    <col min="11762" max="11762" width="10.77734375" customWidth="1"/>
    <col min="11763" max="11763" width="11.5546875" customWidth="1"/>
    <col min="11765" max="11765" width="21" customWidth="1"/>
    <col min="11766" max="11766" width="10.5546875" customWidth="1"/>
    <col min="12011" max="12013" width="11.5546875" customWidth="1"/>
    <col min="12014" max="12014" width="1" customWidth="1"/>
    <col min="12015" max="12016" width="11.5546875" customWidth="1"/>
    <col min="12017" max="12017" width="1" customWidth="1"/>
    <col min="12018" max="12018" width="10.77734375" customWidth="1"/>
    <col min="12019" max="12019" width="11.5546875" customWidth="1"/>
    <col min="12021" max="12021" width="21" customWidth="1"/>
    <col min="12022" max="12022" width="10.5546875" customWidth="1"/>
    <col min="12267" max="12269" width="11.5546875" customWidth="1"/>
    <col min="12270" max="12270" width="1" customWidth="1"/>
    <col min="12271" max="12272" width="11.5546875" customWidth="1"/>
    <col min="12273" max="12273" width="1" customWidth="1"/>
    <col min="12274" max="12274" width="10.77734375" customWidth="1"/>
    <col min="12275" max="12275" width="11.5546875" customWidth="1"/>
    <col min="12277" max="12277" width="21" customWidth="1"/>
    <col min="12278" max="12278" width="10.5546875" customWidth="1"/>
    <col min="12523" max="12525" width="11.5546875" customWidth="1"/>
    <col min="12526" max="12526" width="1" customWidth="1"/>
    <col min="12527" max="12528" width="11.5546875" customWidth="1"/>
    <col min="12529" max="12529" width="1" customWidth="1"/>
    <col min="12530" max="12530" width="10.77734375" customWidth="1"/>
    <col min="12531" max="12531" width="11.5546875" customWidth="1"/>
    <col min="12533" max="12533" width="21" customWidth="1"/>
    <col min="12534" max="12534" width="10.5546875" customWidth="1"/>
    <col min="12779" max="12781" width="11.5546875" customWidth="1"/>
    <col min="12782" max="12782" width="1" customWidth="1"/>
    <col min="12783" max="12784" width="11.5546875" customWidth="1"/>
    <col min="12785" max="12785" width="1" customWidth="1"/>
    <col min="12786" max="12786" width="10.77734375" customWidth="1"/>
    <col min="12787" max="12787" width="11.5546875" customWidth="1"/>
    <col min="12789" max="12789" width="21" customWidth="1"/>
    <col min="12790" max="12790" width="10.5546875" customWidth="1"/>
    <col min="13035" max="13037" width="11.5546875" customWidth="1"/>
    <col min="13038" max="13038" width="1" customWidth="1"/>
    <col min="13039" max="13040" width="11.5546875" customWidth="1"/>
    <col min="13041" max="13041" width="1" customWidth="1"/>
    <col min="13042" max="13042" width="10.77734375" customWidth="1"/>
    <col min="13043" max="13043" width="11.5546875" customWidth="1"/>
    <col min="13045" max="13045" width="21" customWidth="1"/>
    <col min="13046" max="13046" width="10.5546875" customWidth="1"/>
    <col min="13291" max="13293" width="11.5546875" customWidth="1"/>
    <col min="13294" max="13294" width="1" customWidth="1"/>
    <col min="13295" max="13296" width="11.5546875" customWidth="1"/>
    <col min="13297" max="13297" width="1" customWidth="1"/>
    <col min="13298" max="13298" width="10.77734375" customWidth="1"/>
    <col min="13299" max="13299" width="11.5546875" customWidth="1"/>
    <col min="13301" max="13301" width="21" customWidth="1"/>
    <col min="13302" max="13302" width="10.5546875" customWidth="1"/>
    <col min="13547" max="13549" width="11.5546875" customWidth="1"/>
    <col min="13550" max="13550" width="1" customWidth="1"/>
    <col min="13551" max="13552" width="11.5546875" customWidth="1"/>
    <col min="13553" max="13553" width="1" customWidth="1"/>
    <col min="13554" max="13554" width="10.77734375" customWidth="1"/>
    <col min="13555" max="13555" width="11.5546875" customWidth="1"/>
    <col min="13557" max="13557" width="21" customWidth="1"/>
    <col min="13558" max="13558" width="10.5546875" customWidth="1"/>
    <col min="13803" max="13805" width="11.5546875" customWidth="1"/>
    <col min="13806" max="13806" width="1" customWidth="1"/>
    <col min="13807" max="13808" width="11.5546875" customWidth="1"/>
    <col min="13809" max="13809" width="1" customWidth="1"/>
    <col min="13810" max="13810" width="10.77734375" customWidth="1"/>
    <col min="13811" max="13811" width="11.5546875" customWidth="1"/>
    <col min="13813" max="13813" width="21" customWidth="1"/>
    <col min="13814" max="13814" width="10.5546875" customWidth="1"/>
    <col min="14059" max="14061" width="11.5546875" customWidth="1"/>
    <col min="14062" max="14062" width="1" customWidth="1"/>
    <col min="14063" max="14064" width="11.5546875" customWidth="1"/>
    <col min="14065" max="14065" width="1" customWidth="1"/>
    <col min="14066" max="14066" width="10.77734375" customWidth="1"/>
    <col min="14067" max="14067" width="11.5546875" customWidth="1"/>
    <col min="14069" max="14069" width="21" customWidth="1"/>
    <col min="14070" max="14070" width="10.5546875" customWidth="1"/>
    <col min="14315" max="14317" width="11.5546875" customWidth="1"/>
    <col min="14318" max="14318" width="1" customWidth="1"/>
    <col min="14319" max="14320" width="11.5546875" customWidth="1"/>
    <col min="14321" max="14321" width="1" customWidth="1"/>
    <col min="14322" max="14322" width="10.77734375" customWidth="1"/>
    <col min="14323" max="14323" width="11.5546875" customWidth="1"/>
    <col min="14325" max="14325" width="21" customWidth="1"/>
    <col min="14326" max="14326" width="10.5546875" customWidth="1"/>
    <col min="14571" max="14573" width="11.5546875" customWidth="1"/>
    <col min="14574" max="14574" width="1" customWidth="1"/>
    <col min="14575" max="14576" width="11.5546875" customWidth="1"/>
    <col min="14577" max="14577" width="1" customWidth="1"/>
    <col min="14578" max="14578" width="10.77734375" customWidth="1"/>
    <col min="14579" max="14579" width="11.5546875" customWidth="1"/>
    <col min="14581" max="14581" width="21" customWidth="1"/>
    <col min="14582" max="14582" width="10.5546875" customWidth="1"/>
    <col min="14827" max="14829" width="11.5546875" customWidth="1"/>
    <col min="14830" max="14830" width="1" customWidth="1"/>
    <col min="14831" max="14832" width="11.5546875" customWidth="1"/>
    <col min="14833" max="14833" width="1" customWidth="1"/>
    <col min="14834" max="14834" width="10.77734375" customWidth="1"/>
    <col min="14835" max="14835" width="11.5546875" customWidth="1"/>
    <col min="14837" max="14837" width="21" customWidth="1"/>
    <col min="14838" max="14838" width="10.5546875" customWidth="1"/>
    <col min="15083" max="15085" width="11.5546875" customWidth="1"/>
    <col min="15086" max="15086" width="1" customWidth="1"/>
    <col min="15087" max="15088" width="11.5546875" customWidth="1"/>
    <col min="15089" max="15089" width="1" customWidth="1"/>
    <col min="15090" max="15090" width="10.77734375" customWidth="1"/>
    <col min="15091" max="15091" width="11.5546875" customWidth="1"/>
    <col min="15093" max="15093" width="21" customWidth="1"/>
    <col min="15094" max="15094" width="10.5546875" customWidth="1"/>
    <col min="15339" max="15341" width="11.5546875" customWidth="1"/>
    <col min="15342" max="15342" width="1" customWidth="1"/>
    <col min="15343" max="15344" width="11.5546875" customWidth="1"/>
    <col min="15345" max="15345" width="1" customWidth="1"/>
    <col min="15346" max="15346" width="10.77734375" customWidth="1"/>
    <col min="15347" max="15347" width="11.5546875" customWidth="1"/>
    <col min="15349" max="15349" width="21" customWidth="1"/>
    <col min="15350" max="15350" width="10.5546875" customWidth="1"/>
    <col min="15595" max="15597" width="11.5546875" customWidth="1"/>
    <col min="15598" max="15598" width="1" customWidth="1"/>
    <col min="15599" max="15600" width="11.5546875" customWidth="1"/>
    <col min="15601" max="15601" width="1" customWidth="1"/>
    <col min="15602" max="15602" width="10.77734375" customWidth="1"/>
    <col min="15603" max="15603" width="11.5546875" customWidth="1"/>
    <col min="15605" max="15605" width="21" customWidth="1"/>
    <col min="15606" max="15606" width="10.5546875" customWidth="1"/>
    <col min="15851" max="15853" width="11.5546875" customWidth="1"/>
    <col min="15854" max="15854" width="1" customWidth="1"/>
    <col min="15855" max="15856" width="11.5546875" customWidth="1"/>
    <col min="15857" max="15857" width="1" customWidth="1"/>
    <col min="15858" max="15858" width="10.77734375" customWidth="1"/>
    <col min="15859" max="15859" width="11.5546875" customWidth="1"/>
    <col min="15861" max="15861" width="21" customWidth="1"/>
    <col min="15862" max="15862" width="10.5546875" customWidth="1"/>
    <col min="16107" max="16109" width="11.5546875" customWidth="1"/>
    <col min="16110" max="16110" width="1" customWidth="1"/>
    <col min="16111" max="16112" width="11.5546875" customWidth="1"/>
    <col min="16113" max="16113" width="1" customWidth="1"/>
    <col min="16114" max="16114" width="10.77734375" customWidth="1"/>
    <col min="16115" max="16115" width="11.5546875" customWidth="1"/>
    <col min="16117" max="16117" width="21" customWidth="1"/>
    <col min="16118" max="16118" width="10.5546875" customWidth="1"/>
  </cols>
  <sheetData>
    <row r="1" spans="1:16" ht="17.25" customHeight="1" thickBot="1" x14ac:dyDescent="0.3">
      <c r="A1" s="9" t="s">
        <v>276</v>
      </c>
      <c r="B1" s="9"/>
      <c r="C1" s="9"/>
      <c r="D1" s="9"/>
      <c r="E1" s="9"/>
      <c r="F1" s="9"/>
      <c r="H1" s="9" t="s">
        <v>245</v>
      </c>
      <c r="M1" s="9" t="s">
        <v>239</v>
      </c>
    </row>
    <row r="2" spans="1:16" ht="44.25" customHeight="1" thickTop="1" x14ac:dyDescent="0.3">
      <c r="A2" s="110" t="s">
        <v>37</v>
      </c>
      <c r="B2" s="110" t="s">
        <v>238</v>
      </c>
      <c r="C2" s="109" t="s">
        <v>241</v>
      </c>
      <c r="D2" s="109" t="s">
        <v>239</v>
      </c>
      <c r="E2" s="109" t="s">
        <v>248</v>
      </c>
      <c r="F2" s="109" t="s">
        <v>249</v>
      </c>
      <c r="H2" s="63" t="s">
        <v>37</v>
      </c>
      <c r="I2" s="98">
        <v>2020</v>
      </c>
      <c r="J2" s="98">
        <v>2021</v>
      </c>
      <c r="K2" s="98">
        <v>2022</v>
      </c>
      <c r="M2" s="63" t="s">
        <v>37</v>
      </c>
      <c r="N2" s="64">
        <v>2020</v>
      </c>
      <c r="O2" s="63">
        <v>2021</v>
      </c>
      <c r="P2" s="63">
        <v>2022</v>
      </c>
    </row>
    <row r="3" spans="1:16" ht="13.5" customHeight="1" x14ac:dyDescent="0.3">
      <c r="A3" s="166">
        <v>2020</v>
      </c>
      <c r="B3" s="166"/>
      <c r="C3" s="113"/>
      <c r="D3" s="113"/>
      <c r="E3" s="113"/>
      <c r="F3" s="113"/>
      <c r="H3" s="68" t="s">
        <v>157</v>
      </c>
      <c r="I3" s="69">
        <v>270.05630000000002</v>
      </c>
      <c r="J3" s="69"/>
      <c r="K3" s="69"/>
      <c r="M3" s="65" t="s">
        <v>157</v>
      </c>
      <c r="N3" s="65">
        <v>271.39999999999998</v>
      </c>
      <c r="O3" s="66"/>
      <c r="P3" s="67"/>
    </row>
    <row r="4" spans="1:16" ht="12" customHeight="1" x14ac:dyDescent="0.3">
      <c r="B4" s="9" t="s">
        <v>258</v>
      </c>
      <c r="C4" s="116"/>
      <c r="D4" s="116">
        <f>N3</f>
        <v>271.39999999999998</v>
      </c>
      <c r="E4" s="116">
        <f>I3</f>
        <v>270.05630000000002</v>
      </c>
      <c r="F4" s="117">
        <f>+E4/D4</f>
        <v>0.99504900515843786</v>
      </c>
      <c r="H4" s="67" t="s">
        <v>158</v>
      </c>
      <c r="I4" s="69"/>
      <c r="J4" s="69">
        <v>140.03139999999999</v>
      </c>
      <c r="K4" s="69"/>
      <c r="M4" t="s">
        <v>158</v>
      </c>
      <c r="N4">
        <v>141.5</v>
      </c>
      <c r="O4" s="67"/>
      <c r="P4" s="67"/>
    </row>
    <row r="5" spans="1:16" ht="12" customHeight="1" x14ac:dyDescent="0.3">
      <c r="A5" s="111"/>
      <c r="B5" s="9" t="s">
        <v>240</v>
      </c>
      <c r="C5" s="116"/>
      <c r="D5" s="116">
        <f t="shared" ref="D5:D11" si="0">N6</f>
        <v>118.1</v>
      </c>
      <c r="E5" s="116">
        <f>I6</f>
        <v>109.5172</v>
      </c>
      <c r="F5" s="117">
        <f>+E5/D5</f>
        <v>0.9273259949195598</v>
      </c>
      <c r="H5" s="68" t="s">
        <v>159</v>
      </c>
      <c r="I5" s="69"/>
      <c r="J5" s="69">
        <v>372.55860000000001</v>
      </c>
      <c r="K5" s="69"/>
      <c r="M5" t="s">
        <v>159</v>
      </c>
      <c r="O5">
        <v>389.9</v>
      </c>
    </row>
    <row r="6" spans="1:16" ht="12" customHeight="1" x14ac:dyDescent="0.3">
      <c r="A6" s="111"/>
      <c r="B6" s="9" t="s">
        <v>160</v>
      </c>
      <c r="C6" s="116">
        <f>I11</f>
        <v>219.97290000000001</v>
      </c>
      <c r="D6" s="116">
        <f t="shared" si="0"/>
        <v>580.79999999999995</v>
      </c>
      <c r="E6" s="116">
        <f>I7</f>
        <v>580.0095</v>
      </c>
      <c r="F6" s="117">
        <f>+E6/D6</f>
        <v>0.99863894628099181</v>
      </c>
      <c r="G6" s="62">
        <f>+C6/D6</f>
        <v>0.37874121900826452</v>
      </c>
      <c r="H6" s="68" t="s">
        <v>161</v>
      </c>
      <c r="I6" s="69">
        <v>109.5172</v>
      </c>
      <c r="J6" s="69">
        <v>196.0001</v>
      </c>
      <c r="K6" s="69">
        <v>112.7634</v>
      </c>
      <c r="M6" s="9" t="s">
        <v>161</v>
      </c>
      <c r="N6">
        <v>118.1</v>
      </c>
      <c r="O6">
        <v>210.4</v>
      </c>
      <c r="P6">
        <v>122.9</v>
      </c>
    </row>
    <row r="7" spans="1:16" ht="12" customHeight="1" x14ac:dyDescent="0.3">
      <c r="A7" s="111"/>
      <c r="B7" s="9" t="s">
        <v>167</v>
      </c>
      <c r="C7" s="116">
        <f>I8</f>
        <v>37.309199999999997</v>
      </c>
      <c r="D7" s="116">
        <f t="shared" si="0"/>
        <v>74.16</v>
      </c>
      <c r="E7" s="116">
        <f>I9</f>
        <v>74.149929999999998</v>
      </c>
      <c r="F7" s="117">
        <f>+E7/D7</f>
        <v>0.99986421251348434</v>
      </c>
      <c r="G7" s="62">
        <f>+C7/D7</f>
        <v>0.50309061488673135</v>
      </c>
      <c r="H7" s="68" t="s">
        <v>160</v>
      </c>
      <c r="I7" s="22">
        <v>580.0095</v>
      </c>
      <c r="J7" s="22">
        <v>323.09300000000002</v>
      </c>
      <c r="K7" s="22">
        <v>27.69042</v>
      </c>
      <c r="M7" s="9" t="s">
        <v>160</v>
      </c>
      <c r="N7" s="9">
        <v>580.79999999999995</v>
      </c>
      <c r="O7">
        <v>323.3</v>
      </c>
      <c r="P7" s="9">
        <v>27.7</v>
      </c>
    </row>
    <row r="8" spans="1:16" ht="12" customHeight="1" x14ac:dyDescent="0.25">
      <c r="A8" s="111"/>
      <c r="B8" s="9" t="s">
        <v>168</v>
      </c>
      <c r="C8" s="116"/>
      <c r="D8" s="116">
        <f t="shared" si="0"/>
        <v>44.7</v>
      </c>
      <c r="E8" s="116">
        <f>I10</f>
        <v>41.82302</v>
      </c>
      <c r="F8" s="117">
        <f>+E8/D8</f>
        <v>0.93563803131991041</v>
      </c>
      <c r="H8" s="9" t="s">
        <v>243</v>
      </c>
      <c r="I8" s="22">
        <v>37.309199999999997</v>
      </c>
      <c r="J8" s="22">
        <v>44.871850000000002</v>
      </c>
      <c r="K8" s="22">
        <v>45.342030000000001</v>
      </c>
      <c r="M8" s="9" t="s">
        <v>167</v>
      </c>
      <c r="N8" s="72">
        <v>74.16</v>
      </c>
      <c r="O8" s="72">
        <v>107.93</v>
      </c>
      <c r="P8" s="72">
        <v>113.9</v>
      </c>
    </row>
    <row r="9" spans="1:16" ht="12" customHeight="1" x14ac:dyDescent="0.3">
      <c r="B9" s="9" t="s">
        <v>253</v>
      </c>
      <c r="C9" s="118">
        <f>I12</f>
        <v>14.680529999999999</v>
      </c>
      <c r="D9" s="118">
        <f t="shared" si="0"/>
        <v>13.9</v>
      </c>
      <c r="E9" s="119"/>
      <c r="F9" s="119"/>
      <c r="H9" s="68" t="s">
        <v>299</v>
      </c>
      <c r="I9" s="22">
        <f>K29</f>
        <v>74.149929999999998</v>
      </c>
      <c r="J9" s="22">
        <f>K30</f>
        <v>107.9251</v>
      </c>
      <c r="K9" s="22">
        <f>K31</f>
        <v>113.8904</v>
      </c>
      <c r="M9" s="9" t="s">
        <v>168</v>
      </c>
      <c r="N9" s="108">
        <v>44.7</v>
      </c>
      <c r="O9" s="22">
        <f>SUM(O29:O31)</f>
        <v>63.31</v>
      </c>
      <c r="P9" s="108">
        <f>SUM(P29:P31)</f>
        <v>64.62</v>
      </c>
    </row>
    <row r="10" spans="1:16" ht="12" customHeight="1" x14ac:dyDescent="0.25">
      <c r="B10" s="9" t="s">
        <v>250</v>
      </c>
      <c r="C10" s="119"/>
      <c r="D10" s="118">
        <f t="shared" si="0"/>
        <v>5</v>
      </c>
      <c r="E10" s="118">
        <f>I13</f>
        <v>2.5428109999999999</v>
      </c>
      <c r="F10" s="117">
        <f>+E10/D10</f>
        <v>0.50856219999999996</v>
      </c>
      <c r="H10" s="9" t="s">
        <v>168</v>
      </c>
      <c r="I10" s="22">
        <v>41.82302</v>
      </c>
      <c r="J10" s="22">
        <v>48.384279999999997</v>
      </c>
      <c r="K10" s="22">
        <v>50.053789999999999</v>
      </c>
      <c r="M10" s="9" t="s">
        <v>253</v>
      </c>
      <c r="N10" s="22">
        <v>13.9</v>
      </c>
      <c r="O10" s="22">
        <v>12.4</v>
      </c>
      <c r="P10" s="22">
        <v>29.48</v>
      </c>
    </row>
    <row r="11" spans="1:16" ht="12" customHeight="1" x14ac:dyDescent="0.3">
      <c r="B11" t="s">
        <v>251</v>
      </c>
      <c r="C11" s="118">
        <f>I14</f>
        <v>1.9802150000000001</v>
      </c>
      <c r="D11" s="118">
        <f t="shared" si="0"/>
        <v>4.5999999999999996</v>
      </c>
      <c r="E11" s="119"/>
      <c r="F11" s="119"/>
      <c r="H11" s="68" t="s">
        <v>244</v>
      </c>
      <c r="I11" s="22">
        <v>219.97290000000001</v>
      </c>
      <c r="J11" s="22">
        <v>89.520390000000006</v>
      </c>
      <c r="K11" s="22">
        <v>16.3</v>
      </c>
      <c r="L11" s="22"/>
      <c r="M11" s="9" t="s">
        <v>250</v>
      </c>
      <c r="N11" s="22">
        <v>5</v>
      </c>
      <c r="O11" s="22">
        <v>5.0999999999999996</v>
      </c>
      <c r="P11" s="22">
        <v>5.8</v>
      </c>
    </row>
    <row r="12" spans="1:16" ht="12.75" customHeight="1" x14ac:dyDescent="0.25">
      <c r="A12" s="167">
        <v>2021</v>
      </c>
      <c r="B12" s="167"/>
      <c r="C12" s="118"/>
      <c r="D12" s="118"/>
      <c r="E12" s="119"/>
      <c r="F12" s="119"/>
      <c r="G12" s="62">
        <f>+C15/D15</f>
        <v>0.27689573151871327</v>
      </c>
      <c r="H12" s="9" t="s">
        <v>254</v>
      </c>
      <c r="I12" s="22">
        <v>14.680529999999999</v>
      </c>
      <c r="J12" s="22">
        <v>20.742080000000001</v>
      </c>
      <c r="K12" s="22">
        <v>20.881360000000001</v>
      </c>
      <c r="M12" s="19" t="s">
        <v>251</v>
      </c>
      <c r="N12" s="19">
        <v>4.5999999999999996</v>
      </c>
      <c r="O12" s="19">
        <v>8.1999999999999993</v>
      </c>
      <c r="P12" s="19">
        <v>3.9</v>
      </c>
    </row>
    <row r="13" spans="1:16" ht="12" customHeight="1" x14ac:dyDescent="0.25">
      <c r="A13" s="112"/>
      <c r="B13" s="43" t="s">
        <v>242</v>
      </c>
      <c r="C13" s="116"/>
      <c r="D13" s="116">
        <f>SUM(N4,O5)</f>
        <v>531.4</v>
      </c>
      <c r="E13" s="116">
        <f>SUM(J4:J5)</f>
        <v>512.59</v>
      </c>
      <c r="F13" s="117">
        <f>+E13/D13</f>
        <v>0.9646029356417013</v>
      </c>
      <c r="H13" s="9" t="s">
        <v>250</v>
      </c>
      <c r="I13" s="22">
        <v>2.5428109999999999</v>
      </c>
      <c r="J13" s="22">
        <v>2.2710400000000002</v>
      </c>
      <c r="K13" s="22">
        <v>3.1128330000000002</v>
      </c>
      <c r="L13" s="9"/>
    </row>
    <row r="14" spans="1:16" ht="12" customHeight="1" x14ac:dyDescent="0.25">
      <c r="A14" s="111"/>
      <c r="B14" s="9" t="s">
        <v>240</v>
      </c>
      <c r="C14" s="116"/>
      <c r="D14" s="116">
        <f>O6</f>
        <v>210.4</v>
      </c>
      <c r="E14" s="116">
        <f>J6</f>
        <v>196.0001</v>
      </c>
      <c r="F14" s="117">
        <f>+E14/D14</f>
        <v>0.93155941064638781</v>
      </c>
      <c r="H14" s="70" t="s">
        <v>252</v>
      </c>
      <c r="I14" s="25">
        <v>1.9802150000000001</v>
      </c>
      <c r="J14" s="25">
        <v>2.8560500000000002</v>
      </c>
      <c r="K14" s="25">
        <v>2.9784470000000001</v>
      </c>
      <c r="L14" s="9"/>
    </row>
    <row r="15" spans="1:16" ht="12" customHeight="1" x14ac:dyDescent="0.25">
      <c r="A15" s="111"/>
      <c r="B15" s="9" t="s">
        <v>160</v>
      </c>
      <c r="C15" s="116">
        <f>J11</f>
        <v>89.520390000000006</v>
      </c>
      <c r="D15" s="116">
        <f>O7</f>
        <v>323.3</v>
      </c>
      <c r="E15" s="116">
        <f>J7</f>
        <v>323.09300000000002</v>
      </c>
      <c r="F15" s="117">
        <f>+E15/D15</f>
        <v>0.99935972780699045</v>
      </c>
      <c r="H15" s="9" t="s">
        <v>257</v>
      </c>
      <c r="I15">
        <v>1.9</v>
      </c>
      <c r="J15" s="22">
        <v>1.66561</v>
      </c>
      <c r="K15" s="22">
        <v>2.3570769999999999</v>
      </c>
      <c r="L15" s="9"/>
    </row>
    <row r="16" spans="1:16" ht="12" customHeight="1" x14ac:dyDescent="0.25">
      <c r="A16" s="111"/>
      <c r="B16" s="9" t="s">
        <v>167</v>
      </c>
      <c r="C16" s="116">
        <f>J8</f>
        <v>44.871850000000002</v>
      </c>
      <c r="D16" s="116">
        <f>O8</f>
        <v>107.93</v>
      </c>
      <c r="E16" s="116">
        <f>J9</f>
        <v>107.9251</v>
      </c>
      <c r="F16" s="117">
        <f>+E16/D16</f>
        <v>0.99995460020383575</v>
      </c>
      <c r="G16" s="62">
        <f>+C16/D16</f>
        <v>0.41574955989993512</v>
      </c>
      <c r="L16" s="9"/>
    </row>
    <row r="17" spans="1:16" ht="12" customHeight="1" x14ac:dyDescent="0.25">
      <c r="A17" s="111"/>
      <c r="B17" s="9" t="s">
        <v>168</v>
      </c>
      <c r="C17" s="116"/>
      <c r="D17" s="116">
        <f>+O29</f>
        <v>45.96</v>
      </c>
      <c r="E17" s="116">
        <f>J10</f>
        <v>48.384279999999997</v>
      </c>
      <c r="F17" s="117">
        <f>+E17/D17</f>
        <v>1.0527476066144472</v>
      </c>
    </row>
    <row r="18" spans="1:16" ht="12" customHeight="1" x14ac:dyDescent="0.25">
      <c r="B18" s="9" t="s">
        <v>253</v>
      </c>
      <c r="C18" s="118">
        <f>J12</f>
        <v>20.742080000000001</v>
      </c>
      <c r="D18" s="118">
        <f>O10</f>
        <v>12.4</v>
      </c>
      <c r="E18" s="119"/>
      <c r="F18" s="119"/>
    </row>
    <row r="19" spans="1:16" ht="12" customHeight="1" x14ac:dyDescent="0.25">
      <c r="B19" s="9" t="s">
        <v>250</v>
      </c>
      <c r="C19" s="119"/>
      <c r="D19" s="118">
        <f>O11</f>
        <v>5.0999999999999996</v>
      </c>
      <c r="E19" s="118">
        <f>J13</f>
        <v>2.2710400000000002</v>
      </c>
      <c r="F19" s="117">
        <f>+E19/D19</f>
        <v>0.44530196078431378</v>
      </c>
    </row>
    <row r="20" spans="1:16" ht="12" customHeight="1" x14ac:dyDescent="0.25">
      <c r="B20" t="s">
        <v>251</v>
      </c>
      <c r="C20" s="118">
        <f>J14</f>
        <v>2.8560500000000002</v>
      </c>
      <c r="D20" s="118">
        <f>O12</f>
        <v>8.1999999999999993</v>
      </c>
      <c r="E20" s="119"/>
      <c r="F20" s="119"/>
    </row>
    <row r="21" spans="1:16" ht="12.75" customHeight="1" x14ac:dyDescent="0.25">
      <c r="A21" s="167">
        <v>2022</v>
      </c>
      <c r="B21" s="167"/>
      <c r="C21" s="118"/>
      <c r="D21" s="118"/>
      <c r="E21" s="119"/>
      <c r="F21" s="119"/>
    </row>
    <row r="22" spans="1:16" ht="12" customHeight="1" x14ac:dyDescent="0.25">
      <c r="A22" s="9"/>
      <c r="B22" s="9" t="s">
        <v>240</v>
      </c>
      <c r="C22" s="116"/>
      <c r="D22" s="116">
        <f>P6</f>
        <v>122.9</v>
      </c>
      <c r="E22" s="116">
        <f>K6</f>
        <v>112.7634</v>
      </c>
      <c r="F22" s="117">
        <f>+E22/D22</f>
        <v>0.91752156224572823</v>
      </c>
      <c r="I22" t="s">
        <v>309</v>
      </c>
    </row>
    <row r="23" spans="1:16" ht="12" customHeight="1" x14ac:dyDescent="0.25">
      <c r="A23" s="43"/>
      <c r="B23" s="9" t="s">
        <v>160</v>
      </c>
      <c r="C23" s="116">
        <f>K11</f>
        <v>16.3</v>
      </c>
      <c r="D23" s="116">
        <f>P7</f>
        <v>27.7</v>
      </c>
      <c r="E23" s="116">
        <f>K7</f>
        <v>27.69042</v>
      </c>
      <c r="F23" s="117">
        <f>+E23/D23</f>
        <v>0.99965415162454874</v>
      </c>
      <c r="I23" s="131" t="s">
        <v>300</v>
      </c>
      <c r="J23" s="132" t="s">
        <v>311</v>
      </c>
      <c r="K23" t="s">
        <v>310</v>
      </c>
    </row>
    <row r="24" spans="1:16" ht="12" customHeight="1" x14ac:dyDescent="0.25">
      <c r="A24" s="9"/>
      <c r="B24" s="9" t="s">
        <v>167</v>
      </c>
      <c r="C24" s="116">
        <f>K8</f>
        <v>45.342030000000001</v>
      </c>
      <c r="D24" s="116">
        <f>P8</f>
        <v>113.9</v>
      </c>
      <c r="E24" s="116">
        <f>K9</f>
        <v>113.8904</v>
      </c>
      <c r="F24" s="117">
        <f>+E24/D24</f>
        <v>0.99991571553994729</v>
      </c>
      <c r="G24" s="62">
        <f>+C24/D24</f>
        <v>0.39808630377524146</v>
      </c>
      <c r="I24" s="133" t="s">
        <v>301</v>
      </c>
      <c r="J24" s="134">
        <v>69.644999999999996</v>
      </c>
      <c r="K24">
        <v>69.639849999999996</v>
      </c>
    </row>
    <row r="25" spans="1:16" ht="12" customHeight="1" x14ac:dyDescent="0.25">
      <c r="A25" s="9"/>
      <c r="B25" s="9" t="s">
        <v>168</v>
      </c>
      <c r="C25" s="116"/>
      <c r="D25" s="116">
        <f>+P29</f>
        <v>48.95</v>
      </c>
      <c r="E25" s="116">
        <f>K10</f>
        <v>50.053789999999999</v>
      </c>
      <c r="F25" s="117">
        <f>+E25/D25</f>
        <v>1.0225493360572011</v>
      </c>
      <c r="I25" s="133" t="s">
        <v>302</v>
      </c>
      <c r="J25" s="134">
        <v>66.539000000000001</v>
      </c>
      <c r="K25">
        <v>66.535520000000005</v>
      </c>
    </row>
    <row r="26" spans="1:16" ht="12" customHeight="1" x14ac:dyDescent="0.25">
      <c r="B26" s="9" t="s">
        <v>253</v>
      </c>
      <c r="C26" s="118">
        <f>K12</f>
        <v>20.881360000000001</v>
      </c>
      <c r="D26" s="118">
        <f>P10</f>
        <v>29.48</v>
      </c>
      <c r="E26" s="119"/>
      <c r="F26" s="119"/>
      <c r="I26" s="133" t="s">
        <v>303</v>
      </c>
      <c r="J26" s="134">
        <v>63.71105</v>
      </c>
      <c r="K26">
        <v>63.697969999999998</v>
      </c>
    </row>
    <row r="27" spans="1:16" ht="12" customHeight="1" thickBot="1" x14ac:dyDescent="0.3">
      <c r="B27" s="9" t="s">
        <v>250</v>
      </c>
      <c r="C27" s="119"/>
      <c r="D27" s="118">
        <f>P11</f>
        <v>5.8</v>
      </c>
      <c r="E27" s="118">
        <f>K13</f>
        <v>3.1128330000000002</v>
      </c>
      <c r="F27" s="117">
        <f>+E27/D27</f>
        <v>0.5366953448275863</v>
      </c>
      <c r="H27" s="9"/>
      <c r="I27" s="133" t="s">
        <v>304</v>
      </c>
      <c r="J27" s="134">
        <v>60.916849999999997</v>
      </c>
      <c r="K27">
        <v>60.919939999999997</v>
      </c>
      <c r="M27" s="9" t="s">
        <v>175</v>
      </c>
    </row>
    <row r="28" spans="1:16" ht="12" customHeight="1" thickTop="1" x14ac:dyDescent="0.3">
      <c r="B28" t="s">
        <v>251</v>
      </c>
      <c r="C28" s="118">
        <f>K14</f>
        <v>2.9784470000000001</v>
      </c>
      <c r="D28" s="118">
        <f>P12</f>
        <v>3.9</v>
      </c>
      <c r="E28" s="119"/>
      <c r="F28" s="119"/>
      <c r="I28" s="133" t="s">
        <v>305</v>
      </c>
      <c r="J28" s="134">
        <v>55.622280000000003</v>
      </c>
      <c r="K28">
        <v>55.6175</v>
      </c>
      <c r="M28" s="63" t="s">
        <v>37</v>
      </c>
      <c r="N28" s="64">
        <v>2020</v>
      </c>
      <c r="O28" s="63">
        <v>2021</v>
      </c>
      <c r="P28" s="63">
        <v>2022</v>
      </c>
    </row>
    <row r="29" spans="1:16" ht="12.75" customHeight="1" x14ac:dyDescent="0.25">
      <c r="A29" s="168" t="s">
        <v>284</v>
      </c>
      <c r="B29" s="169"/>
      <c r="C29" s="169"/>
      <c r="D29" s="169"/>
      <c r="E29" s="169"/>
      <c r="F29" s="169"/>
      <c r="I29" s="133" t="s">
        <v>306</v>
      </c>
      <c r="J29" s="134">
        <v>74.156679999999994</v>
      </c>
      <c r="K29">
        <v>74.149929999999998</v>
      </c>
      <c r="M29" s="65" t="s">
        <v>171</v>
      </c>
      <c r="N29" s="74">
        <v>44.7</v>
      </c>
      <c r="O29" s="71">
        <v>45.96</v>
      </c>
      <c r="P29" s="74">
        <v>48.95</v>
      </c>
    </row>
    <row r="30" spans="1:16" ht="15" customHeight="1" x14ac:dyDescent="0.3">
      <c r="A30" s="153"/>
      <c r="B30" s="153"/>
      <c r="C30" s="153"/>
      <c r="D30" s="153"/>
      <c r="E30" s="153"/>
      <c r="F30" s="153"/>
      <c r="I30" s="133" t="s">
        <v>307</v>
      </c>
      <c r="J30" s="134">
        <v>107.9315</v>
      </c>
      <c r="K30">
        <v>107.9251</v>
      </c>
      <c r="M30" t="s">
        <v>173</v>
      </c>
      <c r="O30" s="22">
        <v>12.78</v>
      </c>
      <c r="P30" s="75">
        <v>5.92</v>
      </c>
    </row>
    <row r="31" spans="1:16" ht="14.4" x14ac:dyDescent="0.3">
      <c r="A31" s="153"/>
      <c r="B31" s="153"/>
      <c r="C31" s="153"/>
      <c r="D31" s="153"/>
      <c r="E31" s="153"/>
      <c r="F31" s="153"/>
      <c r="I31" s="133" t="s">
        <v>308</v>
      </c>
      <c r="J31" s="134">
        <v>113.90249</v>
      </c>
      <c r="K31">
        <v>113.8904</v>
      </c>
      <c r="M31" s="19" t="s">
        <v>172</v>
      </c>
      <c r="N31" s="19"/>
      <c r="O31" s="76">
        <v>4.57</v>
      </c>
      <c r="P31" s="76">
        <v>9.75</v>
      </c>
    </row>
    <row r="32" spans="1:16" x14ac:dyDescent="0.25">
      <c r="A32" s="153"/>
      <c r="B32" s="153"/>
      <c r="C32" s="153"/>
      <c r="D32" s="153"/>
      <c r="E32" s="153"/>
      <c r="F32" s="153"/>
      <c r="M32" s="11" t="s">
        <v>174</v>
      </c>
      <c r="N32" s="73">
        <f>SUM(N29:N31)</f>
        <v>44.7</v>
      </c>
      <c r="O32" s="73">
        <f>SUM(O29:O31)</f>
        <v>63.31</v>
      </c>
      <c r="P32" s="73">
        <f>SUM(P29:P31)</f>
        <v>64.62</v>
      </c>
    </row>
    <row r="33" spans="1:15" x14ac:dyDescent="0.25">
      <c r="A33" s="153"/>
      <c r="B33" s="153"/>
      <c r="C33" s="153"/>
      <c r="D33" s="153"/>
      <c r="E33" s="153"/>
      <c r="F33" s="153"/>
    </row>
    <row r="34" spans="1:15" x14ac:dyDescent="0.25">
      <c r="A34" s="153"/>
      <c r="B34" s="153"/>
      <c r="C34" s="153"/>
      <c r="D34" s="153"/>
      <c r="E34" s="153"/>
      <c r="F34" s="153"/>
      <c r="M34" s="9" t="s">
        <v>246</v>
      </c>
    </row>
    <row r="35" spans="1:15" x14ac:dyDescent="0.25">
      <c r="A35" s="153"/>
      <c r="B35" s="153"/>
      <c r="C35" s="153"/>
      <c r="D35" s="153"/>
      <c r="E35" s="153"/>
      <c r="F35" s="153"/>
      <c r="M35" s="11" t="s">
        <v>37</v>
      </c>
      <c r="N35" s="11" t="s">
        <v>176</v>
      </c>
      <c r="O35" s="11" t="s">
        <v>177</v>
      </c>
    </row>
    <row r="36" spans="1:15" x14ac:dyDescent="0.25">
      <c r="A36" s="153"/>
      <c r="B36" s="153"/>
      <c r="C36" s="153"/>
      <c r="D36" s="153"/>
      <c r="E36" s="153"/>
      <c r="F36" s="153"/>
      <c r="M36">
        <v>2015</v>
      </c>
      <c r="N36" s="85">
        <v>20.617000000000001</v>
      </c>
      <c r="O36" s="85">
        <v>33.064999999999998</v>
      </c>
    </row>
    <row r="37" spans="1:15" x14ac:dyDescent="0.25">
      <c r="A37" s="153"/>
      <c r="B37" s="153"/>
      <c r="C37" s="153"/>
      <c r="D37" s="153"/>
      <c r="E37" s="153"/>
      <c r="F37" s="153"/>
      <c r="M37">
        <v>2016</v>
      </c>
      <c r="N37" s="85">
        <v>18.690000000000001</v>
      </c>
      <c r="O37" s="85">
        <v>32.671999999999997</v>
      </c>
    </row>
    <row r="38" spans="1:15" x14ac:dyDescent="0.25">
      <c r="A38" s="153"/>
      <c r="B38" s="153"/>
      <c r="C38" s="153"/>
      <c r="D38" s="153"/>
      <c r="E38" s="153"/>
      <c r="F38" s="153"/>
      <c r="M38">
        <v>2017</v>
      </c>
      <c r="N38" s="85">
        <v>18.219000000000001</v>
      </c>
      <c r="O38" s="85">
        <v>30.794</v>
      </c>
    </row>
    <row r="39" spans="1:15" x14ac:dyDescent="0.25">
      <c r="A39" s="153"/>
      <c r="B39" s="153"/>
      <c r="C39" s="153"/>
      <c r="D39" s="153"/>
      <c r="E39" s="153"/>
      <c r="F39" s="153"/>
      <c r="M39">
        <v>2018</v>
      </c>
      <c r="N39" s="85">
        <v>15.499000000000001</v>
      </c>
      <c r="O39" s="85">
        <v>28.286999999999999</v>
      </c>
    </row>
    <row r="40" spans="1:15" x14ac:dyDescent="0.25">
      <c r="A40" s="153"/>
      <c r="B40" s="153"/>
      <c r="C40" s="153"/>
      <c r="D40" s="153"/>
      <c r="E40" s="153"/>
      <c r="F40" s="153"/>
      <c r="M40" s="19">
        <v>2019</v>
      </c>
      <c r="N40" s="86">
        <v>17.64</v>
      </c>
      <c r="O40" s="86">
        <v>28.021999999999998</v>
      </c>
    </row>
    <row r="41" spans="1:15" x14ac:dyDescent="0.25">
      <c r="A41" s="153"/>
      <c r="B41" s="153"/>
      <c r="C41" s="153"/>
      <c r="D41" s="153"/>
      <c r="E41" s="153"/>
      <c r="F41" s="153"/>
    </row>
    <row r="42" spans="1:15" x14ac:dyDescent="0.25">
      <c r="A42" s="56"/>
      <c r="B42" s="56"/>
      <c r="C42" s="56"/>
      <c r="D42" s="56"/>
      <c r="E42" s="56"/>
      <c r="F42" s="56"/>
    </row>
    <row r="43" spans="1:15" x14ac:dyDescent="0.25">
      <c r="A43" s="56"/>
      <c r="B43" s="56"/>
      <c r="C43" s="56"/>
      <c r="D43" s="56"/>
      <c r="E43" s="56"/>
      <c r="F43" s="56"/>
    </row>
    <row r="44" spans="1:15" x14ac:dyDescent="0.25">
      <c r="A44" s="56"/>
      <c r="B44" s="56"/>
      <c r="C44" s="56"/>
      <c r="D44" s="56"/>
      <c r="E44" s="56"/>
      <c r="F44" s="56"/>
    </row>
    <row r="45" spans="1:15" x14ac:dyDescent="0.25">
      <c r="A45" s="56"/>
      <c r="B45" s="56"/>
      <c r="C45" s="56"/>
      <c r="D45" s="56"/>
      <c r="E45" s="56"/>
      <c r="F45" s="56"/>
    </row>
    <row r="47" spans="1:15" x14ac:dyDescent="0.25">
      <c r="A47" t="s">
        <v>261</v>
      </c>
    </row>
  </sheetData>
  <mergeCells count="4">
    <mergeCell ref="A3:B3"/>
    <mergeCell ref="A12:B12"/>
    <mergeCell ref="A21:B21"/>
    <mergeCell ref="A29:F41"/>
  </mergeCells>
  <printOptions horizontalCentered="1"/>
  <pageMargins left="0.75" right="0.75" top="0.71" bottom="0.72"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3111-CF15-42AC-B9A3-AD8AADFDE67C}">
  <sheetPr>
    <pageSetUpPr fitToPage="1"/>
  </sheetPr>
  <dimension ref="A1:V33"/>
  <sheetViews>
    <sheetView zoomScale="115" zoomScaleNormal="115" zoomScaleSheetLayoutView="85" workbookViewId="0">
      <selection activeCell="P18" sqref="P18"/>
    </sheetView>
  </sheetViews>
  <sheetFormatPr defaultRowHeight="13.2" x14ac:dyDescent="0.25"/>
  <cols>
    <col min="1" max="1" width="7.44140625" customWidth="1"/>
    <col min="2" max="3" width="11.44140625" customWidth="1"/>
    <col min="4" max="4" width="1" customWidth="1"/>
    <col min="5" max="6" width="11.44140625" customWidth="1"/>
    <col min="7" max="7" width="1" customWidth="1"/>
    <col min="8" max="9" width="11.44140625" customWidth="1"/>
    <col min="10" max="10" width="1" customWidth="1"/>
    <col min="11" max="12" width="11.44140625" customWidth="1"/>
    <col min="14" max="15" width="10.5546875" customWidth="1"/>
    <col min="261" max="263" width="11.5546875" customWidth="1"/>
    <col min="264" max="264" width="1" customWidth="1"/>
    <col min="265" max="266" width="11.5546875" customWidth="1"/>
    <col min="267" max="267" width="1" customWidth="1"/>
    <col min="268" max="268" width="10.77734375" customWidth="1"/>
    <col min="269" max="269" width="11.5546875" customWidth="1"/>
    <col min="271" max="271" width="21" customWidth="1"/>
    <col min="272" max="272" width="10.5546875" customWidth="1"/>
    <col min="517" max="519" width="11.5546875" customWidth="1"/>
    <col min="520" max="520" width="1" customWidth="1"/>
    <col min="521" max="522" width="11.5546875" customWidth="1"/>
    <col min="523" max="523" width="1" customWidth="1"/>
    <col min="524" max="524" width="10.77734375" customWidth="1"/>
    <col min="525" max="525" width="11.5546875" customWidth="1"/>
    <col min="527" max="527" width="21" customWidth="1"/>
    <col min="528" max="528" width="10.5546875" customWidth="1"/>
    <col min="773" max="775" width="11.5546875" customWidth="1"/>
    <col min="776" max="776" width="1" customWidth="1"/>
    <col min="777" max="778" width="11.5546875" customWidth="1"/>
    <col min="779" max="779" width="1" customWidth="1"/>
    <col min="780" max="780" width="10.77734375" customWidth="1"/>
    <col min="781" max="781" width="11.5546875" customWidth="1"/>
    <col min="783" max="783" width="21" customWidth="1"/>
    <col min="784" max="784" width="10.5546875" customWidth="1"/>
    <col min="1029" max="1031" width="11.5546875" customWidth="1"/>
    <col min="1032" max="1032" width="1" customWidth="1"/>
    <col min="1033" max="1034" width="11.5546875" customWidth="1"/>
    <col min="1035" max="1035" width="1" customWidth="1"/>
    <col min="1036" max="1036" width="10.77734375" customWidth="1"/>
    <col min="1037" max="1037" width="11.5546875" customWidth="1"/>
    <col min="1039" max="1039" width="21" customWidth="1"/>
    <col min="1040" max="1040" width="10.5546875" customWidth="1"/>
    <col min="1285" max="1287" width="11.5546875" customWidth="1"/>
    <col min="1288" max="1288" width="1" customWidth="1"/>
    <col min="1289" max="1290" width="11.5546875" customWidth="1"/>
    <col min="1291" max="1291" width="1" customWidth="1"/>
    <col min="1292" max="1292" width="10.77734375" customWidth="1"/>
    <col min="1293" max="1293" width="11.5546875" customWidth="1"/>
    <col min="1295" max="1295" width="21" customWidth="1"/>
    <col min="1296" max="1296" width="10.5546875" customWidth="1"/>
    <col min="1541" max="1543" width="11.5546875" customWidth="1"/>
    <col min="1544" max="1544" width="1" customWidth="1"/>
    <col min="1545" max="1546" width="11.5546875" customWidth="1"/>
    <col min="1547" max="1547" width="1" customWidth="1"/>
    <col min="1548" max="1548" width="10.77734375" customWidth="1"/>
    <col min="1549" max="1549" width="11.5546875" customWidth="1"/>
    <col min="1551" max="1551" width="21" customWidth="1"/>
    <col min="1552" max="1552" width="10.5546875" customWidth="1"/>
    <col min="1797" max="1799" width="11.5546875" customWidth="1"/>
    <col min="1800" max="1800" width="1" customWidth="1"/>
    <col min="1801" max="1802" width="11.5546875" customWidth="1"/>
    <col min="1803" max="1803" width="1" customWidth="1"/>
    <col min="1804" max="1804" width="10.77734375" customWidth="1"/>
    <col min="1805" max="1805" width="11.5546875" customWidth="1"/>
    <col min="1807" max="1807" width="21" customWidth="1"/>
    <col min="1808" max="1808" width="10.5546875" customWidth="1"/>
    <col min="2053" max="2055" width="11.5546875" customWidth="1"/>
    <col min="2056" max="2056" width="1" customWidth="1"/>
    <col min="2057" max="2058" width="11.5546875" customWidth="1"/>
    <col min="2059" max="2059" width="1" customWidth="1"/>
    <col min="2060" max="2060" width="10.77734375" customWidth="1"/>
    <col min="2061" max="2061" width="11.5546875" customWidth="1"/>
    <col min="2063" max="2063" width="21" customWidth="1"/>
    <col min="2064" max="2064" width="10.5546875" customWidth="1"/>
    <col min="2309" max="2311" width="11.5546875" customWidth="1"/>
    <col min="2312" max="2312" width="1" customWidth="1"/>
    <col min="2313" max="2314" width="11.5546875" customWidth="1"/>
    <col min="2315" max="2315" width="1" customWidth="1"/>
    <col min="2316" max="2316" width="10.77734375" customWidth="1"/>
    <col min="2317" max="2317" width="11.5546875" customWidth="1"/>
    <col min="2319" max="2319" width="21" customWidth="1"/>
    <col min="2320" max="2320" width="10.5546875" customWidth="1"/>
    <col min="2565" max="2567" width="11.5546875" customWidth="1"/>
    <col min="2568" max="2568" width="1" customWidth="1"/>
    <col min="2569" max="2570" width="11.5546875" customWidth="1"/>
    <col min="2571" max="2571" width="1" customWidth="1"/>
    <col min="2572" max="2572" width="10.77734375" customWidth="1"/>
    <col min="2573" max="2573" width="11.5546875" customWidth="1"/>
    <col min="2575" max="2575" width="21" customWidth="1"/>
    <col min="2576" max="2576" width="10.5546875" customWidth="1"/>
    <col min="2821" max="2823" width="11.5546875" customWidth="1"/>
    <col min="2824" max="2824" width="1" customWidth="1"/>
    <col min="2825" max="2826" width="11.5546875" customWidth="1"/>
    <col min="2827" max="2827" width="1" customWidth="1"/>
    <col min="2828" max="2828" width="10.77734375" customWidth="1"/>
    <col min="2829" max="2829" width="11.5546875" customWidth="1"/>
    <col min="2831" max="2831" width="21" customWidth="1"/>
    <col min="2832" max="2832" width="10.5546875" customWidth="1"/>
    <col min="3077" max="3079" width="11.5546875" customWidth="1"/>
    <col min="3080" max="3080" width="1" customWidth="1"/>
    <col min="3081" max="3082" width="11.5546875" customWidth="1"/>
    <col min="3083" max="3083" width="1" customWidth="1"/>
    <col min="3084" max="3084" width="10.77734375" customWidth="1"/>
    <col min="3085" max="3085" width="11.5546875" customWidth="1"/>
    <col min="3087" max="3087" width="21" customWidth="1"/>
    <col min="3088" max="3088" width="10.5546875" customWidth="1"/>
    <col min="3333" max="3335" width="11.5546875" customWidth="1"/>
    <col min="3336" max="3336" width="1" customWidth="1"/>
    <col min="3337" max="3338" width="11.5546875" customWidth="1"/>
    <col min="3339" max="3339" width="1" customWidth="1"/>
    <col min="3340" max="3340" width="10.77734375" customWidth="1"/>
    <col min="3341" max="3341" width="11.5546875" customWidth="1"/>
    <col min="3343" max="3343" width="21" customWidth="1"/>
    <col min="3344" max="3344" width="10.5546875" customWidth="1"/>
    <col min="3589" max="3591" width="11.5546875" customWidth="1"/>
    <col min="3592" max="3592" width="1" customWidth="1"/>
    <col min="3593" max="3594" width="11.5546875" customWidth="1"/>
    <col min="3595" max="3595" width="1" customWidth="1"/>
    <col min="3596" max="3596" width="10.77734375" customWidth="1"/>
    <col min="3597" max="3597" width="11.5546875" customWidth="1"/>
    <col min="3599" max="3599" width="21" customWidth="1"/>
    <col min="3600" max="3600" width="10.5546875" customWidth="1"/>
    <col min="3845" max="3847" width="11.5546875" customWidth="1"/>
    <col min="3848" max="3848" width="1" customWidth="1"/>
    <col min="3849" max="3850" width="11.5546875" customWidth="1"/>
    <col min="3851" max="3851" width="1" customWidth="1"/>
    <col min="3852" max="3852" width="10.77734375" customWidth="1"/>
    <col min="3853" max="3853" width="11.5546875" customWidth="1"/>
    <col min="3855" max="3855" width="21" customWidth="1"/>
    <col min="3856" max="3856" width="10.5546875" customWidth="1"/>
    <col min="4101" max="4103" width="11.5546875" customWidth="1"/>
    <col min="4104" max="4104" width="1" customWidth="1"/>
    <col min="4105" max="4106" width="11.5546875" customWidth="1"/>
    <col min="4107" max="4107" width="1" customWidth="1"/>
    <col min="4108" max="4108" width="10.77734375" customWidth="1"/>
    <col min="4109" max="4109" width="11.5546875" customWidth="1"/>
    <col min="4111" max="4111" width="21" customWidth="1"/>
    <col min="4112" max="4112" width="10.5546875" customWidth="1"/>
    <col min="4357" max="4359" width="11.5546875" customWidth="1"/>
    <col min="4360" max="4360" width="1" customWidth="1"/>
    <col min="4361" max="4362" width="11.5546875" customWidth="1"/>
    <col min="4363" max="4363" width="1" customWidth="1"/>
    <col min="4364" max="4364" width="10.77734375" customWidth="1"/>
    <col min="4365" max="4365" width="11.5546875" customWidth="1"/>
    <col min="4367" max="4367" width="21" customWidth="1"/>
    <col min="4368" max="4368" width="10.5546875" customWidth="1"/>
    <col min="4613" max="4615" width="11.5546875" customWidth="1"/>
    <col min="4616" max="4616" width="1" customWidth="1"/>
    <col min="4617" max="4618" width="11.5546875" customWidth="1"/>
    <col min="4619" max="4619" width="1" customWidth="1"/>
    <col min="4620" max="4620" width="10.77734375" customWidth="1"/>
    <col min="4621" max="4621" width="11.5546875" customWidth="1"/>
    <col min="4623" max="4623" width="21" customWidth="1"/>
    <col min="4624" max="4624" width="10.5546875" customWidth="1"/>
    <col min="4869" max="4871" width="11.5546875" customWidth="1"/>
    <col min="4872" max="4872" width="1" customWidth="1"/>
    <col min="4873" max="4874" width="11.5546875" customWidth="1"/>
    <col min="4875" max="4875" width="1" customWidth="1"/>
    <col min="4876" max="4876" width="10.77734375" customWidth="1"/>
    <col min="4877" max="4877" width="11.5546875" customWidth="1"/>
    <col min="4879" max="4879" width="21" customWidth="1"/>
    <col min="4880" max="4880" width="10.5546875" customWidth="1"/>
    <col min="5125" max="5127" width="11.5546875" customWidth="1"/>
    <col min="5128" max="5128" width="1" customWidth="1"/>
    <col min="5129" max="5130" width="11.5546875" customWidth="1"/>
    <col min="5131" max="5131" width="1" customWidth="1"/>
    <col min="5132" max="5132" width="10.77734375" customWidth="1"/>
    <col min="5133" max="5133" width="11.5546875" customWidth="1"/>
    <col min="5135" max="5135" width="21" customWidth="1"/>
    <col min="5136" max="5136" width="10.5546875" customWidth="1"/>
    <col min="5381" max="5383" width="11.5546875" customWidth="1"/>
    <col min="5384" max="5384" width="1" customWidth="1"/>
    <col min="5385" max="5386" width="11.5546875" customWidth="1"/>
    <col min="5387" max="5387" width="1" customWidth="1"/>
    <col min="5388" max="5388" width="10.77734375" customWidth="1"/>
    <col min="5389" max="5389" width="11.5546875" customWidth="1"/>
    <col min="5391" max="5391" width="21" customWidth="1"/>
    <col min="5392" max="5392" width="10.5546875" customWidth="1"/>
    <col min="5637" max="5639" width="11.5546875" customWidth="1"/>
    <col min="5640" max="5640" width="1" customWidth="1"/>
    <col min="5641" max="5642" width="11.5546875" customWidth="1"/>
    <col min="5643" max="5643" width="1" customWidth="1"/>
    <col min="5644" max="5644" width="10.77734375" customWidth="1"/>
    <col min="5645" max="5645" width="11.5546875" customWidth="1"/>
    <col min="5647" max="5647" width="21" customWidth="1"/>
    <col min="5648" max="5648" width="10.5546875" customWidth="1"/>
    <col min="5893" max="5895" width="11.5546875" customWidth="1"/>
    <col min="5896" max="5896" width="1" customWidth="1"/>
    <col min="5897" max="5898" width="11.5546875" customWidth="1"/>
    <col min="5899" max="5899" width="1" customWidth="1"/>
    <col min="5900" max="5900" width="10.77734375" customWidth="1"/>
    <col min="5901" max="5901" width="11.5546875" customWidth="1"/>
    <col min="5903" max="5903" width="21" customWidth="1"/>
    <col min="5904" max="5904" width="10.5546875" customWidth="1"/>
    <col min="6149" max="6151" width="11.5546875" customWidth="1"/>
    <col min="6152" max="6152" width="1" customWidth="1"/>
    <col min="6153" max="6154" width="11.5546875" customWidth="1"/>
    <col min="6155" max="6155" width="1" customWidth="1"/>
    <col min="6156" max="6156" width="10.77734375" customWidth="1"/>
    <col min="6157" max="6157" width="11.5546875" customWidth="1"/>
    <col min="6159" max="6159" width="21" customWidth="1"/>
    <col min="6160" max="6160" width="10.5546875" customWidth="1"/>
    <col min="6405" max="6407" width="11.5546875" customWidth="1"/>
    <col min="6408" max="6408" width="1" customWidth="1"/>
    <col min="6409" max="6410" width="11.5546875" customWidth="1"/>
    <col min="6411" max="6411" width="1" customWidth="1"/>
    <col min="6412" max="6412" width="10.77734375" customWidth="1"/>
    <col min="6413" max="6413" width="11.5546875" customWidth="1"/>
    <col min="6415" max="6415" width="21" customWidth="1"/>
    <col min="6416" max="6416" width="10.5546875" customWidth="1"/>
    <col min="6661" max="6663" width="11.5546875" customWidth="1"/>
    <col min="6664" max="6664" width="1" customWidth="1"/>
    <col min="6665" max="6666" width="11.5546875" customWidth="1"/>
    <col min="6667" max="6667" width="1" customWidth="1"/>
    <col min="6668" max="6668" width="10.77734375" customWidth="1"/>
    <col min="6669" max="6669" width="11.5546875" customWidth="1"/>
    <col min="6671" max="6671" width="21" customWidth="1"/>
    <col min="6672" max="6672" width="10.5546875" customWidth="1"/>
    <col min="6917" max="6919" width="11.5546875" customWidth="1"/>
    <col min="6920" max="6920" width="1" customWidth="1"/>
    <col min="6921" max="6922" width="11.5546875" customWidth="1"/>
    <col min="6923" max="6923" width="1" customWidth="1"/>
    <col min="6924" max="6924" width="10.77734375" customWidth="1"/>
    <col min="6925" max="6925" width="11.5546875" customWidth="1"/>
    <col min="6927" max="6927" width="21" customWidth="1"/>
    <col min="6928" max="6928" width="10.5546875" customWidth="1"/>
    <col min="7173" max="7175" width="11.5546875" customWidth="1"/>
    <col min="7176" max="7176" width="1" customWidth="1"/>
    <col min="7177" max="7178" width="11.5546875" customWidth="1"/>
    <col min="7179" max="7179" width="1" customWidth="1"/>
    <col min="7180" max="7180" width="10.77734375" customWidth="1"/>
    <col min="7181" max="7181" width="11.5546875" customWidth="1"/>
    <col min="7183" max="7183" width="21" customWidth="1"/>
    <col min="7184" max="7184" width="10.5546875" customWidth="1"/>
    <col min="7429" max="7431" width="11.5546875" customWidth="1"/>
    <col min="7432" max="7432" width="1" customWidth="1"/>
    <col min="7433" max="7434" width="11.5546875" customWidth="1"/>
    <col min="7435" max="7435" width="1" customWidth="1"/>
    <col min="7436" max="7436" width="10.77734375" customWidth="1"/>
    <col min="7437" max="7437" width="11.5546875" customWidth="1"/>
    <col min="7439" max="7439" width="21" customWidth="1"/>
    <col min="7440" max="7440" width="10.5546875" customWidth="1"/>
    <col min="7685" max="7687" width="11.5546875" customWidth="1"/>
    <col min="7688" max="7688" width="1" customWidth="1"/>
    <col min="7689" max="7690" width="11.5546875" customWidth="1"/>
    <col min="7691" max="7691" width="1" customWidth="1"/>
    <col min="7692" max="7692" width="10.77734375" customWidth="1"/>
    <col min="7693" max="7693" width="11.5546875" customWidth="1"/>
    <col min="7695" max="7695" width="21" customWidth="1"/>
    <col min="7696" max="7696" width="10.5546875" customWidth="1"/>
    <col min="7941" max="7943" width="11.5546875" customWidth="1"/>
    <col min="7944" max="7944" width="1" customWidth="1"/>
    <col min="7945" max="7946" width="11.5546875" customWidth="1"/>
    <col min="7947" max="7947" width="1" customWidth="1"/>
    <col min="7948" max="7948" width="10.77734375" customWidth="1"/>
    <col min="7949" max="7949" width="11.5546875" customWidth="1"/>
    <col min="7951" max="7951" width="21" customWidth="1"/>
    <col min="7952" max="7952" width="10.5546875" customWidth="1"/>
    <col min="8197" max="8199" width="11.5546875" customWidth="1"/>
    <col min="8200" max="8200" width="1" customWidth="1"/>
    <col min="8201" max="8202" width="11.5546875" customWidth="1"/>
    <col min="8203" max="8203" width="1" customWidth="1"/>
    <col min="8204" max="8204" width="10.77734375" customWidth="1"/>
    <col min="8205" max="8205" width="11.5546875" customWidth="1"/>
    <col min="8207" max="8207" width="21" customWidth="1"/>
    <col min="8208" max="8208" width="10.5546875" customWidth="1"/>
    <col min="8453" max="8455" width="11.5546875" customWidth="1"/>
    <col min="8456" max="8456" width="1" customWidth="1"/>
    <col min="8457" max="8458" width="11.5546875" customWidth="1"/>
    <col min="8459" max="8459" width="1" customWidth="1"/>
    <col min="8460" max="8460" width="10.77734375" customWidth="1"/>
    <col min="8461" max="8461" width="11.5546875" customWidth="1"/>
    <col min="8463" max="8463" width="21" customWidth="1"/>
    <col min="8464" max="8464" width="10.5546875" customWidth="1"/>
    <col min="8709" max="8711" width="11.5546875" customWidth="1"/>
    <col min="8712" max="8712" width="1" customWidth="1"/>
    <col min="8713" max="8714" width="11.5546875" customWidth="1"/>
    <col min="8715" max="8715" width="1" customWidth="1"/>
    <col min="8716" max="8716" width="10.77734375" customWidth="1"/>
    <col min="8717" max="8717" width="11.5546875" customWidth="1"/>
    <col min="8719" max="8719" width="21" customWidth="1"/>
    <col min="8720" max="8720" width="10.5546875" customWidth="1"/>
    <col min="8965" max="8967" width="11.5546875" customWidth="1"/>
    <col min="8968" max="8968" width="1" customWidth="1"/>
    <col min="8969" max="8970" width="11.5546875" customWidth="1"/>
    <col min="8971" max="8971" width="1" customWidth="1"/>
    <col min="8972" max="8972" width="10.77734375" customWidth="1"/>
    <col min="8973" max="8973" width="11.5546875" customWidth="1"/>
    <col min="8975" max="8975" width="21" customWidth="1"/>
    <col min="8976" max="8976" width="10.5546875" customWidth="1"/>
    <col min="9221" max="9223" width="11.5546875" customWidth="1"/>
    <col min="9224" max="9224" width="1" customWidth="1"/>
    <col min="9225" max="9226" width="11.5546875" customWidth="1"/>
    <col min="9227" max="9227" width="1" customWidth="1"/>
    <col min="9228" max="9228" width="10.77734375" customWidth="1"/>
    <col min="9229" max="9229" width="11.5546875" customWidth="1"/>
    <col min="9231" max="9231" width="21" customWidth="1"/>
    <col min="9232" max="9232" width="10.5546875" customWidth="1"/>
    <col min="9477" max="9479" width="11.5546875" customWidth="1"/>
    <col min="9480" max="9480" width="1" customWidth="1"/>
    <col min="9481" max="9482" width="11.5546875" customWidth="1"/>
    <col min="9483" max="9483" width="1" customWidth="1"/>
    <col min="9484" max="9484" width="10.77734375" customWidth="1"/>
    <col min="9485" max="9485" width="11.5546875" customWidth="1"/>
    <col min="9487" max="9487" width="21" customWidth="1"/>
    <col min="9488" max="9488" width="10.5546875" customWidth="1"/>
    <col min="9733" max="9735" width="11.5546875" customWidth="1"/>
    <col min="9736" max="9736" width="1" customWidth="1"/>
    <col min="9737" max="9738" width="11.5546875" customWidth="1"/>
    <col min="9739" max="9739" width="1" customWidth="1"/>
    <col min="9740" max="9740" width="10.77734375" customWidth="1"/>
    <col min="9741" max="9741" width="11.5546875" customWidth="1"/>
    <col min="9743" max="9743" width="21" customWidth="1"/>
    <col min="9744" max="9744" width="10.5546875" customWidth="1"/>
    <col min="9989" max="9991" width="11.5546875" customWidth="1"/>
    <col min="9992" max="9992" width="1" customWidth="1"/>
    <col min="9993" max="9994" width="11.5546875" customWidth="1"/>
    <col min="9995" max="9995" width="1" customWidth="1"/>
    <col min="9996" max="9996" width="10.77734375" customWidth="1"/>
    <col min="9997" max="9997" width="11.5546875" customWidth="1"/>
    <col min="9999" max="9999" width="21" customWidth="1"/>
    <col min="10000" max="10000" width="10.5546875" customWidth="1"/>
    <col min="10245" max="10247" width="11.5546875" customWidth="1"/>
    <col min="10248" max="10248" width="1" customWidth="1"/>
    <col min="10249" max="10250" width="11.5546875" customWidth="1"/>
    <col min="10251" max="10251" width="1" customWidth="1"/>
    <col min="10252" max="10252" width="10.77734375" customWidth="1"/>
    <col min="10253" max="10253" width="11.5546875" customWidth="1"/>
    <col min="10255" max="10255" width="21" customWidth="1"/>
    <col min="10256" max="10256" width="10.5546875" customWidth="1"/>
    <col min="10501" max="10503" width="11.5546875" customWidth="1"/>
    <col min="10504" max="10504" width="1" customWidth="1"/>
    <col min="10505" max="10506" width="11.5546875" customWidth="1"/>
    <col min="10507" max="10507" width="1" customWidth="1"/>
    <col min="10508" max="10508" width="10.77734375" customWidth="1"/>
    <col min="10509" max="10509" width="11.5546875" customWidth="1"/>
    <col min="10511" max="10511" width="21" customWidth="1"/>
    <col min="10512" max="10512" width="10.5546875" customWidth="1"/>
    <col min="10757" max="10759" width="11.5546875" customWidth="1"/>
    <col min="10760" max="10760" width="1" customWidth="1"/>
    <col min="10761" max="10762" width="11.5546875" customWidth="1"/>
    <col min="10763" max="10763" width="1" customWidth="1"/>
    <col min="10764" max="10764" width="10.77734375" customWidth="1"/>
    <col min="10765" max="10765" width="11.5546875" customWidth="1"/>
    <col min="10767" max="10767" width="21" customWidth="1"/>
    <col min="10768" max="10768" width="10.5546875" customWidth="1"/>
    <col min="11013" max="11015" width="11.5546875" customWidth="1"/>
    <col min="11016" max="11016" width="1" customWidth="1"/>
    <col min="11017" max="11018" width="11.5546875" customWidth="1"/>
    <col min="11019" max="11019" width="1" customWidth="1"/>
    <col min="11020" max="11020" width="10.77734375" customWidth="1"/>
    <col min="11021" max="11021" width="11.5546875" customWidth="1"/>
    <col min="11023" max="11023" width="21" customWidth="1"/>
    <col min="11024" max="11024" width="10.5546875" customWidth="1"/>
    <col min="11269" max="11271" width="11.5546875" customWidth="1"/>
    <col min="11272" max="11272" width="1" customWidth="1"/>
    <col min="11273" max="11274" width="11.5546875" customWidth="1"/>
    <col min="11275" max="11275" width="1" customWidth="1"/>
    <col min="11276" max="11276" width="10.77734375" customWidth="1"/>
    <col min="11277" max="11277" width="11.5546875" customWidth="1"/>
    <col min="11279" max="11279" width="21" customWidth="1"/>
    <col min="11280" max="11280" width="10.5546875" customWidth="1"/>
    <col min="11525" max="11527" width="11.5546875" customWidth="1"/>
    <col min="11528" max="11528" width="1" customWidth="1"/>
    <col min="11529" max="11530" width="11.5546875" customWidth="1"/>
    <col min="11531" max="11531" width="1" customWidth="1"/>
    <col min="11532" max="11532" width="10.77734375" customWidth="1"/>
    <col min="11533" max="11533" width="11.5546875" customWidth="1"/>
    <col min="11535" max="11535" width="21" customWidth="1"/>
    <col min="11536" max="11536" width="10.5546875" customWidth="1"/>
    <col min="11781" max="11783" width="11.5546875" customWidth="1"/>
    <col min="11784" max="11784" width="1" customWidth="1"/>
    <col min="11785" max="11786" width="11.5546875" customWidth="1"/>
    <col min="11787" max="11787" width="1" customWidth="1"/>
    <col min="11788" max="11788" width="10.77734375" customWidth="1"/>
    <col min="11789" max="11789" width="11.5546875" customWidth="1"/>
    <col min="11791" max="11791" width="21" customWidth="1"/>
    <col min="11792" max="11792" width="10.5546875" customWidth="1"/>
    <col min="12037" max="12039" width="11.5546875" customWidth="1"/>
    <col min="12040" max="12040" width="1" customWidth="1"/>
    <col min="12041" max="12042" width="11.5546875" customWidth="1"/>
    <col min="12043" max="12043" width="1" customWidth="1"/>
    <col min="12044" max="12044" width="10.77734375" customWidth="1"/>
    <col min="12045" max="12045" width="11.5546875" customWidth="1"/>
    <col min="12047" max="12047" width="21" customWidth="1"/>
    <col min="12048" max="12048" width="10.5546875" customWidth="1"/>
    <col min="12293" max="12295" width="11.5546875" customWidth="1"/>
    <col min="12296" max="12296" width="1" customWidth="1"/>
    <col min="12297" max="12298" width="11.5546875" customWidth="1"/>
    <col min="12299" max="12299" width="1" customWidth="1"/>
    <col min="12300" max="12300" width="10.77734375" customWidth="1"/>
    <col min="12301" max="12301" width="11.5546875" customWidth="1"/>
    <col min="12303" max="12303" width="21" customWidth="1"/>
    <col min="12304" max="12304" width="10.5546875" customWidth="1"/>
    <col min="12549" max="12551" width="11.5546875" customWidth="1"/>
    <col min="12552" max="12552" width="1" customWidth="1"/>
    <col min="12553" max="12554" width="11.5546875" customWidth="1"/>
    <col min="12555" max="12555" width="1" customWidth="1"/>
    <col min="12556" max="12556" width="10.77734375" customWidth="1"/>
    <col min="12557" max="12557" width="11.5546875" customWidth="1"/>
    <col min="12559" max="12559" width="21" customWidth="1"/>
    <col min="12560" max="12560" width="10.5546875" customWidth="1"/>
    <col min="12805" max="12807" width="11.5546875" customWidth="1"/>
    <col min="12808" max="12808" width="1" customWidth="1"/>
    <col min="12809" max="12810" width="11.5546875" customWidth="1"/>
    <col min="12811" max="12811" width="1" customWidth="1"/>
    <col min="12812" max="12812" width="10.77734375" customWidth="1"/>
    <col min="12813" max="12813" width="11.5546875" customWidth="1"/>
    <col min="12815" max="12815" width="21" customWidth="1"/>
    <col min="12816" max="12816" width="10.5546875" customWidth="1"/>
    <col min="13061" max="13063" width="11.5546875" customWidth="1"/>
    <col min="13064" max="13064" width="1" customWidth="1"/>
    <col min="13065" max="13066" width="11.5546875" customWidth="1"/>
    <col min="13067" max="13067" width="1" customWidth="1"/>
    <col min="13068" max="13068" width="10.77734375" customWidth="1"/>
    <col min="13069" max="13069" width="11.5546875" customWidth="1"/>
    <col min="13071" max="13071" width="21" customWidth="1"/>
    <col min="13072" max="13072" width="10.5546875" customWidth="1"/>
    <col min="13317" max="13319" width="11.5546875" customWidth="1"/>
    <col min="13320" max="13320" width="1" customWidth="1"/>
    <col min="13321" max="13322" width="11.5546875" customWidth="1"/>
    <col min="13323" max="13323" width="1" customWidth="1"/>
    <col min="13324" max="13324" width="10.77734375" customWidth="1"/>
    <col min="13325" max="13325" width="11.5546875" customWidth="1"/>
    <col min="13327" max="13327" width="21" customWidth="1"/>
    <col min="13328" max="13328" width="10.5546875" customWidth="1"/>
    <col min="13573" max="13575" width="11.5546875" customWidth="1"/>
    <col min="13576" max="13576" width="1" customWidth="1"/>
    <col min="13577" max="13578" width="11.5546875" customWidth="1"/>
    <col min="13579" max="13579" width="1" customWidth="1"/>
    <col min="13580" max="13580" width="10.77734375" customWidth="1"/>
    <col min="13581" max="13581" width="11.5546875" customWidth="1"/>
    <col min="13583" max="13583" width="21" customWidth="1"/>
    <col min="13584" max="13584" width="10.5546875" customWidth="1"/>
    <col min="13829" max="13831" width="11.5546875" customWidth="1"/>
    <col min="13832" max="13832" width="1" customWidth="1"/>
    <col min="13833" max="13834" width="11.5546875" customWidth="1"/>
    <col min="13835" max="13835" width="1" customWidth="1"/>
    <col min="13836" max="13836" width="10.77734375" customWidth="1"/>
    <col min="13837" max="13837" width="11.5546875" customWidth="1"/>
    <col min="13839" max="13839" width="21" customWidth="1"/>
    <col min="13840" max="13840" width="10.5546875" customWidth="1"/>
    <col min="14085" max="14087" width="11.5546875" customWidth="1"/>
    <col min="14088" max="14088" width="1" customWidth="1"/>
    <col min="14089" max="14090" width="11.5546875" customWidth="1"/>
    <col min="14091" max="14091" width="1" customWidth="1"/>
    <col min="14092" max="14092" width="10.77734375" customWidth="1"/>
    <col min="14093" max="14093" width="11.5546875" customWidth="1"/>
    <col min="14095" max="14095" width="21" customWidth="1"/>
    <col min="14096" max="14096" width="10.5546875" customWidth="1"/>
    <col min="14341" max="14343" width="11.5546875" customWidth="1"/>
    <col min="14344" max="14344" width="1" customWidth="1"/>
    <col min="14345" max="14346" width="11.5546875" customWidth="1"/>
    <col min="14347" max="14347" width="1" customWidth="1"/>
    <col min="14348" max="14348" width="10.77734375" customWidth="1"/>
    <col min="14349" max="14349" width="11.5546875" customWidth="1"/>
    <col min="14351" max="14351" width="21" customWidth="1"/>
    <col min="14352" max="14352" width="10.5546875" customWidth="1"/>
    <col min="14597" max="14599" width="11.5546875" customWidth="1"/>
    <col min="14600" max="14600" width="1" customWidth="1"/>
    <col min="14601" max="14602" width="11.5546875" customWidth="1"/>
    <col min="14603" max="14603" width="1" customWidth="1"/>
    <col min="14604" max="14604" width="10.77734375" customWidth="1"/>
    <col min="14605" max="14605" width="11.5546875" customWidth="1"/>
    <col min="14607" max="14607" width="21" customWidth="1"/>
    <col min="14608" max="14608" width="10.5546875" customWidth="1"/>
    <col min="14853" max="14855" width="11.5546875" customWidth="1"/>
    <col min="14856" max="14856" width="1" customWidth="1"/>
    <col min="14857" max="14858" width="11.5546875" customWidth="1"/>
    <col min="14859" max="14859" width="1" customWidth="1"/>
    <col min="14860" max="14860" width="10.77734375" customWidth="1"/>
    <col min="14861" max="14861" width="11.5546875" customWidth="1"/>
    <col min="14863" max="14863" width="21" customWidth="1"/>
    <col min="14864" max="14864" width="10.5546875" customWidth="1"/>
    <col min="15109" max="15111" width="11.5546875" customWidth="1"/>
    <col min="15112" max="15112" width="1" customWidth="1"/>
    <col min="15113" max="15114" width="11.5546875" customWidth="1"/>
    <col min="15115" max="15115" width="1" customWidth="1"/>
    <col min="15116" max="15116" width="10.77734375" customWidth="1"/>
    <col min="15117" max="15117" width="11.5546875" customWidth="1"/>
    <col min="15119" max="15119" width="21" customWidth="1"/>
    <col min="15120" max="15120" width="10.5546875" customWidth="1"/>
    <col min="15365" max="15367" width="11.5546875" customWidth="1"/>
    <col min="15368" max="15368" width="1" customWidth="1"/>
    <col min="15369" max="15370" width="11.5546875" customWidth="1"/>
    <col min="15371" max="15371" width="1" customWidth="1"/>
    <col min="15372" max="15372" width="10.77734375" customWidth="1"/>
    <col min="15373" max="15373" width="11.5546875" customWidth="1"/>
    <col min="15375" max="15375" width="21" customWidth="1"/>
    <col min="15376" max="15376" width="10.5546875" customWidth="1"/>
    <col min="15621" max="15623" width="11.5546875" customWidth="1"/>
    <col min="15624" max="15624" width="1" customWidth="1"/>
    <col min="15625" max="15626" width="11.5546875" customWidth="1"/>
    <col min="15627" max="15627" width="1" customWidth="1"/>
    <col min="15628" max="15628" width="10.77734375" customWidth="1"/>
    <col min="15629" max="15629" width="11.5546875" customWidth="1"/>
    <col min="15631" max="15631" width="21" customWidth="1"/>
    <col min="15632" max="15632" width="10.5546875" customWidth="1"/>
    <col min="15877" max="15879" width="11.5546875" customWidth="1"/>
    <col min="15880" max="15880" width="1" customWidth="1"/>
    <col min="15881" max="15882" width="11.5546875" customWidth="1"/>
    <col min="15883" max="15883" width="1" customWidth="1"/>
    <col min="15884" max="15884" width="10.77734375" customWidth="1"/>
    <col min="15885" max="15885" width="11.5546875" customWidth="1"/>
    <col min="15887" max="15887" width="21" customWidth="1"/>
    <col min="15888" max="15888" width="10.5546875" customWidth="1"/>
    <col min="16133" max="16135" width="11.5546875" customWidth="1"/>
    <col min="16136" max="16136" width="1" customWidth="1"/>
    <col min="16137" max="16138" width="11.5546875" customWidth="1"/>
    <col min="16139" max="16139" width="1" customWidth="1"/>
    <col min="16140" max="16140" width="10.77734375" customWidth="1"/>
    <col min="16141" max="16141" width="11.5546875" customWidth="1"/>
    <col min="16143" max="16143" width="21" customWidth="1"/>
    <col min="16144" max="16144" width="10.5546875" customWidth="1"/>
  </cols>
  <sheetData>
    <row r="1" spans="1:22" ht="29.25" customHeight="1" x14ac:dyDescent="0.25">
      <c r="A1" s="170" t="s">
        <v>277</v>
      </c>
      <c r="B1" s="170"/>
      <c r="C1" s="170"/>
      <c r="D1" s="170"/>
      <c r="E1" s="171"/>
      <c r="F1" s="171"/>
      <c r="G1" s="171"/>
      <c r="H1" s="171"/>
      <c r="I1" s="171"/>
      <c r="J1" s="171"/>
      <c r="K1" s="171"/>
      <c r="L1" s="171"/>
      <c r="O1" t="s">
        <v>186</v>
      </c>
      <c r="P1" t="s">
        <v>178</v>
      </c>
      <c r="Q1" t="s">
        <v>255</v>
      </c>
      <c r="R1" t="s">
        <v>256</v>
      </c>
    </row>
    <row r="2" spans="1:22" x14ac:dyDescent="0.25">
      <c r="B2" s="95" t="s">
        <v>94</v>
      </c>
      <c r="C2" s="96"/>
      <c r="D2" s="97"/>
      <c r="E2" s="14" t="s">
        <v>40</v>
      </c>
      <c r="F2" s="15"/>
      <c r="G2" s="16" t="s">
        <v>39</v>
      </c>
      <c r="H2" s="14" t="s">
        <v>41</v>
      </c>
      <c r="I2" s="15"/>
      <c r="J2" s="16" t="s">
        <v>39</v>
      </c>
      <c r="K2" s="14" t="s">
        <v>42</v>
      </c>
      <c r="L2" s="15"/>
      <c r="O2" s="120" t="s">
        <v>220</v>
      </c>
      <c r="P2" s="121" t="s">
        <v>221</v>
      </c>
      <c r="Q2" s="121" t="s">
        <v>222</v>
      </c>
      <c r="R2" s="121" t="s">
        <v>223</v>
      </c>
      <c r="S2" s="120" t="s">
        <v>219</v>
      </c>
      <c r="T2" s="121" t="s">
        <v>131</v>
      </c>
      <c r="U2" s="121" t="s">
        <v>130</v>
      </c>
      <c r="V2" s="121" t="s">
        <v>132</v>
      </c>
    </row>
    <row r="3" spans="1:22" ht="26.4" x14ac:dyDescent="0.25">
      <c r="B3" s="17" t="s">
        <v>224</v>
      </c>
      <c r="C3" s="17" t="s">
        <v>1</v>
      </c>
      <c r="D3" s="17"/>
      <c r="E3" s="17" t="s">
        <v>224</v>
      </c>
      <c r="F3" s="17" t="s">
        <v>1</v>
      </c>
      <c r="G3" s="18" t="s">
        <v>39</v>
      </c>
      <c r="H3" s="17" t="s">
        <v>224</v>
      </c>
      <c r="I3" s="17" t="s">
        <v>1</v>
      </c>
      <c r="K3" s="17" t="s">
        <v>224</v>
      </c>
      <c r="L3" s="17" t="s">
        <v>1</v>
      </c>
      <c r="N3" s="4"/>
      <c r="O3" t="s">
        <v>186</v>
      </c>
      <c r="P3" t="s">
        <v>178</v>
      </c>
      <c r="Q3" t="s">
        <v>255</v>
      </c>
      <c r="R3" t="s">
        <v>256</v>
      </c>
      <c r="S3" s="56"/>
      <c r="T3" s="6"/>
      <c r="U3" s="6"/>
      <c r="V3" s="6"/>
    </row>
    <row r="4" spans="1:22" x14ac:dyDescent="0.25">
      <c r="A4" s="19" t="s">
        <v>37</v>
      </c>
      <c r="B4" s="10">
        <v>1</v>
      </c>
      <c r="C4" s="10">
        <f>+B4+1</f>
        <v>2</v>
      </c>
      <c r="D4" s="10"/>
      <c r="E4" s="10">
        <v>3</v>
      </c>
      <c r="F4" s="10">
        <f>+E4+1</f>
        <v>4</v>
      </c>
      <c r="G4" s="10">
        <v>3</v>
      </c>
      <c r="H4" s="10">
        <v>5</v>
      </c>
      <c r="I4" s="10">
        <f>+H4+1</f>
        <v>6</v>
      </c>
      <c r="J4" s="10">
        <f>+I4+1</f>
        <v>7</v>
      </c>
      <c r="K4" s="10">
        <v>7</v>
      </c>
      <c r="L4" s="10">
        <f>+K4+1</f>
        <v>8</v>
      </c>
      <c r="N4" s="4"/>
      <c r="O4" s="4"/>
    </row>
    <row r="5" spans="1:22" x14ac:dyDescent="0.25">
      <c r="A5" s="1">
        <v>2015</v>
      </c>
      <c r="B5" s="21">
        <f>(O5)*100</f>
        <v>13.498726487159729</v>
      </c>
      <c r="C5" s="21">
        <f>(S5)*100</f>
        <v>13.497227430343628</v>
      </c>
      <c r="E5" s="21">
        <f t="shared" ref="E5:E12" si="0">(P5)*100</f>
        <v>16.347445547580719</v>
      </c>
      <c r="F5" s="21">
        <f>(T5)*100</f>
        <v>19.632710516452789</v>
      </c>
      <c r="G5" s="22"/>
      <c r="H5" s="21">
        <f>(Q5)*100</f>
        <v>12.840865552425385</v>
      </c>
      <c r="I5" s="21">
        <f>(U5)*100</f>
        <v>12.367354333400726</v>
      </c>
      <c r="J5" s="22"/>
      <c r="K5" s="21">
        <f>(R5)*100</f>
        <v>11.790675669908524</v>
      </c>
      <c r="L5" s="21">
        <f>(V5)*100</f>
        <v>8.1284075975418091</v>
      </c>
      <c r="N5" s="4">
        <v>2015</v>
      </c>
      <c r="O5">
        <v>0.13498726487159729</v>
      </c>
      <c r="P5">
        <v>0.16347445547580719</v>
      </c>
      <c r="Q5">
        <v>0.12840865552425385</v>
      </c>
      <c r="R5">
        <v>0.11790675669908524</v>
      </c>
      <c r="S5">
        <v>0.13497227430343628</v>
      </c>
      <c r="T5">
        <v>0.19632710516452789</v>
      </c>
      <c r="U5">
        <v>0.12367354333400726</v>
      </c>
      <c r="V5">
        <v>8.1284075975418091E-2</v>
      </c>
    </row>
    <row r="6" spans="1:22" x14ac:dyDescent="0.25">
      <c r="A6" s="1">
        <v>2016</v>
      </c>
      <c r="B6" s="21">
        <f>(O6)*100</f>
        <v>12.537944316864014</v>
      </c>
      <c r="C6" s="21">
        <f>(S6)*100</f>
        <v>12.762996554374695</v>
      </c>
      <c r="E6" s="21">
        <f t="shared" si="0"/>
        <v>14.859388768672943</v>
      </c>
      <c r="F6" s="21">
        <f>(T6)*100</f>
        <v>18.557238578796387</v>
      </c>
      <c r="G6" s="22"/>
      <c r="H6" s="21">
        <f>(Q6)*100</f>
        <v>11.787701398134232</v>
      </c>
      <c r="I6" s="21">
        <f>(U6)*100</f>
        <v>11.702632158994675</v>
      </c>
      <c r="J6" s="22"/>
      <c r="K6" s="21">
        <f>(R6)*100</f>
        <v>12.049655616283417</v>
      </c>
      <c r="L6" s="21">
        <f>(V6)*100</f>
        <v>7.9356379806995392</v>
      </c>
      <c r="N6" s="4">
        <v>2016</v>
      </c>
      <c r="O6">
        <v>0.12537944316864014</v>
      </c>
      <c r="P6">
        <v>0.14859388768672943</v>
      </c>
      <c r="Q6">
        <v>0.11787701398134232</v>
      </c>
      <c r="R6">
        <v>0.12049655616283417</v>
      </c>
      <c r="S6">
        <v>0.12762996554374695</v>
      </c>
      <c r="T6">
        <v>0.18557238578796387</v>
      </c>
      <c r="U6">
        <v>0.11702632158994675</v>
      </c>
      <c r="V6">
        <v>7.9356379806995392E-2</v>
      </c>
    </row>
    <row r="7" spans="1:22" x14ac:dyDescent="0.25">
      <c r="A7" s="1">
        <v>2017</v>
      </c>
      <c r="B7" s="21">
        <f t="shared" ref="B7:B12" si="1">(O7)*100</f>
        <v>12.367713451385498</v>
      </c>
      <c r="C7" s="21">
        <f t="shared" ref="C7:C12" si="2">(S7)*100</f>
        <v>12.051744014024734</v>
      </c>
      <c r="E7" s="21">
        <f t="shared" si="0"/>
        <v>14.60513174533844</v>
      </c>
      <c r="F7" s="21">
        <f t="shared" ref="F7:F12" si="3">(T7)*100</f>
        <v>17.667238414287567</v>
      </c>
      <c r="G7" s="22"/>
      <c r="H7" s="21">
        <f t="shared" ref="H7:H12" si="4">(Q7)*100</f>
        <v>11.649727821350098</v>
      </c>
      <c r="I7" s="21">
        <f t="shared" ref="I7:I12" si="5">(U7)*100</f>
        <v>11.133992671966553</v>
      </c>
      <c r="J7" s="22"/>
      <c r="K7" s="21">
        <f t="shared" ref="K7:K12" si="6">(R7)*100</f>
        <v>11.912666261196136</v>
      </c>
      <c r="L7" s="21">
        <f t="shared" ref="L7:L12" si="7">(V7)*100</f>
        <v>7.1035519242286682</v>
      </c>
      <c r="N7" s="4">
        <v>2017</v>
      </c>
      <c r="O7">
        <v>0.12367713451385498</v>
      </c>
      <c r="P7">
        <v>0.1460513174533844</v>
      </c>
      <c r="Q7">
        <v>0.11649727821350098</v>
      </c>
      <c r="R7">
        <v>0.11912666261196136</v>
      </c>
      <c r="S7">
        <v>0.12051744014024734</v>
      </c>
      <c r="T7">
        <v>0.17667238414287567</v>
      </c>
      <c r="U7">
        <v>0.11133992671966553</v>
      </c>
      <c r="V7">
        <v>7.1035519242286682E-2</v>
      </c>
    </row>
    <row r="8" spans="1:22" x14ac:dyDescent="0.25">
      <c r="A8" s="1">
        <v>2018</v>
      </c>
      <c r="B8" s="21">
        <f t="shared" si="1"/>
        <v>11.503075063228607</v>
      </c>
      <c r="C8" s="21">
        <f t="shared" si="2"/>
        <v>10.81540659070015</v>
      </c>
      <c r="E8" s="21">
        <f t="shared" si="0"/>
        <v>13.027502596378326</v>
      </c>
      <c r="F8" s="21">
        <f t="shared" si="3"/>
        <v>16.292569041252136</v>
      </c>
      <c r="G8" s="22"/>
      <c r="H8" s="21">
        <f t="shared" si="4"/>
        <v>10.89014858007431</v>
      </c>
      <c r="I8" s="21">
        <f t="shared" si="5"/>
        <v>10.000034421682358</v>
      </c>
      <c r="J8" s="22"/>
      <c r="K8" s="21">
        <f t="shared" si="6"/>
        <v>11.668454110622406</v>
      </c>
      <c r="L8" s="21">
        <f t="shared" si="7"/>
        <v>5.8069434016942978</v>
      </c>
      <c r="N8" s="4">
        <v>2018</v>
      </c>
      <c r="O8">
        <v>0.11503075063228607</v>
      </c>
      <c r="P8">
        <v>0.13027502596378326</v>
      </c>
      <c r="Q8">
        <v>0.1089014858007431</v>
      </c>
      <c r="R8">
        <v>0.11668454110622406</v>
      </c>
      <c r="S8">
        <v>0.1081540659070015</v>
      </c>
      <c r="T8">
        <v>0.16292569041252136</v>
      </c>
      <c r="U8">
        <v>0.10000034421682358</v>
      </c>
      <c r="V8">
        <v>5.8069434016942978E-2</v>
      </c>
    </row>
    <row r="9" spans="1:22" x14ac:dyDescent="0.25">
      <c r="A9" s="1">
        <v>2019</v>
      </c>
      <c r="B9" s="21">
        <f t="shared" si="1"/>
        <v>9.9147789180278778</v>
      </c>
      <c r="C9" s="21">
        <f t="shared" si="2"/>
        <v>9.8137892782688141</v>
      </c>
      <c r="E9" s="21">
        <f t="shared" si="0"/>
        <v>11.19672879576683</v>
      </c>
      <c r="F9" s="21">
        <f t="shared" si="3"/>
        <v>14.649122953414917</v>
      </c>
      <c r="G9" s="22"/>
      <c r="H9" s="21">
        <f t="shared" si="4"/>
        <v>9.3114636838436127</v>
      </c>
      <c r="I9" s="21">
        <f t="shared" si="5"/>
        <v>9.0452075004577637</v>
      </c>
      <c r="J9" s="22"/>
      <c r="K9" s="21">
        <f t="shared" si="6"/>
        <v>10.380320996046066</v>
      </c>
      <c r="L9" s="21">
        <f t="shared" si="7"/>
        <v>5.7431306689977646</v>
      </c>
      <c r="N9" s="4">
        <v>2019</v>
      </c>
      <c r="O9">
        <v>9.9147789180278778E-2</v>
      </c>
      <c r="P9">
        <v>0.1119672879576683</v>
      </c>
      <c r="Q9">
        <v>9.3114636838436127E-2</v>
      </c>
      <c r="R9">
        <v>0.10380320996046066</v>
      </c>
      <c r="S9">
        <v>9.8137892782688141E-2</v>
      </c>
      <c r="T9">
        <v>0.14649122953414917</v>
      </c>
      <c r="U9">
        <v>9.0452075004577637E-2</v>
      </c>
      <c r="V9">
        <v>5.7431306689977646E-2</v>
      </c>
    </row>
    <row r="10" spans="1:22" x14ac:dyDescent="0.25">
      <c r="A10" s="1">
        <v>2020</v>
      </c>
      <c r="B10" s="21">
        <f t="shared" si="1"/>
        <v>8.1074513494968414</v>
      </c>
      <c r="C10" s="21">
        <f t="shared" si="2"/>
        <v>8.137965202331543</v>
      </c>
      <c r="E10" s="21">
        <f t="shared" si="0"/>
        <v>9.3758024275302887</v>
      </c>
      <c r="F10" s="21">
        <f t="shared" si="3"/>
        <v>11.599357426166534</v>
      </c>
      <c r="G10" s="22"/>
      <c r="H10" s="21">
        <f t="shared" si="4"/>
        <v>7.5884304940700531</v>
      </c>
      <c r="I10" s="21">
        <f t="shared" si="5"/>
        <v>7.557494193315506</v>
      </c>
      <c r="J10" s="22"/>
      <c r="K10" s="21">
        <f t="shared" si="6"/>
        <v>8.2876235246658325</v>
      </c>
      <c r="L10" s="21">
        <f t="shared" si="7"/>
        <v>5.42735755443573</v>
      </c>
      <c r="N10" s="4">
        <v>2020</v>
      </c>
      <c r="O10">
        <v>8.1074513494968414E-2</v>
      </c>
      <c r="P10">
        <v>9.3758024275302887E-2</v>
      </c>
      <c r="Q10">
        <v>7.5884304940700531E-2</v>
      </c>
      <c r="R10">
        <v>8.2876235246658325E-2</v>
      </c>
      <c r="S10">
        <v>8.137965202331543E-2</v>
      </c>
      <c r="T10">
        <v>0.11599357426166534</v>
      </c>
      <c r="U10">
        <v>7.557494193315506E-2</v>
      </c>
      <c r="V10">
        <v>5.42735755443573E-2</v>
      </c>
    </row>
    <row r="11" spans="1:22" x14ac:dyDescent="0.25">
      <c r="A11" s="1">
        <v>2021</v>
      </c>
      <c r="B11" s="21">
        <f>(O11)*100</f>
        <v>5.9002634137868881</v>
      </c>
      <c r="C11" s="21">
        <f t="shared" si="2"/>
        <v>7.4362434446811676</v>
      </c>
      <c r="E11" s="21">
        <f t="shared" si="0"/>
        <v>5.2612371742725372</v>
      </c>
      <c r="F11" s="21">
        <f t="shared" si="3"/>
        <v>11.006379127502441</v>
      </c>
      <c r="G11" s="22"/>
      <c r="H11" s="21">
        <f t="shared" si="4"/>
        <v>5.7182867079973221</v>
      </c>
      <c r="I11" s="21">
        <f t="shared" si="5"/>
        <v>6.7799247801303864</v>
      </c>
      <c r="J11" s="22"/>
      <c r="K11" s="21">
        <f t="shared" si="6"/>
        <v>7.380378246307373</v>
      </c>
      <c r="L11" s="21">
        <f t="shared" si="7"/>
        <v>4.9649104475975037</v>
      </c>
      <c r="N11" s="4">
        <v>2021</v>
      </c>
      <c r="O11">
        <v>5.9002634137868881E-2</v>
      </c>
      <c r="P11">
        <v>5.2612371742725372E-2</v>
      </c>
      <c r="Q11">
        <v>5.7182867079973221E-2</v>
      </c>
      <c r="R11">
        <v>7.380378246307373E-2</v>
      </c>
      <c r="S11">
        <v>7.4362434446811676E-2</v>
      </c>
      <c r="T11">
        <v>0.11006379127502441</v>
      </c>
      <c r="U11">
        <v>6.7799247801303864E-2</v>
      </c>
      <c r="V11">
        <v>4.9649104475975037E-2</v>
      </c>
    </row>
    <row r="12" spans="1:22" x14ac:dyDescent="0.25">
      <c r="A12" s="23">
        <v>2022</v>
      </c>
      <c r="B12" s="24">
        <f t="shared" si="1"/>
        <v>9.5468349754810333</v>
      </c>
      <c r="C12" s="21">
        <f t="shared" si="2"/>
        <v>6.0355763882398605</v>
      </c>
      <c r="E12" s="24">
        <f t="shared" si="0"/>
        <v>9.3960724771022797</v>
      </c>
      <c r="F12" s="24">
        <f t="shared" si="3"/>
        <v>8.5189618170261383</v>
      </c>
      <c r="G12" s="25"/>
      <c r="H12" s="24">
        <f t="shared" si="4"/>
        <v>9.3216247856616974</v>
      </c>
      <c r="I12" s="24">
        <f t="shared" si="5"/>
        <v>5.5825028568506241</v>
      </c>
      <c r="J12" s="25"/>
      <c r="K12" s="24">
        <f t="shared" si="6"/>
        <v>10.514767467975616</v>
      </c>
      <c r="L12" s="24">
        <f t="shared" si="7"/>
        <v>4.3287463486194611</v>
      </c>
      <c r="N12" s="4">
        <v>2022</v>
      </c>
      <c r="O12">
        <v>9.5468349754810333E-2</v>
      </c>
      <c r="P12">
        <v>9.3960724771022797E-2</v>
      </c>
      <c r="Q12">
        <v>9.3216247856616974E-2</v>
      </c>
      <c r="R12">
        <v>0.10514767467975616</v>
      </c>
      <c r="S12">
        <v>6.0355763882398605E-2</v>
      </c>
      <c r="T12">
        <v>8.5189618170261383E-2</v>
      </c>
      <c r="U12">
        <v>5.5825028568506241E-2</v>
      </c>
      <c r="V12">
        <v>4.3287463486194611E-2</v>
      </c>
    </row>
    <row r="13" spans="1:22" ht="28.95" customHeight="1" x14ac:dyDescent="0.25">
      <c r="A13" s="172" t="s">
        <v>272</v>
      </c>
      <c r="B13" s="172"/>
      <c r="C13" s="172"/>
      <c r="D13" s="172"/>
      <c r="E13" s="173"/>
      <c r="F13" s="173"/>
      <c r="G13" s="173"/>
      <c r="H13" s="173"/>
      <c r="I13" s="173"/>
      <c r="J13" s="173"/>
      <c r="K13" s="173"/>
      <c r="L13" s="173"/>
    </row>
    <row r="14" spans="1:22" x14ac:dyDescent="0.25">
      <c r="E14" s="26"/>
      <c r="F14" s="26"/>
      <c r="H14" s="26"/>
      <c r="I14" s="26"/>
      <c r="K14" s="26"/>
      <c r="L14" s="26"/>
      <c r="O14">
        <f>+O11/O10-1</f>
        <v>-0.27224189706015745</v>
      </c>
      <c r="P14">
        <f>+P11/P10-1</f>
        <v>-0.43884939823135571</v>
      </c>
      <c r="Q14">
        <f>+Q11/Q10-1</f>
        <v>-0.2464467174778957</v>
      </c>
      <c r="R14">
        <f>+R11/R10-1</f>
        <v>-0.10946989515852079</v>
      </c>
    </row>
    <row r="15" spans="1:22" x14ac:dyDescent="0.25">
      <c r="N15" t="s">
        <v>153</v>
      </c>
      <c r="O15">
        <f>+O12/O11-1</f>
        <v>0.61803538350056719</v>
      </c>
      <c r="P15">
        <f>+P12/P11-1</f>
        <v>0.78590551345016291</v>
      </c>
      <c r="Q15">
        <f t="shared" ref="Q15:V15" si="8">+Q12/Q11-1</f>
        <v>0.63014295394194186</v>
      </c>
      <c r="R15">
        <f t="shared" si="8"/>
        <v>0.42469221997347817</v>
      </c>
      <c r="T15">
        <f>+T12/T11-1</f>
        <v>-0.22599778561696204</v>
      </c>
      <c r="U15">
        <f t="shared" si="8"/>
        <v>-0.17661286254812025</v>
      </c>
      <c r="V15">
        <f t="shared" si="8"/>
        <v>-0.12813203897481762</v>
      </c>
    </row>
    <row r="17" spans="5:16" x14ac:dyDescent="0.25">
      <c r="H17" s="27"/>
      <c r="I17" s="27"/>
      <c r="P17">
        <f>0.031/P11</f>
        <v>0.58921502629818845</v>
      </c>
    </row>
    <row r="18" spans="5:16" x14ac:dyDescent="0.25">
      <c r="P18">
        <f>0.009/P11</f>
        <v>0.17106242698979665</v>
      </c>
    </row>
    <row r="29" spans="5:16" x14ac:dyDescent="0.25">
      <c r="E29" s="13"/>
      <c r="F29" s="13"/>
      <c r="H29" s="13"/>
      <c r="I29" s="13"/>
      <c r="K29" s="13"/>
      <c r="L29" s="13"/>
    </row>
    <row r="30" spans="5:16" x14ac:dyDescent="0.25">
      <c r="E30" s="13"/>
      <c r="F30" s="13"/>
      <c r="H30" s="13"/>
      <c r="I30" s="13"/>
      <c r="K30" s="13"/>
      <c r="L30" s="13"/>
    </row>
    <row r="31" spans="5:16" x14ac:dyDescent="0.25">
      <c r="E31" s="13"/>
      <c r="F31" s="13"/>
      <c r="H31" s="13"/>
      <c r="I31" s="13"/>
      <c r="K31" s="13"/>
      <c r="L31" s="13"/>
    </row>
    <row r="32" spans="5:16" x14ac:dyDescent="0.25">
      <c r="E32" s="13"/>
      <c r="F32" s="13"/>
      <c r="H32" s="13"/>
      <c r="I32" s="13"/>
      <c r="K32" s="13"/>
      <c r="L32" s="13"/>
    </row>
    <row r="33" spans="5:12" x14ac:dyDescent="0.25">
      <c r="E33" s="13"/>
      <c r="F33" s="13"/>
      <c r="H33" s="13"/>
      <c r="I33" s="13"/>
      <c r="K33" s="13"/>
      <c r="L33" s="13"/>
    </row>
  </sheetData>
  <mergeCells count="2">
    <mergeCell ref="A1:L1"/>
    <mergeCell ref="A13:L13"/>
  </mergeCells>
  <phoneticPr fontId="25" type="noConversion"/>
  <printOptions horizontalCentered="1"/>
  <pageMargins left="0.75" right="0.75" top="0.71" bottom="0.72" header="0.5" footer="0.5"/>
  <pageSetup scale="8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D6417-3E9E-4BE2-B593-58BB35CB828D}">
  <sheetPr>
    <pageSetUpPr fitToPage="1"/>
  </sheetPr>
  <dimension ref="A1:AM111"/>
  <sheetViews>
    <sheetView zoomScale="104" zoomScaleNormal="104" workbookViewId="0"/>
  </sheetViews>
  <sheetFormatPr defaultColWidth="9" defaultRowHeight="14.4" x14ac:dyDescent="0.3"/>
  <cols>
    <col min="1" max="1" width="2.21875" style="28" customWidth="1"/>
    <col min="2" max="2" width="44.21875" style="28" customWidth="1"/>
    <col min="3" max="6" width="7.77734375" style="28" customWidth="1"/>
    <col min="7" max="9" width="10.21875" style="28" customWidth="1"/>
    <col min="10" max="10" width="21.77734375" style="28" customWidth="1"/>
    <col min="11" max="12" width="9" style="28"/>
    <col min="13" max="13" width="20.21875" style="28" bestFit="1" customWidth="1"/>
    <col min="14" max="16384" width="9" style="28"/>
  </cols>
  <sheetData>
    <row r="1" spans="1:38" ht="15" customHeight="1" thickBot="1" x14ac:dyDescent="0.35">
      <c r="A1" s="37" t="s">
        <v>273</v>
      </c>
      <c r="B1" s="37"/>
      <c r="C1" s="37"/>
      <c r="D1" s="37"/>
      <c r="E1" s="37"/>
      <c r="F1" s="37"/>
      <c r="G1" s="37"/>
      <c r="H1" s="37"/>
      <c r="I1" s="37"/>
      <c r="AJ1" s="93" t="s">
        <v>213</v>
      </c>
    </row>
    <row r="2" spans="1:38" ht="15" customHeight="1" thickTop="1" x14ac:dyDescent="0.3">
      <c r="A2" s="38" t="s">
        <v>37</v>
      </c>
      <c r="B2" s="38"/>
      <c r="C2" s="39">
        <v>2019</v>
      </c>
      <c r="D2" s="40">
        <v>2020</v>
      </c>
      <c r="E2" s="40">
        <v>2021</v>
      </c>
      <c r="F2" s="40">
        <v>2022</v>
      </c>
      <c r="G2" s="40" t="s">
        <v>185</v>
      </c>
      <c r="H2" s="40" t="s">
        <v>45</v>
      </c>
      <c r="I2" s="40" t="s">
        <v>46</v>
      </c>
      <c r="K2" s="28">
        <v>2019</v>
      </c>
      <c r="L2" s="28">
        <v>2020</v>
      </c>
      <c r="M2" s="28">
        <v>2021</v>
      </c>
      <c r="N2" s="28">
        <v>2022</v>
      </c>
      <c r="AJ2" s="93" t="s">
        <v>216</v>
      </c>
      <c r="AK2" s="34"/>
    </row>
    <row r="3" spans="1:38" ht="15" customHeight="1" x14ac:dyDescent="0.3">
      <c r="A3" s="37"/>
      <c r="B3" s="37" t="s">
        <v>231</v>
      </c>
      <c r="C3" s="41">
        <f>K3</f>
        <v>9.9147789180278778E-2</v>
      </c>
      <c r="D3" s="41">
        <f>L3</f>
        <v>8.1074513494968414E-2</v>
      </c>
      <c r="E3" s="41">
        <f>M3</f>
        <v>5.9002634137868881E-2</v>
      </c>
      <c r="F3" s="41">
        <f>N3</f>
        <v>9.5468349754810333E-2</v>
      </c>
      <c r="G3" s="41">
        <f t="shared" ref="G3:I4" si="0">D3-C3</f>
        <v>-1.8073275685310364E-2</v>
      </c>
      <c r="H3" s="35">
        <f t="shared" si="0"/>
        <v>-2.2071879357099533E-2</v>
      </c>
      <c r="I3" s="35">
        <f t="shared" si="0"/>
        <v>3.6465715616941452E-2</v>
      </c>
      <c r="J3" s="84" t="s">
        <v>186</v>
      </c>
      <c r="K3">
        <v>9.9147789180278778E-2</v>
      </c>
      <c r="L3">
        <v>8.1074513494968414E-2</v>
      </c>
      <c r="M3">
        <v>5.9002634137868881E-2</v>
      </c>
      <c r="N3">
        <v>9.5468349754810333E-2</v>
      </c>
      <c r="P3" s="94">
        <f>+I3/E3</f>
        <v>0.61803538350056719</v>
      </c>
      <c r="AK3" s="92" t="s">
        <v>208</v>
      </c>
      <c r="AL3" s="90" t="s">
        <v>209</v>
      </c>
    </row>
    <row r="4" spans="1:38" ht="15" customHeight="1" x14ac:dyDescent="0.3">
      <c r="B4" s="37" t="s">
        <v>183</v>
      </c>
      <c r="C4" s="41">
        <f t="shared" ref="C4:F8" si="1">K4</f>
        <v>9.8389923572540283E-2</v>
      </c>
      <c r="D4" s="41">
        <f t="shared" si="1"/>
        <v>0.1030726358294487</v>
      </c>
      <c r="E4" s="41">
        <f t="shared" si="1"/>
        <v>6.8938076496124268E-2</v>
      </c>
      <c r="F4" s="41">
        <f t="shared" si="1"/>
        <v>9.5336012542247772E-2</v>
      </c>
      <c r="G4" s="41">
        <f t="shared" si="0"/>
        <v>4.6827122569084167E-3</v>
      </c>
      <c r="H4" s="35">
        <f t="shared" si="0"/>
        <v>-3.4134559333324432E-2</v>
      </c>
      <c r="I4" s="35">
        <f t="shared" si="0"/>
        <v>2.6397936046123505E-2</v>
      </c>
      <c r="J4" s="128" t="s">
        <v>295</v>
      </c>
      <c r="K4">
        <v>9.8389923572540283E-2</v>
      </c>
      <c r="L4">
        <v>0.1030726358294487</v>
      </c>
      <c r="M4">
        <v>6.8938076496124268E-2</v>
      </c>
      <c r="N4">
        <v>9.5336012542247772E-2</v>
      </c>
      <c r="P4" s="94"/>
      <c r="AJ4" s="90" t="s">
        <v>210</v>
      </c>
      <c r="AK4" s="91">
        <f>+G3</f>
        <v>-1.8073275685310364E-2</v>
      </c>
      <c r="AL4" s="91">
        <f>+G16</f>
        <v>-1.8209263682365417E-2</v>
      </c>
    </row>
    <row r="5" spans="1:38" ht="15" customHeight="1" x14ac:dyDescent="0.3">
      <c r="A5" s="37"/>
      <c r="B5" s="37" t="s">
        <v>48</v>
      </c>
      <c r="C5" s="42">
        <f t="shared" si="1"/>
        <v>9.9147789180278778E-2</v>
      </c>
      <c r="D5" s="42">
        <f t="shared" si="1"/>
        <v>9.5117628574371338E-2</v>
      </c>
      <c r="E5" s="42">
        <f t="shared" si="1"/>
        <v>8.3442501723766327E-2</v>
      </c>
      <c r="F5" s="42">
        <f t="shared" si="1"/>
        <v>9.5468349754810333E-2</v>
      </c>
      <c r="G5" s="41">
        <f t="shared" ref="G5:I8" si="2">D5-C5</f>
        <v>-4.0301606059074402E-3</v>
      </c>
      <c r="H5" s="36">
        <f t="shared" si="2"/>
        <v>-1.1675126850605011E-2</v>
      </c>
      <c r="I5" s="36">
        <f t="shared" si="2"/>
        <v>1.2025848031044006E-2</v>
      </c>
      <c r="J5" s="128" t="s">
        <v>293</v>
      </c>
      <c r="K5">
        <v>9.9147789180278778E-2</v>
      </c>
      <c r="L5">
        <v>9.5117628574371338E-2</v>
      </c>
      <c r="M5">
        <v>8.3442501723766327E-2</v>
      </c>
      <c r="N5">
        <v>9.5468349754810333E-2</v>
      </c>
      <c r="P5" s="94"/>
      <c r="AJ5" s="90" t="s">
        <v>211</v>
      </c>
      <c r="AK5" s="33">
        <f>+G5</f>
        <v>-4.0301606059074402E-3</v>
      </c>
      <c r="AL5" s="33">
        <f>G18</f>
        <v>-3.3567994832992554E-3</v>
      </c>
    </row>
    <row r="6" spans="1:38" ht="15" customHeight="1" x14ac:dyDescent="0.3">
      <c r="A6" s="37"/>
      <c r="B6" s="37" t="s">
        <v>47</v>
      </c>
      <c r="C6" s="42">
        <f t="shared" si="1"/>
        <v>9.9147789180278778E-2</v>
      </c>
      <c r="D6" s="42">
        <f t="shared" si="1"/>
        <v>8.1074513494968414E-2</v>
      </c>
      <c r="E6" s="42">
        <f t="shared" si="1"/>
        <v>6.2267951667308807E-2</v>
      </c>
      <c r="F6" s="42">
        <f t="shared" si="1"/>
        <v>0.1007300391793251</v>
      </c>
      <c r="G6" s="41">
        <f t="shared" si="2"/>
        <v>-1.8073275685310364E-2</v>
      </c>
      <c r="H6" s="36">
        <f t="shared" si="2"/>
        <v>-1.8806561827659607E-2</v>
      </c>
      <c r="I6" s="36">
        <f t="shared" si="2"/>
        <v>3.8462087512016296E-2</v>
      </c>
      <c r="J6" s="128" t="s">
        <v>188</v>
      </c>
      <c r="K6">
        <v>9.9147789180278778E-2</v>
      </c>
      <c r="L6">
        <v>8.1074513494968414E-2</v>
      </c>
      <c r="M6">
        <v>6.2267951667308807E-2</v>
      </c>
      <c r="N6">
        <v>0.1007300391793251</v>
      </c>
      <c r="P6" s="94"/>
      <c r="AJ6" s="90" t="s">
        <v>212</v>
      </c>
      <c r="AK6" s="33">
        <f>+D4-C3</f>
        <v>3.9248466491699219E-3</v>
      </c>
      <c r="AL6" s="33">
        <f>D17-C16</f>
        <v>8.7327659130096436E-3</v>
      </c>
    </row>
    <row r="7" spans="1:38" ht="15" customHeight="1" x14ac:dyDescent="0.3">
      <c r="A7" s="37"/>
      <c r="B7" s="37" t="s">
        <v>49</v>
      </c>
      <c r="C7" s="42">
        <f t="shared" si="1"/>
        <v>9.9147789180278778E-2</v>
      </c>
      <c r="D7" s="42">
        <f t="shared" si="1"/>
        <v>8.1074513494968414E-2</v>
      </c>
      <c r="E7" s="42">
        <f t="shared" si="1"/>
        <v>5.9002634137868881E-2</v>
      </c>
      <c r="F7" s="42">
        <f t="shared" si="1"/>
        <v>8.963765949010849E-2</v>
      </c>
      <c r="G7" s="41">
        <f t="shared" si="2"/>
        <v>-1.8073275685310364E-2</v>
      </c>
      <c r="H7" s="36">
        <f t="shared" si="2"/>
        <v>-2.2071879357099533E-2</v>
      </c>
      <c r="I7" s="36">
        <f t="shared" si="2"/>
        <v>3.0635025352239609E-2</v>
      </c>
      <c r="J7" s="84" t="s">
        <v>189</v>
      </c>
      <c r="K7">
        <v>9.9147789180278778E-2</v>
      </c>
      <c r="L7">
        <v>8.1074513494968414E-2</v>
      </c>
      <c r="M7">
        <v>5.9002634137868881E-2</v>
      </c>
      <c r="N7">
        <v>8.963765949010849E-2</v>
      </c>
      <c r="P7" s="94">
        <f>+I7/E7</f>
        <v>0.51921453677230889</v>
      </c>
    </row>
    <row r="8" spans="1:38" ht="15" customHeight="1" x14ac:dyDescent="0.3">
      <c r="A8" s="37"/>
      <c r="B8" s="37" t="s">
        <v>51</v>
      </c>
      <c r="C8" s="42">
        <f t="shared" si="1"/>
        <v>9.9147789180278778E-2</v>
      </c>
      <c r="D8" s="42">
        <f t="shared" si="1"/>
        <v>8.1074513494968414E-2</v>
      </c>
      <c r="E8" s="42">
        <f t="shared" si="1"/>
        <v>5.9002634137868881E-2</v>
      </c>
      <c r="F8" s="42">
        <f t="shared" si="1"/>
        <v>6.8472519516944885E-2</v>
      </c>
      <c r="G8" s="41">
        <f t="shared" si="2"/>
        <v>-1.8073275685310364E-2</v>
      </c>
      <c r="H8" s="36">
        <f t="shared" si="2"/>
        <v>-2.2071879357099533E-2</v>
      </c>
      <c r="I8" s="36">
        <f t="shared" si="2"/>
        <v>9.469885379076004E-3</v>
      </c>
      <c r="J8" s="84" t="s">
        <v>190</v>
      </c>
      <c r="K8">
        <v>9.9147789180278778E-2</v>
      </c>
      <c r="L8">
        <v>8.1074513494968414E-2</v>
      </c>
      <c r="M8">
        <v>5.9002634137868881E-2</v>
      </c>
      <c r="N8">
        <v>6.8472519516944885E-2</v>
      </c>
      <c r="P8" s="94">
        <f>+I8/E8</f>
        <v>0.16049936612911445</v>
      </c>
    </row>
    <row r="9" spans="1:38" ht="15" customHeight="1" x14ac:dyDescent="0.3">
      <c r="A9" s="174" t="s">
        <v>315</v>
      </c>
      <c r="B9" s="158"/>
      <c r="C9" s="158"/>
      <c r="D9" s="158"/>
      <c r="E9" s="158"/>
      <c r="F9" s="158"/>
      <c r="G9" s="158"/>
      <c r="H9" s="158"/>
      <c r="I9" s="158"/>
      <c r="K9" s="7"/>
      <c r="L9" s="7"/>
      <c r="M9" s="7"/>
      <c r="N9" s="7"/>
      <c r="AJ9" s="93" t="s">
        <v>217</v>
      </c>
    </row>
    <row r="10" spans="1:38" ht="15" customHeight="1" x14ac:dyDescent="0.3">
      <c r="A10" s="159"/>
      <c r="B10" s="159"/>
      <c r="C10" s="159"/>
      <c r="D10" s="159"/>
      <c r="E10" s="159"/>
      <c r="F10" s="159"/>
      <c r="G10" s="159"/>
      <c r="H10" s="159"/>
      <c r="I10" s="159"/>
      <c r="K10"/>
      <c r="L10"/>
      <c r="M10"/>
      <c r="N10"/>
      <c r="AK10" s="33"/>
    </row>
    <row r="11" spans="1:38" ht="15" customHeight="1" x14ac:dyDescent="0.3">
      <c r="R11"/>
      <c r="S11"/>
      <c r="T11"/>
      <c r="U11"/>
      <c r="V11"/>
      <c r="W11"/>
      <c r="X11"/>
      <c r="Y11"/>
      <c r="Z11"/>
      <c r="AA11"/>
      <c r="AB11"/>
      <c r="AC11"/>
      <c r="AD11"/>
      <c r="AE11"/>
      <c r="AF11"/>
      <c r="AG11"/>
      <c r="AJ11" s="90" t="s">
        <v>211</v>
      </c>
      <c r="AK11" s="33">
        <f>+AK4-AK5</f>
        <v>-1.4043115079402924E-2</v>
      </c>
      <c r="AL11" s="33">
        <f>+AL4-AL5</f>
        <v>-1.4852464199066162E-2</v>
      </c>
    </row>
    <row r="12" spans="1:38" ht="15" customHeight="1" x14ac:dyDescent="0.3">
      <c r="R12"/>
      <c r="S12"/>
      <c r="T12"/>
      <c r="U12"/>
      <c r="V12"/>
      <c r="W12"/>
      <c r="X12"/>
      <c r="Y12"/>
      <c r="Z12"/>
      <c r="AA12"/>
      <c r="AB12"/>
      <c r="AC12"/>
      <c r="AD12"/>
      <c r="AE12"/>
      <c r="AF12"/>
      <c r="AG12"/>
      <c r="AJ12" s="90" t="s">
        <v>212</v>
      </c>
      <c r="AK12" s="33">
        <f>+AK4-AK6</f>
        <v>-2.1998122334480286E-2</v>
      </c>
      <c r="AL12" s="33">
        <f>+AL4-AL6</f>
        <v>-2.6942029595375061E-2</v>
      </c>
    </row>
    <row r="13" spans="1:38" ht="15" customHeight="1" x14ac:dyDescent="0.3">
      <c r="R13"/>
      <c r="S13"/>
      <c r="T13"/>
      <c r="U13"/>
      <c r="V13"/>
      <c r="W13"/>
      <c r="X13"/>
      <c r="Y13"/>
      <c r="Z13"/>
      <c r="AA13"/>
      <c r="AB13"/>
      <c r="AC13"/>
      <c r="AD13"/>
      <c r="AE13"/>
      <c r="AF13"/>
      <c r="AG13"/>
      <c r="AJ13" s="93" t="s">
        <v>218</v>
      </c>
    </row>
    <row r="14" spans="1:38" ht="15" customHeight="1" thickBot="1" x14ac:dyDescent="0.35">
      <c r="A14" s="37" t="s">
        <v>274</v>
      </c>
      <c r="B14" s="37"/>
      <c r="C14" s="37"/>
      <c r="D14" s="37"/>
      <c r="E14" s="37"/>
      <c r="F14" s="37"/>
      <c r="G14" s="37"/>
      <c r="H14" s="37"/>
      <c r="I14" s="37"/>
      <c r="R14"/>
      <c r="S14"/>
      <c r="T14"/>
      <c r="U14"/>
      <c r="V14"/>
      <c r="W14"/>
      <c r="X14"/>
      <c r="Y14"/>
      <c r="Z14"/>
      <c r="AA14"/>
      <c r="AB14"/>
      <c r="AC14"/>
      <c r="AD14"/>
      <c r="AE14"/>
      <c r="AF14"/>
      <c r="AG14"/>
      <c r="AJ14" s="30"/>
      <c r="AK14" s="34"/>
      <c r="AL14" s="34"/>
    </row>
    <row r="15" spans="1:38" ht="15" customHeight="1" thickTop="1" x14ac:dyDescent="0.3">
      <c r="A15" s="38" t="s">
        <v>37</v>
      </c>
      <c r="B15" s="38"/>
      <c r="C15" s="39">
        <v>2019</v>
      </c>
      <c r="D15" s="40">
        <v>2020</v>
      </c>
      <c r="E15" s="40">
        <v>2021</v>
      </c>
      <c r="F15" s="40">
        <v>2022</v>
      </c>
      <c r="G15" s="40" t="s">
        <v>185</v>
      </c>
      <c r="H15" s="40" t="s">
        <v>45</v>
      </c>
      <c r="I15" s="40" t="s">
        <v>46</v>
      </c>
      <c r="K15" s="28">
        <v>2019</v>
      </c>
      <c r="L15" s="28">
        <v>2020</v>
      </c>
      <c r="M15" s="28">
        <v>2021</v>
      </c>
      <c r="N15" s="28">
        <v>2022</v>
      </c>
      <c r="R15"/>
      <c r="S15"/>
      <c r="T15"/>
      <c r="U15"/>
      <c r="V15"/>
      <c r="W15"/>
      <c r="X15"/>
      <c r="Y15"/>
      <c r="Z15"/>
      <c r="AA15"/>
      <c r="AB15"/>
      <c r="AC15"/>
      <c r="AD15"/>
      <c r="AE15"/>
      <c r="AF15"/>
      <c r="AG15"/>
      <c r="AK15" s="33">
        <f>+AK11/AK4</f>
        <v>0.77700995236944881</v>
      </c>
      <c r="AL15" s="33">
        <f>+AL11/AL4</f>
        <v>0.81565429872103423</v>
      </c>
    </row>
    <row r="16" spans="1:38" ht="15" customHeight="1" x14ac:dyDescent="0.3">
      <c r="A16" s="37"/>
      <c r="B16" s="37" t="s">
        <v>226</v>
      </c>
      <c r="C16" s="41">
        <f t="shared" ref="C16:F21" si="3">K16</f>
        <v>0.1119672879576683</v>
      </c>
      <c r="D16" s="41">
        <f t="shared" si="3"/>
        <v>9.3758024275302887E-2</v>
      </c>
      <c r="E16" s="41">
        <f t="shared" si="3"/>
        <v>5.2612371742725372E-2</v>
      </c>
      <c r="F16" s="41">
        <f t="shared" si="3"/>
        <v>9.3960724771022797E-2</v>
      </c>
      <c r="G16" s="41">
        <f t="shared" ref="G16:I17" si="4">D16-C16</f>
        <v>-1.8209263682365417E-2</v>
      </c>
      <c r="H16" s="35">
        <f t="shared" si="4"/>
        <v>-4.1145652532577515E-2</v>
      </c>
      <c r="I16" s="35">
        <f t="shared" si="4"/>
        <v>4.1348353028297424E-2</v>
      </c>
      <c r="J16" s="77" t="s">
        <v>178</v>
      </c>
      <c r="K16">
        <v>0.1119672879576683</v>
      </c>
      <c r="L16">
        <v>9.3758024275302887E-2</v>
      </c>
      <c r="M16">
        <v>5.2612371742725372E-2</v>
      </c>
      <c r="N16">
        <v>9.3960724771022797E-2</v>
      </c>
      <c r="P16" s="94">
        <f>+I16/E16</f>
        <v>0.78590551345016291</v>
      </c>
      <c r="R16"/>
      <c r="S16"/>
      <c r="T16"/>
      <c r="U16"/>
      <c r="V16"/>
      <c r="W16"/>
      <c r="X16"/>
      <c r="Y16"/>
      <c r="Z16"/>
      <c r="AA16"/>
      <c r="AB16"/>
      <c r="AC16"/>
      <c r="AD16"/>
      <c r="AE16"/>
      <c r="AF16"/>
      <c r="AG16"/>
      <c r="AJ16" s="33"/>
      <c r="AK16" s="33"/>
      <c r="AL16" s="33"/>
    </row>
    <row r="17" spans="1:38" ht="15" customHeight="1" x14ac:dyDescent="0.3">
      <c r="B17" s="37" t="s">
        <v>183</v>
      </c>
      <c r="C17" s="41">
        <f t="shared" si="3"/>
        <v>0.11076242476701736</v>
      </c>
      <c r="D17" s="41">
        <f t="shared" si="3"/>
        <v>0.12070005387067795</v>
      </c>
      <c r="E17" s="41">
        <f t="shared" si="3"/>
        <v>6.3655048608779907E-2</v>
      </c>
      <c r="F17" s="41">
        <f t="shared" si="3"/>
        <v>9.4299659132957458E-2</v>
      </c>
      <c r="G17" s="41">
        <f t="shared" si="4"/>
        <v>9.9376291036605835E-3</v>
      </c>
      <c r="H17" s="35">
        <f t="shared" si="4"/>
        <v>-5.7045005261898041E-2</v>
      </c>
      <c r="I17" s="35">
        <f t="shared" si="4"/>
        <v>3.0644610524177551E-2</v>
      </c>
      <c r="J17" s="128" t="s">
        <v>296</v>
      </c>
      <c r="K17">
        <v>0.11076242476701736</v>
      </c>
      <c r="L17">
        <v>0.12070005387067795</v>
      </c>
      <c r="M17">
        <v>6.3655048608779907E-2</v>
      </c>
      <c r="N17">
        <v>9.4299659132957458E-2</v>
      </c>
      <c r="R17"/>
      <c r="S17"/>
      <c r="T17"/>
      <c r="U17"/>
      <c r="V17"/>
      <c r="W17"/>
      <c r="X17"/>
      <c r="Y17"/>
      <c r="Z17"/>
      <c r="AA17"/>
      <c r="AB17"/>
      <c r="AC17"/>
      <c r="AD17"/>
      <c r="AE17"/>
      <c r="AF17"/>
      <c r="AG17"/>
      <c r="AJ17" s="33"/>
      <c r="AK17" s="33"/>
      <c r="AL17" s="33"/>
    </row>
    <row r="18" spans="1:38" ht="15" customHeight="1" x14ac:dyDescent="0.3">
      <c r="A18" s="37"/>
      <c r="B18" s="37" t="s">
        <v>48</v>
      </c>
      <c r="C18" s="42">
        <f t="shared" si="3"/>
        <v>0.1119672879576683</v>
      </c>
      <c r="D18" s="42">
        <f t="shared" si="3"/>
        <v>0.10861048847436905</v>
      </c>
      <c r="E18" s="42">
        <f t="shared" si="3"/>
        <v>8.2516297698020935E-2</v>
      </c>
      <c r="F18" s="42">
        <f t="shared" si="3"/>
        <v>9.3960724771022797E-2</v>
      </c>
      <c r="G18" s="41">
        <f t="shared" ref="G18:I21" si="5">D18-C18</f>
        <v>-3.3567994832992554E-3</v>
      </c>
      <c r="H18" s="36">
        <f t="shared" si="5"/>
        <v>-2.6094190776348114E-2</v>
      </c>
      <c r="I18" s="36">
        <f t="shared" si="5"/>
        <v>1.1444427073001862E-2</v>
      </c>
      <c r="J18" s="128" t="s">
        <v>294</v>
      </c>
      <c r="K18">
        <v>0.1119672879576683</v>
      </c>
      <c r="L18">
        <v>0.10861048847436905</v>
      </c>
      <c r="M18">
        <v>8.2516297698020935E-2</v>
      </c>
      <c r="N18">
        <v>9.3960724771022797E-2</v>
      </c>
      <c r="R18"/>
      <c r="S18"/>
      <c r="T18"/>
      <c r="U18"/>
      <c r="V18"/>
      <c r="W18"/>
      <c r="X18"/>
      <c r="Y18"/>
      <c r="Z18"/>
      <c r="AA18"/>
      <c r="AB18"/>
      <c r="AC18"/>
      <c r="AD18"/>
      <c r="AE18"/>
      <c r="AF18"/>
      <c r="AG18"/>
    </row>
    <row r="19" spans="1:38" ht="15" customHeight="1" x14ac:dyDescent="0.3">
      <c r="A19" s="37"/>
      <c r="B19" s="37" t="s">
        <v>47</v>
      </c>
      <c r="C19" s="42">
        <f t="shared" si="3"/>
        <v>0.1119672879576683</v>
      </c>
      <c r="D19" s="42">
        <f t="shared" si="3"/>
        <v>9.3758024275302887E-2</v>
      </c>
      <c r="E19" s="42">
        <f t="shared" si="3"/>
        <v>6.118377298116684E-2</v>
      </c>
      <c r="F19" s="42">
        <f t="shared" si="3"/>
        <v>0.10846481472253799</v>
      </c>
      <c r="G19" s="41">
        <f t="shared" si="5"/>
        <v>-1.8209263682365417E-2</v>
      </c>
      <c r="H19" s="36">
        <f t="shared" si="5"/>
        <v>-3.2574251294136047E-2</v>
      </c>
      <c r="I19" s="36">
        <f t="shared" si="5"/>
        <v>4.7281041741371155E-2</v>
      </c>
      <c r="J19" s="128" t="s">
        <v>179</v>
      </c>
      <c r="K19">
        <v>0.1119672879576683</v>
      </c>
      <c r="L19">
        <v>9.3758024275302887E-2</v>
      </c>
      <c r="M19">
        <v>6.118377298116684E-2</v>
      </c>
      <c r="N19">
        <v>0.10846481472253799</v>
      </c>
      <c r="R19"/>
      <c r="S19"/>
      <c r="T19"/>
      <c r="U19"/>
      <c r="V19"/>
      <c r="W19"/>
      <c r="X19"/>
      <c r="Y19"/>
      <c r="Z19"/>
      <c r="AA19"/>
      <c r="AB19"/>
      <c r="AC19"/>
      <c r="AD19"/>
      <c r="AE19"/>
      <c r="AF19"/>
      <c r="AG19"/>
    </row>
    <row r="20" spans="1:38" ht="15" customHeight="1" x14ac:dyDescent="0.3">
      <c r="A20" s="37"/>
      <c r="B20" s="37" t="s">
        <v>49</v>
      </c>
      <c r="C20" s="42">
        <f t="shared" si="3"/>
        <v>0.1119672879576683</v>
      </c>
      <c r="D20" s="42">
        <f t="shared" si="3"/>
        <v>9.3758024275302887E-2</v>
      </c>
      <c r="E20" s="42">
        <f t="shared" si="3"/>
        <v>5.2612371742725372E-2</v>
      </c>
      <c r="F20" s="42">
        <f t="shared" si="3"/>
        <v>7.876606285572052E-2</v>
      </c>
      <c r="G20" s="41">
        <f t="shared" si="5"/>
        <v>-1.8209263682365417E-2</v>
      </c>
      <c r="H20" s="36">
        <f t="shared" si="5"/>
        <v>-4.1145652532577515E-2</v>
      </c>
      <c r="I20" s="36">
        <f t="shared" si="5"/>
        <v>2.6153691112995148E-2</v>
      </c>
      <c r="J20" s="77" t="s">
        <v>180</v>
      </c>
      <c r="K20">
        <v>0.1119672879576683</v>
      </c>
      <c r="L20">
        <v>9.3758024275302887E-2</v>
      </c>
      <c r="M20">
        <v>5.2612371742725372E-2</v>
      </c>
      <c r="N20">
        <v>7.876606285572052E-2</v>
      </c>
      <c r="R20"/>
      <c r="S20"/>
      <c r="T20"/>
      <c r="U20"/>
      <c r="V20"/>
      <c r="W20"/>
      <c r="X20"/>
      <c r="Y20"/>
      <c r="Z20"/>
      <c r="AA20"/>
      <c r="AB20"/>
      <c r="AC20"/>
      <c r="AD20"/>
      <c r="AE20"/>
      <c r="AF20"/>
      <c r="AG20"/>
    </row>
    <row r="21" spans="1:38" ht="15" customHeight="1" x14ac:dyDescent="0.3">
      <c r="A21" s="37"/>
      <c r="B21" s="37" t="s">
        <v>51</v>
      </c>
      <c r="C21" s="42">
        <f t="shared" si="3"/>
        <v>0.1119672879576683</v>
      </c>
      <c r="D21" s="42">
        <f t="shared" si="3"/>
        <v>9.3758024275302887E-2</v>
      </c>
      <c r="E21" s="42">
        <f t="shared" si="3"/>
        <v>5.2612371742725372E-2</v>
      </c>
      <c r="F21" s="42">
        <f t="shared" si="3"/>
        <v>5.8992628008127213E-2</v>
      </c>
      <c r="G21" s="41">
        <f t="shared" si="5"/>
        <v>-1.8209263682365417E-2</v>
      </c>
      <c r="H21" s="36">
        <f t="shared" si="5"/>
        <v>-4.1145652532577515E-2</v>
      </c>
      <c r="I21" s="36">
        <f t="shared" si="5"/>
        <v>6.3802562654018402E-3</v>
      </c>
      <c r="J21" s="77" t="s">
        <v>181</v>
      </c>
      <c r="K21">
        <v>0.1119672879576683</v>
      </c>
      <c r="L21">
        <v>9.3758024275302887E-2</v>
      </c>
      <c r="M21">
        <v>5.2612371742725372E-2</v>
      </c>
      <c r="N21">
        <v>5.8992628008127213E-2</v>
      </c>
      <c r="R21"/>
      <c r="S21"/>
      <c r="T21"/>
      <c r="U21"/>
      <c r="V21"/>
      <c r="W21"/>
      <c r="X21"/>
      <c r="Y21"/>
      <c r="Z21"/>
      <c r="AA21"/>
      <c r="AB21"/>
      <c r="AC21"/>
      <c r="AD21"/>
      <c r="AE21"/>
      <c r="AF21"/>
      <c r="AG21"/>
    </row>
    <row r="22" spans="1:38" ht="15" customHeight="1" x14ac:dyDescent="0.3">
      <c r="A22" s="174" t="s">
        <v>316</v>
      </c>
      <c r="B22" s="158"/>
      <c r="C22" s="158"/>
      <c r="D22" s="158"/>
      <c r="E22" s="158"/>
      <c r="F22" s="158"/>
      <c r="G22" s="158"/>
      <c r="H22" s="158"/>
      <c r="I22" s="158"/>
      <c r="K22" s="7"/>
      <c r="L22" s="7"/>
      <c r="M22" s="7"/>
      <c r="N22" s="7"/>
      <c r="R22"/>
      <c r="S22"/>
      <c r="T22"/>
      <c r="U22"/>
      <c r="V22"/>
      <c r="W22"/>
      <c r="X22"/>
      <c r="Y22"/>
      <c r="Z22"/>
      <c r="AA22"/>
      <c r="AB22"/>
      <c r="AC22"/>
      <c r="AD22"/>
      <c r="AE22"/>
      <c r="AF22"/>
      <c r="AG22"/>
    </row>
    <row r="23" spans="1:38" ht="15" customHeight="1" x14ac:dyDescent="0.3">
      <c r="A23" s="159"/>
      <c r="B23" s="159"/>
      <c r="C23" s="159"/>
      <c r="D23" s="159"/>
      <c r="E23" s="159"/>
      <c r="F23" s="159"/>
      <c r="G23" s="159"/>
      <c r="H23" s="159"/>
      <c r="I23" s="159"/>
      <c r="K23"/>
      <c r="L23"/>
      <c r="M23">
        <f>M19-M16</f>
        <v>8.5714012384414673E-3</v>
      </c>
      <c r="N23"/>
      <c r="R23"/>
      <c r="S23"/>
      <c r="T23"/>
      <c r="U23"/>
      <c r="V23"/>
      <c r="W23"/>
      <c r="X23"/>
      <c r="Y23"/>
      <c r="Z23"/>
      <c r="AA23"/>
      <c r="AB23"/>
      <c r="AC23"/>
      <c r="AD23"/>
      <c r="AE23"/>
      <c r="AF23"/>
      <c r="AG23"/>
    </row>
    <row r="24" spans="1:38" ht="15" customHeight="1" x14ac:dyDescent="0.3">
      <c r="R24"/>
      <c r="S24"/>
      <c r="T24"/>
      <c r="U24"/>
      <c r="V24"/>
      <c r="W24"/>
      <c r="X24"/>
      <c r="Y24"/>
      <c r="Z24"/>
      <c r="AA24"/>
      <c r="AB24"/>
      <c r="AC24"/>
      <c r="AD24"/>
      <c r="AE24"/>
      <c r="AF24"/>
      <c r="AG24"/>
      <c r="AI24" s="93" t="s">
        <v>214</v>
      </c>
      <c r="AJ24" s="93"/>
    </row>
    <row r="25" spans="1:38" ht="15" customHeight="1" x14ac:dyDescent="0.3">
      <c r="D25" s="123" t="s">
        <v>278</v>
      </c>
      <c r="E25" s="28">
        <f>E16-E19</f>
        <v>-8.5714012384414673E-3</v>
      </c>
      <c r="R25"/>
      <c r="S25"/>
      <c r="T25"/>
      <c r="U25"/>
      <c r="V25"/>
      <c r="W25"/>
      <c r="X25"/>
      <c r="Y25"/>
      <c r="Z25"/>
      <c r="AA25"/>
      <c r="AB25"/>
      <c r="AC25"/>
      <c r="AD25"/>
      <c r="AE25"/>
      <c r="AF25"/>
      <c r="AG25"/>
      <c r="AJ25" s="92" t="s">
        <v>208</v>
      </c>
      <c r="AK25" s="90" t="s">
        <v>209</v>
      </c>
    </row>
    <row r="26" spans="1:38" ht="15" customHeight="1" x14ac:dyDescent="0.3">
      <c r="D26" s="123" t="s">
        <v>279</v>
      </c>
      <c r="E26" s="94">
        <f>E25/E19</f>
        <v>-0.14009272100757592</v>
      </c>
      <c r="R26"/>
      <c r="S26"/>
      <c r="T26"/>
      <c r="U26"/>
      <c r="V26"/>
      <c r="W26"/>
      <c r="X26"/>
      <c r="Y26"/>
      <c r="Z26"/>
      <c r="AA26"/>
      <c r="AB26"/>
      <c r="AC26"/>
      <c r="AD26"/>
      <c r="AE26"/>
      <c r="AF26"/>
      <c r="AG26"/>
      <c r="AI26" s="90" t="s">
        <v>210</v>
      </c>
      <c r="AJ26" s="91">
        <f>+H3</f>
        <v>-2.2071879357099533E-2</v>
      </c>
      <c r="AK26" s="91">
        <f>+H16</f>
        <v>-4.1145652532577515E-2</v>
      </c>
    </row>
    <row r="27" spans="1:38" ht="15" customHeight="1" x14ac:dyDescent="0.3">
      <c r="R27"/>
      <c r="S27"/>
      <c r="T27"/>
      <c r="U27"/>
      <c r="V27"/>
      <c r="W27"/>
      <c r="X27"/>
      <c r="Y27"/>
      <c r="Z27"/>
      <c r="AA27"/>
      <c r="AB27"/>
      <c r="AC27"/>
      <c r="AD27"/>
      <c r="AE27"/>
      <c r="AF27"/>
      <c r="AG27"/>
      <c r="AI27" s="107" t="s">
        <v>234</v>
      </c>
      <c r="AJ27" s="33">
        <f>+H6</f>
        <v>-1.8806561827659607E-2</v>
      </c>
      <c r="AK27" s="33">
        <f>+H19</f>
        <v>-3.2574251294136047E-2</v>
      </c>
    </row>
    <row r="28" spans="1:38" ht="15" customHeight="1" x14ac:dyDescent="0.3">
      <c r="R28"/>
      <c r="S28"/>
      <c r="T28"/>
      <c r="U28"/>
      <c r="V28"/>
      <c r="W28"/>
      <c r="X28"/>
      <c r="Y28"/>
      <c r="Z28"/>
      <c r="AA28"/>
      <c r="AB28"/>
      <c r="AC28"/>
      <c r="AD28"/>
      <c r="AE28"/>
      <c r="AF28"/>
      <c r="AG28"/>
      <c r="AI28" s="107" t="s">
        <v>235</v>
      </c>
      <c r="AJ28" s="33">
        <f>+E5-D3</f>
        <v>2.3679882287979126E-3</v>
      </c>
      <c r="AK28" s="33">
        <f>+E18-D16</f>
        <v>-1.1241726577281952E-2</v>
      </c>
    </row>
    <row r="29" spans="1:38" ht="15" customHeight="1" x14ac:dyDescent="0.3">
      <c r="B29" s="115"/>
      <c r="C29" s="115"/>
      <c r="D29" s="115"/>
      <c r="E29" s="115"/>
      <c r="F29" s="115"/>
      <c r="G29" s="115"/>
      <c r="H29" s="115"/>
      <c r="I29" s="115"/>
      <c r="R29"/>
      <c r="S29"/>
      <c r="T29"/>
      <c r="U29"/>
      <c r="V29"/>
      <c r="W29"/>
      <c r="X29"/>
      <c r="Y29"/>
      <c r="Z29"/>
      <c r="AA29"/>
      <c r="AB29"/>
      <c r="AC29"/>
      <c r="AD29"/>
      <c r="AE29"/>
      <c r="AF29"/>
      <c r="AG29"/>
      <c r="AI29" s="107" t="s">
        <v>212</v>
      </c>
      <c r="AJ29" s="33">
        <f>E4-D3</f>
        <v>-1.2136436998844147E-2</v>
      </c>
      <c r="AK29" s="33">
        <f>E17-D16</f>
        <v>-3.010297566652298E-2</v>
      </c>
    </row>
    <row r="30" spans="1:38" ht="15" customHeight="1" x14ac:dyDescent="0.3">
      <c r="A30" s="115"/>
      <c r="B30" s="115"/>
      <c r="C30" s="115"/>
      <c r="D30" s="115"/>
      <c r="E30" s="115"/>
      <c r="F30" s="115"/>
      <c r="G30" s="115"/>
      <c r="H30" s="115"/>
      <c r="I30" s="115"/>
      <c r="R30"/>
      <c r="S30"/>
      <c r="T30"/>
      <c r="U30"/>
      <c r="V30"/>
      <c r="W30"/>
      <c r="X30"/>
      <c r="Y30"/>
      <c r="Z30"/>
      <c r="AA30"/>
      <c r="AB30"/>
      <c r="AC30"/>
      <c r="AD30"/>
      <c r="AE30"/>
      <c r="AF30"/>
      <c r="AG30"/>
    </row>
    <row r="31" spans="1:38" ht="15" customHeight="1" x14ac:dyDescent="0.3">
      <c r="A31" s="115"/>
      <c r="B31" s="115"/>
      <c r="C31" s="115"/>
      <c r="D31" s="115"/>
      <c r="E31" s="115"/>
      <c r="F31" s="115"/>
      <c r="G31" s="115"/>
      <c r="H31" s="115"/>
      <c r="I31" s="115"/>
      <c r="R31"/>
      <c r="S31"/>
      <c r="T31"/>
      <c r="U31"/>
      <c r="V31"/>
      <c r="W31"/>
      <c r="X31"/>
      <c r="Y31"/>
      <c r="Z31"/>
      <c r="AA31"/>
      <c r="AB31"/>
      <c r="AC31"/>
      <c r="AD31"/>
      <c r="AE31"/>
      <c r="AF31"/>
      <c r="AG31"/>
      <c r="AI31" s="93" t="s">
        <v>217</v>
      </c>
    </row>
    <row r="32" spans="1:38" ht="15" customHeight="1" x14ac:dyDescent="0.3">
      <c r="R32"/>
      <c r="S32"/>
      <c r="T32"/>
      <c r="U32"/>
      <c r="V32"/>
      <c r="W32"/>
      <c r="X32"/>
      <c r="Y32"/>
      <c r="Z32"/>
      <c r="AA32"/>
      <c r="AB32"/>
      <c r="AC32"/>
      <c r="AD32"/>
      <c r="AE32"/>
      <c r="AF32"/>
      <c r="AG32"/>
      <c r="AI32" s="107" t="s">
        <v>234</v>
      </c>
      <c r="AJ32" s="33">
        <f>+AJ26-AJ27</f>
        <v>-3.2653175294399261E-3</v>
      </c>
      <c r="AK32" s="33">
        <f>+AK26-AK27</f>
        <v>-8.5714012384414673E-3</v>
      </c>
    </row>
    <row r="33" spans="2:37" ht="15" customHeight="1" x14ac:dyDescent="0.3">
      <c r="R33"/>
      <c r="S33"/>
      <c r="T33"/>
      <c r="U33"/>
      <c r="V33"/>
      <c r="W33"/>
      <c r="X33"/>
      <c r="Y33"/>
      <c r="Z33"/>
      <c r="AA33"/>
      <c r="AB33"/>
      <c r="AC33"/>
      <c r="AD33"/>
      <c r="AE33"/>
      <c r="AF33"/>
      <c r="AG33"/>
      <c r="AI33" s="107" t="s">
        <v>235</v>
      </c>
      <c r="AJ33" s="33">
        <f>+AJ26-AJ28</f>
        <v>-2.4439867585897446E-2</v>
      </c>
      <c r="AK33" s="33">
        <f>+AK26-AK28</f>
        <v>-2.9903925955295563E-2</v>
      </c>
    </row>
    <row r="34" spans="2:37" ht="15" customHeight="1" x14ac:dyDescent="0.3">
      <c r="R34"/>
      <c r="S34"/>
      <c r="T34"/>
      <c r="U34"/>
      <c r="V34"/>
      <c r="W34"/>
      <c r="X34"/>
      <c r="Y34"/>
      <c r="Z34"/>
      <c r="AA34"/>
      <c r="AB34"/>
      <c r="AC34"/>
      <c r="AD34"/>
      <c r="AE34"/>
      <c r="AF34"/>
      <c r="AG34"/>
      <c r="AI34" s="107" t="s">
        <v>212</v>
      </c>
      <c r="AJ34" s="33">
        <f>+AJ26-AJ29</f>
        <v>-9.9354423582553864E-3</v>
      </c>
      <c r="AK34" s="33">
        <f>+AK26-AK29</f>
        <v>-1.1042676866054535E-2</v>
      </c>
    </row>
    <row r="35" spans="2:37" ht="15" customHeight="1" x14ac:dyDescent="0.3">
      <c r="R35"/>
      <c r="S35"/>
      <c r="T35"/>
      <c r="U35"/>
      <c r="V35"/>
      <c r="W35"/>
      <c r="X35"/>
      <c r="Y35"/>
      <c r="Z35"/>
      <c r="AA35"/>
      <c r="AB35"/>
      <c r="AC35"/>
      <c r="AD35"/>
      <c r="AE35"/>
      <c r="AF35"/>
      <c r="AG35"/>
      <c r="AI35" s="93" t="s">
        <v>218</v>
      </c>
    </row>
    <row r="36" spans="2:37" ht="15" customHeight="1" x14ac:dyDescent="0.3">
      <c r="R36"/>
      <c r="S36"/>
      <c r="T36"/>
      <c r="U36"/>
      <c r="V36"/>
      <c r="W36"/>
      <c r="X36"/>
      <c r="Y36"/>
      <c r="Z36"/>
      <c r="AA36"/>
      <c r="AB36"/>
      <c r="AC36"/>
      <c r="AD36"/>
      <c r="AE36"/>
      <c r="AF36"/>
      <c r="AG36"/>
      <c r="AJ36" s="33">
        <f t="shared" ref="AJ36:AK38" si="6">+AJ32/AJ$26</f>
        <v>0.14794016751408257</v>
      </c>
      <c r="AK36" s="33">
        <f t="shared" si="6"/>
        <v>0.20831851510083521</v>
      </c>
    </row>
    <row r="37" spans="2:37" ht="15" customHeight="1" x14ac:dyDescent="0.3">
      <c r="R37"/>
      <c r="S37"/>
      <c r="T37"/>
      <c r="U37"/>
      <c r="V37"/>
      <c r="W37"/>
      <c r="X37"/>
      <c r="Y37"/>
      <c r="Z37"/>
      <c r="AA37"/>
      <c r="AB37"/>
      <c r="AC37"/>
      <c r="AD37"/>
      <c r="AE37"/>
      <c r="AF37"/>
      <c r="AG37"/>
      <c r="AJ37" s="33">
        <f t="shared" si="6"/>
        <v>1.1072853013776662</v>
      </c>
      <c r="AK37" s="33">
        <f t="shared" si="6"/>
        <v>0.72678215351230135</v>
      </c>
    </row>
    <row r="38" spans="2:37" ht="15" customHeight="1" x14ac:dyDescent="0.3">
      <c r="R38"/>
      <c r="S38"/>
      <c r="T38"/>
      <c r="U38"/>
      <c r="V38"/>
      <c r="W38"/>
      <c r="X38"/>
      <c r="Y38"/>
      <c r="Z38"/>
      <c r="AA38"/>
      <c r="AB38"/>
      <c r="AC38"/>
      <c r="AD38"/>
      <c r="AE38"/>
      <c r="AF38"/>
      <c r="AG38"/>
      <c r="AH38" s="78"/>
      <c r="AJ38" s="33">
        <f t="shared" si="6"/>
        <v>0.45014029831852992</v>
      </c>
      <c r="AK38" s="33">
        <f t="shared" si="6"/>
        <v>0.26838016136240339</v>
      </c>
    </row>
    <row r="39" spans="2:37" ht="15" customHeight="1" x14ac:dyDescent="0.3">
      <c r="R39"/>
      <c r="S39"/>
      <c r="T39"/>
      <c r="U39"/>
      <c r="V39"/>
      <c r="W39"/>
      <c r="X39"/>
      <c r="Y39"/>
      <c r="Z39"/>
      <c r="AA39"/>
      <c r="AB39"/>
      <c r="AC39"/>
      <c r="AD39"/>
      <c r="AE39"/>
      <c r="AF39"/>
      <c r="AG39"/>
      <c r="AH39" s="33"/>
    </row>
    <row r="40" spans="2:37" ht="15" customHeight="1" x14ac:dyDescent="0.3">
      <c r="R40"/>
      <c r="S40"/>
      <c r="T40"/>
      <c r="U40"/>
      <c r="V40"/>
      <c r="W40"/>
      <c r="X40"/>
      <c r="Y40"/>
      <c r="Z40"/>
      <c r="AA40"/>
      <c r="AB40"/>
      <c r="AC40"/>
      <c r="AD40"/>
      <c r="AE40"/>
      <c r="AF40"/>
      <c r="AG40"/>
      <c r="AH40" s="33"/>
    </row>
    <row r="41" spans="2:37" ht="15" customHeight="1" x14ac:dyDescent="0.3">
      <c r="R41"/>
      <c r="S41"/>
      <c r="T41"/>
      <c r="U41"/>
      <c r="V41"/>
      <c r="W41"/>
      <c r="X41"/>
      <c r="Y41"/>
      <c r="Z41"/>
      <c r="AA41"/>
      <c r="AB41"/>
      <c r="AC41"/>
      <c r="AD41"/>
      <c r="AE41"/>
      <c r="AF41"/>
      <c r="AG41"/>
    </row>
    <row r="42" spans="2:37" ht="15" customHeight="1" x14ac:dyDescent="0.3">
      <c r="R42"/>
      <c r="S42"/>
      <c r="T42"/>
      <c r="U42"/>
      <c r="V42"/>
      <c r="W42"/>
      <c r="X42"/>
      <c r="Y42"/>
      <c r="Z42"/>
      <c r="AA42"/>
      <c r="AB42"/>
      <c r="AC42"/>
      <c r="AD42"/>
      <c r="AE42"/>
      <c r="AF42"/>
      <c r="AG42"/>
    </row>
    <row r="43" spans="2:37" ht="15" customHeight="1" x14ac:dyDescent="0.3">
      <c r="R43"/>
      <c r="S43"/>
      <c r="T43"/>
      <c r="U43"/>
      <c r="V43"/>
      <c r="W43"/>
      <c r="X43"/>
      <c r="Y43"/>
      <c r="Z43"/>
      <c r="AA43"/>
      <c r="AB43"/>
      <c r="AC43"/>
      <c r="AD43"/>
      <c r="AE43"/>
      <c r="AF43"/>
      <c r="AG43"/>
    </row>
    <row r="44" spans="2:37" ht="15" customHeight="1" x14ac:dyDescent="0.3">
      <c r="R44"/>
      <c r="S44"/>
      <c r="T44"/>
      <c r="U44"/>
      <c r="V44"/>
      <c r="W44"/>
      <c r="X44"/>
      <c r="Y44"/>
      <c r="Z44"/>
      <c r="AA44"/>
      <c r="AB44"/>
      <c r="AC44"/>
      <c r="AD44"/>
      <c r="AE44"/>
      <c r="AF44"/>
      <c r="AG44"/>
    </row>
    <row r="45" spans="2:37" ht="15" customHeight="1" x14ac:dyDescent="0.3">
      <c r="E45" s="30"/>
      <c r="F45" s="99"/>
      <c r="G45" s="99"/>
      <c r="H45" s="100"/>
      <c r="I45" s="100"/>
      <c r="R45"/>
      <c r="S45"/>
      <c r="T45"/>
      <c r="U45"/>
      <c r="V45"/>
      <c r="W45"/>
      <c r="X45"/>
      <c r="Y45"/>
      <c r="Z45"/>
      <c r="AA45"/>
      <c r="AB45"/>
      <c r="AC45"/>
      <c r="AD45"/>
      <c r="AE45"/>
      <c r="AF45"/>
      <c r="AG45"/>
    </row>
    <row r="46" spans="2:37" ht="15" customHeight="1" x14ac:dyDescent="0.3">
      <c r="E46" s="101"/>
      <c r="F46" s="99"/>
      <c r="G46" s="100"/>
      <c r="H46" s="100"/>
      <c r="I46" s="100"/>
      <c r="M46" s="87"/>
      <c r="R46"/>
      <c r="S46"/>
      <c r="T46"/>
      <c r="U46"/>
      <c r="V46"/>
      <c r="W46"/>
      <c r="X46"/>
      <c r="Y46"/>
      <c r="Z46"/>
      <c r="AA46"/>
      <c r="AB46"/>
      <c r="AC46"/>
      <c r="AD46"/>
      <c r="AE46"/>
      <c r="AF46"/>
      <c r="AG46"/>
    </row>
    <row r="47" spans="2:37" ht="15" customHeight="1" x14ac:dyDescent="0.3">
      <c r="E47" s="102"/>
      <c r="F47" s="103"/>
      <c r="G47" s="103"/>
      <c r="H47" s="100"/>
      <c r="I47" s="100"/>
      <c r="M47" s="87"/>
      <c r="R47"/>
      <c r="S47"/>
      <c r="T47"/>
      <c r="U47"/>
      <c r="V47"/>
      <c r="W47"/>
      <c r="X47"/>
      <c r="Y47"/>
      <c r="Z47"/>
      <c r="AA47"/>
      <c r="AB47"/>
      <c r="AC47"/>
      <c r="AD47"/>
      <c r="AE47"/>
      <c r="AF47"/>
      <c r="AG47"/>
    </row>
    <row r="48" spans="2:37" ht="15" customHeight="1" x14ac:dyDescent="0.3">
      <c r="B48" s="82"/>
      <c r="C48" s="83"/>
      <c r="F48" s="104"/>
      <c r="G48" s="99"/>
      <c r="H48" s="100"/>
      <c r="I48" s="100"/>
      <c r="R48"/>
      <c r="S48"/>
      <c r="T48"/>
      <c r="U48"/>
      <c r="V48"/>
      <c r="W48"/>
      <c r="X48"/>
      <c r="Y48"/>
      <c r="Z48"/>
      <c r="AA48"/>
      <c r="AB48"/>
      <c r="AC48"/>
      <c r="AD48"/>
      <c r="AE48"/>
      <c r="AF48"/>
      <c r="AG48"/>
    </row>
    <row r="49" spans="4:39" ht="15" customHeight="1" x14ac:dyDescent="0.3">
      <c r="F49" s="104"/>
      <c r="G49" s="82"/>
      <c r="R49"/>
      <c r="S49"/>
      <c r="T49"/>
      <c r="U49"/>
      <c r="V49"/>
      <c r="W49"/>
      <c r="X49"/>
      <c r="Y49"/>
      <c r="Z49"/>
      <c r="AA49"/>
      <c r="AB49"/>
      <c r="AC49"/>
      <c r="AD49"/>
      <c r="AE49"/>
      <c r="AF49"/>
      <c r="AG49"/>
    </row>
    <row r="50" spans="4:39" ht="15" customHeight="1" x14ac:dyDescent="0.3">
      <c r="F50" s="104"/>
      <c r="G50" s="82"/>
      <c r="H50" s="82"/>
      <c r="R50"/>
      <c r="S50"/>
      <c r="T50"/>
      <c r="U50"/>
      <c r="V50"/>
      <c r="W50"/>
      <c r="X50"/>
      <c r="Y50"/>
      <c r="Z50"/>
      <c r="AA50"/>
      <c r="AB50"/>
      <c r="AC50"/>
      <c r="AD50"/>
      <c r="AE50"/>
      <c r="AF50"/>
      <c r="AG50"/>
    </row>
    <row r="51" spans="4:39" ht="15" customHeight="1" x14ac:dyDescent="0.3">
      <c r="E51" s="30"/>
      <c r="F51" s="99"/>
      <c r="G51" s="99"/>
      <c r="H51" s="105"/>
      <c r="I51" s="105"/>
      <c r="R51"/>
      <c r="S51"/>
      <c r="T51"/>
      <c r="U51"/>
      <c r="V51"/>
      <c r="W51"/>
      <c r="X51"/>
      <c r="Y51"/>
      <c r="Z51"/>
      <c r="AA51"/>
      <c r="AB51"/>
      <c r="AC51"/>
      <c r="AD51"/>
      <c r="AE51"/>
      <c r="AF51"/>
      <c r="AG51"/>
      <c r="AL51" s="78"/>
    </row>
    <row r="52" spans="4:39" ht="15" customHeight="1" x14ac:dyDescent="0.3">
      <c r="E52" s="101"/>
      <c r="F52" s="106"/>
      <c r="G52" s="105"/>
      <c r="H52" s="105"/>
      <c r="I52" s="105"/>
      <c r="R52"/>
      <c r="S52"/>
      <c r="T52"/>
      <c r="U52"/>
      <c r="V52"/>
      <c r="W52"/>
      <c r="X52"/>
      <c r="Y52"/>
      <c r="Z52"/>
      <c r="AA52"/>
      <c r="AB52"/>
      <c r="AC52"/>
      <c r="AD52"/>
      <c r="AE52"/>
      <c r="AF52"/>
      <c r="AG52"/>
      <c r="AL52" s="33"/>
    </row>
    <row r="53" spans="4:39" ht="15" customHeight="1" x14ac:dyDescent="0.3">
      <c r="D53"/>
      <c r="E53" s="29"/>
      <c r="F53" s="32"/>
      <c r="G53" s="32"/>
      <c r="H53" s="31"/>
      <c r="I53" s="31"/>
      <c r="R53"/>
      <c r="S53"/>
      <c r="T53"/>
      <c r="U53"/>
      <c r="V53"/>
      <c r="W53"/>
      <c r="X53"/>
      <c r="Y53"/>
      <c r="Z53"/>
      <c r="AA53"/>
      <c r="AB53"/>
      <c r="AC53"/>
      <c r="AD53"/>
      <c r="AE53"/>
      <c r="AF53"/>
      <c r="AG53"/>
      <c r="AL53" s="33"/>
    </row>
    <row r="54" spans="4:39" ht="15" customHeight="1" x14ac:dyDescent="0.3">
      <c r="D54"/>
      <c r="E54" s="29"/>
      <c r="F54" s="81"/>
      <c r="G54" s="32"/>
      <c r="H54" s="31"/>
      <c r="I54" s="31"/>
      <c r="R54"/>
      <c r="S54"/>
      <c r="T54"/>
      <c r="U54"/>
      <c r="V54"/>
      <c r="W54"/>
      <c r="X54"/>
      <c r="Y54"/>
      <c r="Z54"/>
      <c r="AA54"/>
      <c r="AB54"/>
      <c r="AC54"/>
      <c r="AD54"/>
      <c r="AE54"/>
      <c r="AF54"/>
      <c r="AG54"/>
    </row>
    <row r="55" spans="4:39" ht="15" customHeight="1" x14ac:dyDescent="0.3">
      <c r="R55"/>
      <c r="S55"/>
      <c r="T55"/>
      <c r="U55"/>
      <c r="V55"/>
      <c r="W55"/>
      <c r="X55"/>
      <c r="Y55"/>
      <c r="Z55"/>
      <c r="AA55"/>
      <c r="AB55"/>
      <c r="AC55"/>
      <c r="AD55"/>
      <c r="AE55"/>
      <c r="AF55"/>
      <c r="AG55"/>
    </row>
    <row r="56" spans="4:39" ht="15" customHeight="1" x14ac:dyDescent="0.3">
      <c r="R56"/>
      <c r="S56"/>
      <c r="T56"/>
      <c r="U56"/>
      <c r="V56"/>
      <c r="W56"/>
      <c r="X56"/>
      <c r="Y56"/>
      <c r="Z56"/>
      <c r="AA56"/>
      <c r="AB56"/>
      <c r="AC56"/>
      <c r="AD56"/>
      <c r="AE56"/>
      <c r="AF56"/>
      <c r="AG56"/>
    </row>
    <row r="57" spans="4:39" ht="15" customHeight="1" x14ac:dyDescent="0.3">
      <c r="R57"/>
      <c r="S57"/>
      <c r="T57"/>
      <c r="U57"/>
      <c r="V57"/>
      <c r="W57"/>
      <c r="X57"/>
      <c r="Y57"/>
      <c r="Z57"/>
      <c r="AA57"/>
      <c r="AB57"/>
      <c r="AC57"/>
      <c r="AD57"/>
      <c r="AE57"/>
      <c r="AF57"/>
      <c r="AG57"/>
    </row>
    <row r="58" spans="4:39" ht="15" customHeight="1" x14ac:dyDescent="0.3">
      <c r="R58"/>
      <c r="S58"/>
      <c r="T58"/>
      <c r="U58"/>
      <c r="V58"/>
      <c r="W58"/>
      <c r="X58"/>
      <c r="Y58"/>
      <c r="Z58"/>
      <c r="AA58"/>
      <c r="AB58"/>
      <c r="AC58"/>
      <c r="AD58"/>
      <c r="AE58"/>
      <c r="AF58"/>
      <c r="AG58"/>
      <c r="AH58" s="88"/>
      <c r="AI58" s="88"/>
      <c r="AJ58" s="93" t="s">
        <v>215</v>
      </c>
      <c r="AM58" s="88"/>
    </row>
    <row r="59" spans="4:39" ht="15" customHeight="1" x14ac:dyDescent="0.3">
      <c r="R59"/>
      <c r="S59"/>
      <c r="T59"/>
      <c r="U59"/>
      <c r="V59"/>
      <c r="W59"/>
      <c r="X59"/>
      <c r="Y59"/>
      <c r="Z59"/>
      <c r="AA59"/>
      <c r="AB59"/>
      <c r="AC59"/>
      <c r="AD59"/>
      <c r="AE59"/>
      <c r="AF59"/>
      <c r="AG59"/>
      <c r="AK59" s="92" t="s">
        <v>208</v>
      </c>
      <c r="AL59" s="90" t="s">
        <v>209</v>
      </c>
    </row>
    <row r="60" spans="4:39" ht="15" customHeight="1" x14ac:dyDescent="0.3">
      <c r="R60"/>
      <c r="S60"/>
      <c r="T60"/>
      <c r="U60"/>
      <c r="V60"/>
      <c r="W60"/>
      <c r="X60"/>
      <c r="Y60"/>
      <c r="Z60"/>
      <c r="AA60"/>
      <c r="AB60"/>
      <c r="AC60"/>
      <c r="AD60"/>
      <c r="AE60"/>
      <c r="AF60"/>
      <c r="AG60"/>
      <c r="AJ60" s="90" t="s">
        <v>210</v>
      </c>
      <c r="AK60" s="91">
        <f>+I3</f>
        <v>3.6465715616941452E-2</v>
      </c>
      <c r="AL60" s="91">
        <f>+I16</f>
        <v>4.1348353028297424E-2</v>
      </c>
    </row>
    <row r="61" spans="4:39" ht="15" customHeight="1" x14ac:dyDescent="0.3">
      <c r="R61"/>
      <c r="S61"/>
      <c r="T61"/>
      <c r="U61"/>
      <c r="V61"/>
      <c r="W61"/>
      <c r="X61"/>
      <c r="Y61"/>
      <c r="Z61"/>
      <c r="AA61"/>
      <c r="AB61"/>
      <c r="AC61"/>
      <c r="AD61"/>
      <c r="AE61"/>
      <c r="AF61"/>
      <c r="AG61"/>
      <c r="AJ61" s="107" t="s">
        <v>236</v>
      </c>
      <c r="AK61" s="33">
        <f>+I7</f>
        <v>3.0635025352239609E-2</v>
      </c>
      <c r="AL61" s="33">
        <f>+I20</f>
        <v>2.6153691112995148E-2</v>
      </c>
    </row>
    <row r="62" spans="4:39" ht="15" customHeight="1" x14ac:dyDescent="0.3">
      <c r="R62"/>
      <c r="S62"/>
      <c r="T62"/>
      <c r="U62"/>
      <c r="V62"/>
      <c r="W62"/>
      <c r="X62"/>
      <c r="Y62"/>
      <c r="Z62"/>
      <c r="AA62"/>
      <c r="AB62"/>
      <c r="AC62"/>
      <c r="AD62"/>
      <c r="AE62"/>
      <c r="AF62"/>
      <c r="AG62"/>
      <c r="AJ62" s="107" t="s">
        <v>237</v>
      </c>
      <c r="AK62" s="33">
        <f>+I8</f>
        <v>9.469885379076004E-3</v>
      </c>
      <c r="AL62" s="33">
        <f>+I21</f>
        <v>6.3802562654018402E-3</v>
      </c>
    </row>
    <row r="63" spans="4:39" ht="15" customHeight="1" x14ac:dyDescent="0.3">
      <c r="R63"/>
      <c r="S63"/>
      <c r="T63"/>
      <c r="U63"/>
      <c r="V63"/>
      <c r="W63"/>
      <c r="X63"/>
      <c r="Y63"/>
      <c r="Z63"/>
      <c r="AA63"/>
      <c r="AB63"/>
      <c r="AC63"/>
      <c r="AD63"/>
      <c r="AE63"/>
      <c r="AF63"/>
      <c r="AG63"/>
      <c r="AJ63" s="90"/>
    </row>
    <row r="64" spans="4:39" ht="15" customHeight="1" x14ac:dyDescent="0.3">
      <c r="R64"/>
      <c r="S64"/>
      <c r="T64"/>
      <c r="U64"/>
      <c r="V64"/>
      <c r="W64"/>
      <c r="X64"/>
      <c r="Y64"/>
      <c r="Z64"/>
      <c r="AA64"/>
      <c r="AB64"/>
      <c r="AC64"/>
      <c r="AD64"/>
      <c r="AE64"/>
      <c r="AF64"/>
      <c r="AG64"/>
    </row>
    <row r="65" spans="18:38" ht="15" customHeight="1" x14ac:dyDescent="0.3">
      <c r="R65"/>
      <c r="S65"/>
      <c r="T65"/>
      <c r="U65"/>
      <c r="V65"/>
      <c r="W65"/>
      <c r="X65"/>
      <c r="Y65"/>
      <c r="Z65"/>
      <c r="AA65"/>
      <c r="AB65"/>
      <c r="AC65"/>
      <c r="AD65"/>
      <c r="AE65"/>
      <c r="AF65"/>
      <c r="AG65"/>
      <c r="AJ65" s="93" t="s">
        <v>217</v>
      </c>
    </row>
    <row r="66" spans="18:38" ht="15" customHeight="1" x14ac:dyDescent="0.3">
      <c r="R66"/>
      <c r="S66"/>
      <c r="T66"/>
      <c r="U66"/>
      <c r="V66"/>
      <c r="W66"/>
      <c r="X66"/>
      <c r="Y66"/>
      <c r="Z66"/>
      <c r="AA66"/>
      <c r="AB66"/>
      <c r="AC66"/>
      <c r="AD66"/>
      <c r="AE66"/>
      <c r="AF66"/>
      <c r="AG66"/>
      <c r="AJ66" s="107" t="s">
        <v>236</v>
      </c>
      <c r="AK66" s="33">
        <f>+AK60-AK61</f>
        <v>5.8306902647018433E-3</v>
      </c>
      <c r="AL66" s="33">
        <f>+AL60-AL61</f>
        <v>1.5194661915302277E-2</v>
      </c>
    </row>
    <row r="67" spans="18:38" x14ac:dyDescent="0.3">
      <c r="R67"/>
      <c r="S67"/>
      <c r="T67"/>
      <c r="U67"/>
      <c r="V67"/>
      <c r="W67"/>
      <c r="X67"/>
      <c r="Y67"/>
      <c r="Z67"/>
      <c r="AA67"/>
      <c r="AB67"/>
      <c r="AC67"/>
      <c r="AD67"/>
      <c r="AE67"/>
      <c r="AF67"/>
      <c r="AG67"/>
      <c r="AJ67" s="107" t="s">
        <v>237</v>
      </c>
      <c r="AK67" s="33">
        <f>+AK60-AK62</f>
        <v>2.6995830237865448E-2</v>
      </c>
      <c r="AL67" s="33">
        <f>+AL60-AL62</f>
        <v>3.4968096762895584E-2</v>
      </c>
    </row>
    <row r="68" spans="18:38" x14ac:dyDescent="0.3">
      <c r="R68"/>
      <c r="S68"/>
      <c r="T68"/>
      <c r="U68"/>
      <c r="V68"/>
      <c r="W68"/>
      <c r="X68"/>
      <c r="Y68"/>
      <c r="Z68"/>
      <c r="AA68"/>
      <c r="AB68"/>
      <c r="AC68"/>
      <c r="AD68"/>
      <c r="AE68"/>
      <c r="AF68"/>
      <c r="AG68"/>
      <c r="AK68" s="33"/>
    </row>
    <row r="69" spans="18:38" x14ac:dyDescent="0.3">
      <c r="R69"/>
      <c r="S69"/>
      <c r="T69"/>
      <c r="U69"/>
      <c r="V69"/>
      <c r="W69"/>
      <c r="X69"/>
      <c r="Y69"/>
      <c r="Z69"/>
      <c r="AA69"/>
      <c r="AB69"/>
      <c r="AC69"/>
      <c r="AD69"/>
      <c r="AE69"/>
      <c r="AF69"/>
      <c r="AG69"/>
      <c r="AJ69" s="93" t="s">
        <v>218</v>
      </c>
    </row>
    <row r="70" spans="18:38" x14ac:dyDescent="0.3">
      <c r="R70"/>
      <c r="S70"/>
      <c r="T70"/>
      <c r="U70"/>
      <c r="V70"/>
      <c r="W70"/>
      <c r="X70"/>
      <c r="Y70"/>
      <c r="Z70"/>
      <c r="AA70"/>
      <c r="AB70"/>
      <c r="AC70"/>
      <c r="AD70"/>
      <c r="AE70"/>
      <c r="AF70"/>
      <c r="AG70"/>
      <c r="AK70" s="33">
        <f>+AK66/AK$60</f>
        <v>0.15989512795939723</v>
      </c>
      <c r="AL70" s="33">
        <f>+AL66/AL$60</f>
        <v>0.36747925376625185</v>
      </c>
    </row>
    <row r="71" spans="18:38" x14ac:dyDescent="0.3">
      <c r="R71"/>
      <c r="S71"/>
      <c r="T71"/>
      <c r="U71"/>
      <c r="V71"/>
      <c r="W71"/>
      <c r="X71"/>
      <c r="Y71"/>
      <c r="Z71"/>
      <c r="AA71"/>
      <c r="AB71"/>
      <c r="AC71"/>
      <c r="AD71"/>
      <c r="AE71"/>
      <c r="AF71"/>
      <c r="AG71"/>
      <c r="AK71" s="33">
        <f>+AK67/AK$60</f>
        <v>0.74030715649314094</v>
      </c>
      <c r="AL71" s="33">
        <f>+AL67/AL$60</f>
        <v>0.8456950326162832</v>
      </c>
    </row>
    <row r="72" spans="18:38" x14ac:dyDescent="0.3">
      <c r="R72"/>
      <c r="S72"/>
      <c r="T72"/>
      <c r="U72"/>
      <c r="V72"/>
      <c r="W72"/>
      <c r="X72"/>
      <c r="Y72"/>
      <c r="Z72"/>
      <c r="AA72"/>
      <c r="AB72"/>
      <c r="AC72"/>
      <c r="AD72"/>
      <c r="AE72"/>
      <c r="AF72"/>
      <c r="AG72"/>
    </row>
    <row r="73" spans="18:38" x14ac:dyDescent="0.3">
      <c r="R73"/>
      <c r="S73"/>
      <c r="T73"/>
      <c r="U73"/>
      <c r="V73"/>
      <c r="W73"/>
      <c r="X73"/>
      <c r="Y73"/>
      <c r="Z73"/>
      <c r="AA73"/>
      <c r="AB73"/>
      <c r="AC73"/>
      <c r="AD73"/>
      <c r="AE73"/>
      <c r="AF73"/>
      <c r="AG73"/>
    </row>
    <row r="74" spans="18:38" x14ac:dyDescent="0.3">
      <c r="R74"/>
      <c r="S74"/>
      <c r="T74"/>
      <c r="U74"/>
      <c r="V74"/>
      <c r="W74"/>
      <c r="X74"/>
      <c r="Y74"/>
      <c r="Z74"/>
      <c r="AA74"/>
      <c r="AB74"/>
      <c r="AC74"/>
      <c r="AD74"/>
      <c r="AE74"/>
      <c r="AF74"/>
      <c r="AG74"/>
    </row>
    <row r="75" spans="18:38" x14ac:dyDescent="0.3">
      <c r="R75"/>
      <c r="S75"/>
      <c r="T75"/>
      <c r="U75"/>
      <c r="V75"/>
      <c r="W75"/>
      <c r="X75"/>
      <c r="Y75"/>
      <c r="Z75"/>
      <c r="AA75"/>
      <c r="AB75"/>
      <c r="AC75"/>
      <c r="AD75"/>
      <c r="AE75"/>
      <c r="AF75"/>
      <c r="AG75"/>
    </row>
    <row r="76" spans="18:38" x14ac:dyDescent="0.3">
      <c r="R76"/>
      <c r="S76"/>
      <c r="T76"/>
      <c r="U76"/>
      <c r="V76"/>
      <c r="W76"/>
      <c r="X76"/>
      <c r="Y76"/>
      <c r="Z76"/>
      <c r="AA76"/>
      <c r="AB76"/>
      <c r="AC76"/>
      <c r="AD76"/>
      <c r="AE76"/>
      <c r="AF76"/>
      <c r="AG76"/>
    </row>
    <row r="77" spans="18:38" x14ac:dyDescent="0.3">
      <c r="R77"/>
      <c r="S77"/>
      <c r="T77"/>
      <c r="U77"/>
      <c r="V77"/>
      <c r="W77"/>
      <c r="X77"/>
      <c r="Y77"/>
      <c r="Z77"/>
      <c r="AA77"/>
      <c r="AB77"/>
      <c r="AC77"/>
      <c r="AD77"/>
      <c r="AE77"/>
      <c r="AF77"/>
      <c r="AG77"/>
    </row>
    <row r="78" spans="18:38" x14ac:dyDescent="0.3">
      <c r="R78"/>
      <c r="S78"/>
      <c r="T78"/>
      <c r="U78"/>
      <c r="V78"/>
      <c r="W78"/>
      <c r="X78"/>
      <c r="Y78"/>
      <c r="Z78"/>
      <c r="AA78"/>
      <c r="AB78"/>
      <c r="AC78"/>
      <c r="AD78"/>
      <c r="AE78"/>
      <c r="AF78"/>
      <c r="AG78"/>
    </row>
    <row r="79" spans="18:38" x14ac:dyDescent="0.3">
      <c r="R79"/>
      <c r="S79"/>
      <c r="T79"/>
      <c r="U79"/>
      <c r="V79"/>
      <c r="W79"/>
      <c r="X79"/>
      <c r="Y79"/>
      <c r="Z79"/>
      <c r="AA79"/>
      <c r="AB79"/>
      <c r="AC79"/>
      <c r="AD79"/>
      <c r="AE79"/>
      <c r="AF79"/>
      <c r="AG79"/>
    </row>
    <row r="80" spans="18:38" x14ac:dyDescent="0.3">
      <c r="R80"/>
      <c r="S80"/>
      <c r="T80"/>
      <c r="U80"/>
      <c r="V80"/>
      <c r="W80"/>
      <c r="X80"/>
      <c r="Y80"/>
      <c r="Z80"/>
      <c r="AA80"/>
      <c r="AB80"/>
      <c r="AC80"/>
      <c r="AD80"/>
      <c r="AE80"/>
      <c r="AF80"/>
      <c r="AG80"/>
    </row>
    <row r="81" spans="18:33" x14ac:dyDescent="0.3">
      <c r="R81"/>
      <c r="S81"/>
      <c r="T81"/>
      <c r="U81"/>
      <c r="V81"/>
      <c r="W81"/>
      <c r="X81"/>
      <c r="Y81"/>
      <c r="Z81"/>
      <c r="AA81"/>
      <c r="AB81"/>
      <c r="AC81"/>
      <c r="AD81"/>
      <c r="AE81"/>
      <c r="AF81"/>
      <c r="AG81"/>
    </row>
    <row r="82" spans="18:33" x14ac:dyDescent="0.3">
      <c r="R82"/>
      <c r="S82"/>
      <c r="T82"/>
      <c r="U82"/>
      <c r="V82"/>
      <c r="W82"/>
      <c r="X82"/>
      <c r="Y82"/>
      <c r="Z82"/>
      <c r="AA82"/>
      <c r="AB82"/>
      <c r="AC82"/>
      <c r="AD82"/>
      <c r="AE82"/>
      <c r="AF82"/>
      <c r="AG82"/>
    </row>
    <row r="83" spans="18:33" x14ac:dyDescent="0.3">
      <c r="R83"/>
      <c r="S83"/>
      <c r="T83"/>
      <c r="U83"/>
      <c r="V83"/>
      <c r="W83"/>
      <c r="X83"/>
      <c r="Y83"/>
      <c r="Z83"/>
      <c r="AA83"/>
      <c r="AB83"/>
      <c r="AC83"/>
      <c r="AD83"/>
      <c r="AE83"/>
      <c r="AF83"/>
      <c r="AG83"/>
    </row>
    <row r="84" spans="18:33" x14ac:dyDescent="0.3">
      <c r="R84"/>
      <c r="S84"/>
      <c r="T84"/>
      <c r="U84"/>
      <c r="V84"/>
      <c r="W84"/>
      <c r="X84"/>
      <c r="Y84"/>
      <c r="Z84"/>
      <c r="AA84"/>
      <c r="AB84"/>
      <c r="AC84"/>
      <c r="AD84"/>
      <c r="AE84"/>
      <c r="AF84"/>
      <c r="AG84"/>
    </row>
    <row r="85" spans="18:33" x14ac:dyDescent="0.3">
      <c r="R85"/>
      <c r="S85"/>
      <c r="T85"/>
      <c r="U85"/>
      <c r="V85"/>
      <c r="W85"/>
      <c r="X85"/>
      <c r="Y85"/>
      <c r="Z85"/>
      <c r="AA85"/>
      <c r="AB85"/>
      <c r="AC85"/>
      <c r="AD85"/>
      <c r="AE85"/>
      <c r="AF85"/>
      <c r="AG85"/>
    </row>
    <row r="86" spans="18:33" x14ac:dyDescent="0.3">
      <c r="R86"/>
      <c r="S86"/>
      <c r="T86"/>
      <c r="U86"/>
      <c r="V86"/>
      <c r="W86"/>
      <c r="X86"/>
      <c r="Y86"/>
      <c r="Z86"/>
      <c r="AA86"/>
      <c r="AB86"/>
      <c r="AC86"/>
      <c r="AD86"/>
      <c r="AE86"/>
      <c r="AF86"/>
      <c r="AG86"/>
    </row>
    <row r="87" spans="18:33" x14ac:dyDescent="0.3">
      <c r="R87"/>
      <c r="S87"/>
      <c r="T87"/>
      <c r="U87"/>
      <c r="V87"/>
      <c r="W87"/>
      <c r="X87"/>
      <c r="Y87"/>
      <c r="Z87"/>
      <c r="AA87"/>
      <c r="AB87"/>
      <c r="AC87"/>
      <c r="AD87"/>
      <c r="AE87"/>
      <c r="AF87"/>
      <c r="AG87"/>
    </row>
    <row r="88" spans="18:33" x14ac:dyDescent="0.3">
      <c r="R88"/>
      <c r="S88"/>
      <c r="T88"/>
      <c r="U88"/>
      <c r="V88"/>
      <c r="W88"/>
      <c r="X88"/>
      <c r="Y88"/>
      <c r="Z88"/>
      <c r="AA88"/>
      <c r="AB88"/>
      <c r="AC88"/>
      <c r="AD88"/>
      <c r="AE88"/>
      <c r="AF88"/>
      <c r="AG88"/>
    </row>
    <row r="89" spans="18:33" x14ac:dyDescent="0.3">
      <c r="R89"/>
      <c r="S89"/>
      <c r="T89"/>
      <c r="U89"/>
      <c r="V89"/>
      <c r="W89"/>
      <c r="X89"/>
      <c r="Y89"/>
      <c r="Z89"/>
      <c r="AA89"/>
      <c r="AB89"/>
      <c r="AC89"/>
      <c r="AD89"/>
      <c r="AE89"/>
      <c r="AF89"/>
      <c r="AG89"/>
    </row>
    <row r="90" spans="18:33" x14ac:dyDescent="0.3">
      <c r="R90"/>
      <c r="S90"/>
      <c r="T90"/>
      <c r="U90"/>
      <c r="V90"/>
      <c r="W90"/>
      <c r="X90"/>
      <c r="Y90"/>
      <c r="Z90"/>
      <c r="AA90"/>
      <c r="AB90"/>
      <c r="AC90"/>
      <c r="AD90"/>
      <c r="AE90"/>
      <c r="AF90"/>
      <c r="AG90"/>
    </row>
    <row r="111" ht="15" customHeight="1" x14ac:dyDescent="0.3"/>
  </sheetData>
  <mergeCells count="2">
    <mergeCell ref="A22:I23"/>
    <mergeCell ref="A9:I10"/>
  </mergeCells>
  <printOptions horizontalCentered="1"/>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D4D9-B059-467C-8E2C-DF1416BAEB30}">
  <sheetPr>
    <pageSetUpPr fitToPage="1"/>
  </sheetPr>
  <dimension ref="A1:K64"/>
  <sheetViews>
    <sheetView zoomScale="108" zoomScaleNormal="108" zoomScaleSheetLayoutView="85" workbookViewId="0"/>
  </sheetViews>
  <sheetFormatPr defaultRowHeight="13.2" x14ac:dyDescent="0.25"/>
  <cols>
    <col min="1" max="1" width="4.21875" customWidth="1"/>
    <col min="2" max="2" width="12.5546875" customWidth="1"/>
    <col min="3" max="5" width="14.21875" customWidth="1"/>
    <col min="8" max="8" width="12.77734375" customWidth="1"/>
    <col min="220" max="222" width="11.5546875" customWidth="1"/>
    <col min="223" max="223" width="1" customWidth="1"/>
    <col min="224" max="225" width="11.5546875" customWidth="1"/>
    <col min="226" max="226" width="1" customWidth="1"/>
    <col min="227" max="227" width="10.77734375" customWidth="1"/>
    <col min="228" max="228" width="11.5546875" customWidth="1"/>
    <col min="230" max="230" width="21" customWidth="1"/>
    <col min="231" max="231" width="10.5546875" customWidth="1"/>
    <col min="476" max="478" width="11.5546875" customWidth="1"/>
    <col min="479" max="479" width="1" customWidth="1"/>
    <col min="480" max="481" width="11.5546875" customWidth="1"/>
    <col min="482" max="482" width="1" customWidth="1"/>
    <col min="483" max="483" width="10.77734375" customWidth="1"/>
    <col min="484" max="484" width="11.5546875" customWidth="1"/>
    <col min="486" max="486" width="21" customWidth="1"/>
    <col min="487" max="487" width="10.5546875" customWidth="1"/>
    <col min="732" max="734" width="11.5546875" customWidth="1"/>
    <col min="735" max="735" width="1" customWidth="1"/>
    <col min="736" max="737" width="11.5546875" customWidth="1"/>
    <col min="738" max="738" width="1" customWidth="1"/>
    <col min="739" max="739" width="10.77734375" customWidth="1"/>
    <col min="740" max="740" width="11.5546875" customWidth="1"/>
    <col min="742" max="742" width="21" customWidth="1"/>
    <col min="743" max="743" width="10.5546875" customWidth="1"/>
    <col min="988" max="990" width="11.5546875" customWidth="1"/>
    <col min="991" max="991" width="1" customWidth="1"/>
    <col min="992" max="993" width="11.5546875" customWidth="1"/>
    <col min="994" max="994" width="1" customWidth="1"/>
    <col min="995" max="995" width="10.77734375" customWidth="1"/>
    <col min="996" max="996" width="11.5546875" customWidth="1"/>
    <col min="998" max="998" width="21" customWidth="1"/>
    <col min="999" max="999" width="10.5546875" customWidth="1"/>
    <col min="1244" max="1246" width="11.5546875" customWidth="1"/>
    <col min="1247" max="1247" width="1" customWidth="1"/>
    <col min="1248" max="1249" width="11.5546875" customWidth="1"/>
    <col min="1250" max="1250" width="1" customWidth="1"/>
    <col min="1251" max="1251" width="10.77734375" customWidth="1"/>
    <col min="1252" max="1252" width="11.5546875" customWidth="1"/>
    <col min="1254" max="1254" width="21" customWidth="1"/>
    <col min="1255" max="1255" width="10.5546875" customWidth="1"/>
    <col min="1500" max="1502" width="11.5546875" customWidth="1"/>
    <col min="1503" max="1503" width="1" customWidth="1"/>
    <col min="1504" max="1505" width="11.5546875" customWidth="1"/>
    <col min="1506" max="1506" width="1" customWidth="1"/>
    <col min="1507" max="1507" width="10.77734375" customWidth="1"/>
    <col min="1508" max="1508" width="11.5546875" customWidth="1"/>
    <col min="1510" max="1510" width="21" customWidth="1"/>
    <col min="1511" max="1511" width="10.5546875" customWidth="1"/>
    <col min="1756" max="1758" width="11.5546875" customWidth="1"/>
    <col min="1759" max="1759" width="1" customWidth="1"/>
    <col min="1760" max="1761" width="11.5546875" customWidth="1"/>
    <col min="1762" max="1762" width="1" customWidth="1"/>
    <col min="1763" max="1763" width="10.77734375" customWidth="1"/>
    <col min="1764" max="1764" width="11.5546875" customWidth="1"/>
    <col min="1766" max="1766" width="21" customWidth="1"/>
    <col min="1767" max="1767" width="10.5546875" customWidth="1"/>
    <col min="2012" max="2014" width="11.5546875" customWidth="1"/>
    <col min="2015" max="2015" width="1" customWidth="1"/>
    <col min="2016" max="2017" width="11.5546875" customWidth="1"/>
    <col min="2018" max="2018" width="1" customWidth="1"/>
    <col min="2019" max="2019" width="10.77734375" customWidth="1"/>
    <col min="2020" max="2020" width="11.5546875" customWidth="1"/>
    <col min="2022" max="2022" width="21" customWidth="1"/>
    <col min="2023" max="2023" width="10.5546875" customWidth="1"/>
    <col min="2268" max="2270" width="11.5546875" customWidth="1"/>
    <col min="2271" max="2271" width="1" customWidth="1"/>
    <col min="2272" max="2273" width="11.5546875" customWidth="1"/>
    <col min="2274" max="2274" width="1" customWidth="1"/>
    <col min="2275" max="2275" width="10.77734375" customWidth="1"/>
    <col min="2276" max="2276" width="11.5546875" customWidth="1"/>
    <col min="2278" max="2278" width="21" customWidth="1"/>
    <col min="2279" max="2279" width="10.5546875" customWidth="1"/>
    <col min="2524" max="2526" width="11.5546875" customWidth="1"/>
    <col min="2527" max="2527" width="1" customWidth="1"/>
    <col min="2528" max="2529" width="11.5546875" customWidth="1"/>
    <col min="2530" max="2530" width="1" customWidth="1"/>
    <col min="2531" max="2531" width="10.77734375" customWidth="1"/>
    <col min="2532" max="2532" width="11.5546875" customWidth="1"/>
    <col min="2534" max="2534" width="21" customWidth="1"/>
    <col min="2535" max="2535" width="10.5546875" customWidth="1"/>
    <col min="2780" max="2782" width="11.5546875" customWidth="1"/>
    <col min="2783" max="2783" width="1" customWidth="1"/>
    <col min="2784" max="2785" width="11.5546875" customWidth="1"/>
    <col min="2786" max="2786" width="1" customWidth="1"/>
    <col min="2787" max="2787" width="10.77734375" customWidth="1"/>
    <col min="2788" max="2788" width="11.5546875" customWidth="1"/>
    <col min="2790" max="2790" width="21" customWidth="1"/>
    <col min="2791" max="2791" width="10.5546875" customWidth="1"/>
    <col min="3036" max="3038" width="11.5546875" customWidth="1"/>
    <col min="3039" max="3039" width="1" customWidth="1"/>
    <col min="3040" max="3041" width="11.5546875" customWidth="1"/>
    <col min="3042" max="3042" width="1" customWidth="1"/>
    <col min="3043" max="3043" width="10.77734375" customWidth="1"/>
    <col min="3044" max="3044" width="11.5546875" customWidth="1"/>
    <col min="3046" max="3046" width="21" customWidth="1"/>
    <col min="3047" max="3047" width="10.5546875" customWidth="1"/>
    <col min="3292" max="3294" width="11.5546875" customWidth="1"/>
    <col min="3295" max="3295" width="1" customWidth="1"/>
    <col min="3296" max="3297" width="11.5546875" customWidth="1"/>
    <col min="3298" max="3298" width="1" customWidth="1"/>
    <col min="3299" max="3299" width="10.77734375" customWidth="1"/>
    <col min="3300" max="3300" width="11.5546875" customWidth="1"/>
    <col min="3302" max="3302" width="21" customWidth="1"/>
    <col min="3303" max="3303" width="10.5546875" customWidth="1"/>
    <col min="3548" max="3550" width="11.5546875" customWidth="1"/>
    <col min="3551" max="3551" width="1" customWidth="1"/>
    <col min="3552" max="3553" width="11.5546875" customWidth="1"/>
    <col min="3554" max="3554" width="1" customWidth="1"/>
    <col min="3555" max="3555" width="10.77734375" customWidth="1"/>
    <col min="3556" max="3556" width="11.5546875" customWidth="1"/>
    <col min="3558" max="3558" width="21" customWidth="1"/>
    <col min="3559" max="3559" width="10.5546875" customWidth="1"/>
    <col min="3804" max="3806" width="11.5546875" customWidth="1"/>
    <col min="3807" max="3807" width="1" customWidth="1"/>
    <col min="3808" max="3809" width="11.5546875" customWidth="1"/>
    <col min="3810" max="3810" width="1" customWidth="1"/>
    <col min="3811" max="3811" width="10.77734375" customWidth="1"/>
    <col min="3812" max="3812" width="11.5546875" customWidth="1"/>
    <col min="3814" max="3814" width="21" customWidth="1"/>
    <col min="3815" max="3815" width="10.5546875" customWidth="1"/>
    <col min="4060" max="4062" width="11.5546875" customWidth="1"/>
    <col min="4063" max="4063" width="1" customWidth="1"/>
    <col min="4064" max="4065" width="11.5546875" customWidth="1"/>
    <col min="4066" max="4066" width="1" customWidth="1"/>
    <col min="4067" max="4067" width="10.77734375" customWidth="1"/>
    <col min="4068" max="4068" width="11.5546875" customWidth="1"/>
    <col min="4070" max="4070" width="21" customWidth="1"/>
    <col min="4071" max="4071" width="10.5546875" customWidth="1"/>
    <col min="4316" max="4318" width="11.5546875" customWidth="1"/>
    <col min="4319" max="4319" width="1" customWidth="1"/>
    <col min="4320" max="4321" width="11.5546875" customWidth="1"/>
    <col min="4322" max="4322" width="1" customWidth="1"/>
    <col min="4323" max="4323" width="10.77734375" customWidth="1"/>
    <col min="4324" max="4324" width="11.5546875" customWidth="1"/>
    <col min="4326" max="4326" width="21" customWidth="1"/>
    <col min="4327" max="4327" width="10.5546875" customWidth="1"/>
    <col min="4572" max="4574" width="11.5546875" customWidth="1"/>
    <col min="4575" max="4575" width="1" customWidth="1"/>
    <col min="4576" max="4577" width="11.5546875" customWidth="1"/>
    <col min="4578" max="4578" width="1" customWidth="1"/>
    <col min="4579" max="4579" width="10.77734375" customWidth="1"/>
    <col min="4580" max="4580" width="11.5546875" customWidth="1"/>
    <col min="4582" max="4582" width="21" customWidth="1"/>
    <col min="4583" max="4583" width="10.5546875" customWidth="1"/>
    <col min="4828" max="4830" width="11.5546875" customWidth="1"/>
    <col min="4831" max="4831" width="1" customWidth="1"/>
    <col min="4832" max="4833" width="11.5546875" customWidth="1"/>
    <col min="4834" max="4834" width="1" customWidth="1"/>
    <col min="4835" max="4835" width="10.77734375" customWidth="1"/>
    <col min="4836" max="4836" width="11.5546875" customWidth="1"/>
    <col min="4838" max="4838" width="21" customWidth="1"/>
    <col min="4839" max="4839" width="10.5546875" customWidth="1"/>
    <col min="5084" max="5086" width="11.5546875" customWidth="1"/>
    <col min="5087" max="5087" width="1" customWidth="1"/>
    <col min="5088" max="5089" width="11.5546875" customWidth="1"/>
    <col min="5090" max="5090" width="1" customWidth="1"/>
    <col min="5091" max="5091" width="10.77734375" customWidth="1"/>
    <col min="5092" max="5092" width="11.5546875" customWidth="1"/>
    <col min="5094" max="5094" width="21" customWidth="1"/>
    <col min="5095" max="5095" width="10.5546875" customWidth="1"/>
    <col min="5340" max="5342" width="11.5546875" customWidth="1"/>
    <col min="5343" max="5343" width="1" customWidth="1"/>
    <col min="5344" max="5345" width="11.5546875" customWidth="1"/>
    <col min="5346" max="5346" width="1" customWidth="1"/>
    <col min="5347" max="5347" width="10.77734375" customWidth="1"/>
    <col min="5348" max="5348" width="11.5546875" customWidth="1"/>
    <col min="5350" max="5350" width="21" customWidth="1"/>
    <col min="5351" max="5351" width="10.5546875" customWidth="1"/>
    <col min="5596" max="5598" width="11.5546875" customWidth="1"/>
    <col min="5599" max="5599" width="1" customWidth="1"/>
    <col min="5600" max="5601" width="11.5546875" customWidth="1"/>
    <col min="5602" max="5602" width="1" customWidth="1"/>
    <col min="5603" max="5603" width="10.77734375" customWidth="1"/>
    <col min="5604" max="5604" width="11.5546875" customWidth="1"/>
    <col min="5606" max="5606" width="21" customWidth="1"/>
    <col min="5607" max="5607" width="10.5546875" customWidth="1"/>
    <col min="5852" max="5854" width="11.5546875" customWidth="1"/>
    <col min="5855" max="5855" width="1" customWidth="1"/>
    <col min="5856" max="5857" width="11.5546875" customWidth="1"/>
    <col min="5858" max="5858" width="1" customWidth="1"/>
    <col min="5859" max="5859" width="10.77734375" customWidth="1"/>
    <col min="5860" max="5860" width="11.5546875" customWidth="1"/>
    <col min="5862" max="5862" width="21" customWidth="1"/>
    <col min="5863" max="5863" width="10.5546875" customWidth="1"/>
    <col min="6108" max="6110" width="11.5546875" customWidth="1"/>
    <col min="6111" max="6111" width="1" customWidth="1"/>
    <col min="6112" max="6113" width="11.5546875" customWidth="1"/>
    <col min="6114" max="6114" width="1" customWidth="1"/>
    <col min="6115" max="6115" width="10.77734375" customWidth="1"/>
    <col min="6116" max="6116" width="11.5546875" customWidth="1"/>
    <col min="6118" max="6118" width="21" customWidth="1"/>
    <col min="6119" max="6119" width="10.5546875" customWidth="1"/>
    <col min="6364" max="6366" width="11.5546875" customWidth="1"/>
    <col min="6367" max="6367" width="1" customWidth="1"/>
    <col min="6368" max="6369" width="11.5546875" customWidth="1"/>
    <col min="6370" max="6370" width="1" customWidth="1"/>
    <col min="6371" max="6371" width="10.77734375" customWidth="1"/>
    <col min="6372" max="6372" width="11.5546875" customWidth="1"/>
    <col min="6374" max="6374" width="21" customWidth="1"/>
    <col min="6375" max="6375" width="10.5546875" customWidth="1"/>
    <col min="6620" max="6622" width="11.5546875" customWidth="1"/>
    <col min="6623" max="6623" width="1" customWidth="1"/>
    <col min="6624" max="6625" width="11.5546875" customWidth="1"/>
    <col min="6626" max="6626" width="1" customWidth="1"/>
    <col min="6627" max="6627" width="10.77734375" customWidth="1"/>
    <col min="6628" max="6628" width="11.5546875" customWidth="1"/>
    <col min="6630" max="6630" width="21" customWidth="1"/>
    <col min="6631" max="6631" width="10.5546875" customWidth="1"/>
    <col min="6876" max="6878" width="11.5546875" customWidth="1"/>
    <col min="6879" max="6879" width="1" customWidth="1"/>
    <col min="6880" max="6881" width="11.5546875" customWidth="1"/>
    <col min="6882" max="6882" width="1" customWidth="1"/>
    <col min="6883" max="6883" width="10.77734375" customWidth="1"/>
    <col min="6884" max="6884" width="11.5546875" customWidth="1"/>
    <col min="6886" max="6886" width="21" customWidth="1"/>
    <col min="6887" max="6887" width="10.5546875" customWidth="1"/>
    <col min="7132" max="7134" width="11.5546875" customWidth="1"/>
    <col min="7135" max="7135" width="1" customWidth="1"/>
    <col min="7136" max="7137" width="11.5546875" customWidth="1"/>
    <col min="7138" max="7138" width="1" customWidth="1"/>
    <col min="7139" max="7139" width="10.77734375" customWidth="1"/>
    <col min="7140" max="7140" width="11.5546875" customWidth="1"/>
    <col min="7142" max="7142" width="21" customWidth="1"/>
    <col min="7143" max="7143" width="10.5546875" customWidth="1"/>
    <col min="7388" max="7390" width="11.5546875" customWidth="1"/>
    <col min="7391" max="7391" width="1" customWidth="1"/>
    <col min="7392" max="7393" width="11.5546875" customWidth="1"/>
    <col min="7394" max="7394" width="1" customWidth="1"/>
    <col min="7395" max="7395" width="10.77734375" customWidth="1"/>
    <col min="7396" max="7396" width="11.5546875" customWidth="1"/>
    <col min="7398" max="7398" width="21" customWidth="1"/>
    <col min="7399" max="7399" width="10.5546875" customWidth="1"/>
    <col min="7644" max="7646" width="11.5546875" customWidth="1"/>
    <col min="7647" max="7647" width="1" customWidth="1"/>
    <col min="7648" max="7649" width="11.5546875" customWidth="1"/>
    <col min="7650" max="7650" width="1" customWidth="1"/>
    <col min="7651" max="7651" width="10.77734375" customWidth="1"/>
    <col min="7652" max="7652" width="11.5546875" customWidth="1"/>
    <col min="7654" max="7654" width="21" customWidth="1"/>
    <col min="7655" max="7655" width="10.5546875" customWidth="1"/>
    <col min="7900" max="7902" width="11.5546875" customWidth="1"/>
    <col min="7903" max="7903" width="1" customWidth="1"/>
    <col min="7904" max="7905" width="11.5546875" customWidth="1"/>
    <col min="7906" max="7906" width="1" customWidth="1"/>
    <col min="7907" max="7907" width="10.77734375" customWidth="1"/>
    <col min="7908" max="7908" width="11.5546875" customWidth="1"/>
    <col min="7910" max="7910" width="21" customWidth="1"/>
    <col min="7911" max="7911" width="10.5546875" customWidth="1"/>
    <col min="8156" max="8158" width="11.5546875" customWidth="1"/>
    <col min="8159" max="8159" width="1" customWidth="1"/>
    <col min="8160" max="8161" width="11.5546875" customWidth="1"/>
    <col min="8162" max="8162" width="1" customWidth="1"/>
    <col min="8163" max="8163" width="10.77734375" customWidth="1"/>
    <col min="8164" max="8164" width="11.5546875" customWidth="1"/>
    <col min="8166" max="8166" width="21" customWidth="1"/>
    <col min="8167" max="8167" width="10.5546875" customWidth="1"/>
    <col min="8412" max="8414" width="11.5546875" customWidth="1"/>
    <col min="8415" max="8415" width="1" customWidth="1"/>
    <col min="8416" max="8417" width="11.5546875" customWidth="1"/>
    <col min="8418" max="8418" width="1" customWidth="1"/>
    <col min="8419" max="8419" width="10.77734375" customWidth="1"/>
    <col min="8420" max="8420" width="11.5546875" customWidth="1"/>
    <col min="8422" max="8422" width="21" customWidth="1"/>
    <col min="8423" max="8423" width="10.5546875" customWidth="1"/>
    <col min="8668" max="8670" width="11.5546875" customWidth="1"/>
    <col min="8671" max="8671" width="1" customWidth="1"/>
    <col min="8672" max="8673" width="11.5546875" customWidth="1"/>
    <col min="8674" max="8674" width="1" customWidth="1"/>
    <col min="8675" max="8675" width="10.77734375" customWidth="1"/>
    <col min="8676" max="8676" width="11.5546875" customWidth="1"/>
    <col min="8678" max="8678" width="21" customWidth="1"/>
    <col min="8679" max="8679" width="10.5546875" customWidth="1"/>
    <col min="8924" max="8926" width="11.5546875" customWidth="1"/>
    <col min="8927" max="8927" width="1" customWidth="1"/>
    <col min="8928" max="8929" width="11.5546875" customWidth="1"/>
    <col min="8930" max="8930" width="1" customWidth="1"/>
    <col min="8931" max="8931" width="10.77734375" customWidth="1"/>
    <col min="8932" max="8932" width="11.5546875" customWidth="1"/>
    <col min="8934" max="8934" width="21" customWidth="1"/>
    <col min="8935" max="8935" width="10.5546875" customWidth="1"/>
    <col min="9180" max="9182" width="11.5546875" customWidth="1"/>
    <col min="9183" max="9183" width="1" customWidth="1"/>
    <col min="9184" max="9185" width="11.5546875" customWidth="1"/>
    <col min="9186" max="9186" width="1" customWidth="1"/>
    <col min="9187" max="9187" width="10.77734375" customWidth="1"/>
    <col min="9188" max="9188" width="11.5546875" customWidth="1"/>
    <col min="9190" max="9190" width="21" customWidth="1"/>
    <col min="9191" max="9191" width="10.5546875" customWidth="1"/>
    <col min="9436" max="9438" width="11.5546875" customWidth="1"/>
    <col min="9439" max="9439" width="1" customWidth="1"/>
    <col min="9440" max="9441" width="11.5546875" customWidth="1"/>
    <col min="9442" max="9442" width="1" customWidth="1"/>
    <col min="9443" max="9443" width="10.77734375" customWidth="1"/>
    <col min="9444" max="9444" width="11.5546875" customWidth="1"/>
    <col min="9446" max="9446" width="21" customWidth="1"/>
    <col min="9447" max="9447" width="10.5546875" customWidth="1"/>
    <col min="9692" max="9694" width="11.5546875" customWidth="1"/>
    <col min="9695" max="9695" width="1" customWidth="1"/>
    <col min="9696" max="9697" width="11.5546875" customWidth="1"/>
    <col min="9698" max="9698" width="1" customWidth="1"/>
    <col min="9699" max="9699" width="10.77734375" customWidth="1"/>
    <col min="9700" max="9700" width="11.5546875" customWidth="1"/>
    <col min="9702" max="9702" width="21" customWidth="1"/>
    <col min="9703" max="9703" width="10.5546875" customWidth="1"/>
    <col min="9948" max="9950" width="11.5546875" customWidth="1"/>
    <col min="9951" max="9951" width="1" customWidth="1"/>
    <col min="9952" max="9953" width="11.5546875" customWidth="1"/>
    <col min="9954" max="9954" width="1" customWidth="1"/>
    <col min="9955" max="9955" width="10.77734375" customWidth="1"/>
    <col min="9956" max="9956" width="11.5546875" customWidth="1"/>
    <col min="9958" max="9958" width="21" customWidth="1"/>
    <col min="9959" max="9959" width="10.5546875" customWidth="1"/>
    <col min="10204" max="10206" width="11.5546875" customWidth="1"/>
    <col min="10207" max="10207" width="1" customWidth="1"/>
    <col min="10208" max="10209" width="11.5546875" customWidth="1"/>
    <col min="10210" max="10210" width="1" customWidth="1"/>
    <col min="10211" max="10211" width="10.77734375" customWidth="1"/>
    <col min="10212" max="10212" width="11.5546875" customWidth="1"/>
    <col min="10214" max="10214" width="21" customWidth="1"/>
    <col min="10215" max="10215" width="10.5546875" customWidth="1"/>
    <col min="10460" max="10462" width="11.5546875" customWidth="1"/>
    <col min="10463" max="10463" width="1" customWidth="1"/>
    <col min="10464" max="10465" width="11.5546875" customWidth="1"/>
    <col min="10466" max="10466" width="1" customWidth="1"/>
    <col min="10467" max="10467" width="10.77734375" customWidth="1"/>
    <col min="10468" max="10468" width="11.5546875" customWidth="1"/>
    <col min="10470" max="10470" width="21" customWidth="1"/>
    <col min="10471" max="10471" width="10.5546875" customWidth="1"/>
    <col min="10716" max="10718" width="11.5546875" customWidth="1"/>
    <col min="10719" max="10719" width="1" customWidth="1"/>
    <col min="10720" max="10721" width="11.5546875" customWidth="1"/>
    <col min="10722" max="10722" width="1" customWidth="1"/>
    <col min="10723" max="10723" width="10.77734375" customWidth="1"/>
    <col min="10724" max="10724" width="11.5546875" customWidth="1"/>
    <col min="10726" max="10726" width="21" customWidth="1"/>
    <col min="10727" max="10727" width="10.5546875" customWidth="1"/>
    <col min="10972" max="10974" width="11.5546875" customWidth="1"/>
    <col min="10975" max="10975" width="1" customWidth="1"/>
    <col min="10976" max="10977" width="11.5546875" customWidth="1"/>
    <col min="10978" max="10978" width="1" customWidth="1"/>
    <col min="10979" max="10979" width="10.77734375" customWidth="1"/>
    <col min="10980" max="10980" width="11.5546875" customWidth="1"/>
    <col min="10982" max="10982" width="21" customWidth="1"/>
    <col min="10983" max="10983" width="10.5546875" customWidth="1"/>
    <col min="11228" max="11230" width="11.5546875" customWidth="1"/>
    <col min="11231" max="11231" width="1" customWidth="1"/>
    <col min="11232" max="11233" width="11.5546875" customWidth="1"/>
    <col min="11234" max="11234" width="1" customWidth="1"/>
    <col min="11235" max="11235" width="10.77734375" customWidth="1"/>
    <col min="11236" max="11236" width="11.5546875" customWidth="1"/>
    <col min="11238" max="11238" width="21" customWidth="1"/>
    <col min="11239" max="11239" width="10.5546875" customWidth="1"/>
    <col min="11484" max="11486" width="11.5546875" customWidth="1"/>
    <col min="11487" max="11487" width="1" customWidth="1"/>
    <col min="11488" max="11489" width="11.5546875" customWidth="1"/>
    <col min="11490" max="11490" width="1" customWidth="1"/>
    <col min="11491" max="11491" width="10.77734375" customWidth="1"/>
    <col min="11492" max="11492" width="11.5546875" customWidth="1"/>
    <col min="11494" max="11494" width="21" customWidth="1"/>
    <col min="11495" max="11495" width="10.5546875" customWidth="1"/>
    <col min="11740" max="11742" width="11.5546875" customWidth="1"/>
    <col min="11743" max="11743" width="1" customWidth="1"/>
    <col min="11744" max="11745" width="11.5546875" customWidth="1"/>
    <col min="11746" max="11746" width="1" customWidth="1"/>
    <col min="11747" max="11747" width="10.77734375" customWidth="1"/>
    <col min="11748" max="11748" width="11.5546875" customWidth="1"/>
    <col min="11750" max="11750" width="21" customWidth="1"/>
    <col min="11751" max="11751" width="10.5546875" customWidth="1"/>
    <col min="11996" max="11998" width="11.5546875" customWidth="1"/>
    <col min="11999" max="11999" width="1" customWidth="1"/>
    <col min="12000" max="12001" width="11.5546875" customWidth="1"/>
    <col min="12002" max="12002" width="1" customWidth="1"/>
    <col min="12003" max="12003" width="10.77734375" customWidth="1"/>
    <col min="12004" max="12004" width="11.5546875" customWidth="1"/>
    <col min="12006" max="12006" width="21" customWidth="1"/>
    <col min="12007" max="12007" width="10.5546875" customWidth="1"/>
    <col min="12252" max="12254" width="11.5546875" customWidth="1"/>
    <col min="12255" max="12255" width="1" customWidth="1"/>
    <col min="12256" max="12257" width="11.5546875" customWidth="1"/>
    <col min="12258" max="12258" width="1" customWidth="1"/>
    <col min="12259" max="12259" width="10.77734375" customWidth="1"/>
    <col min="12260" max="12260" width="11.5546875" customWidth="1"/>
    <col min="12262" max="12262" width="21" customWidth="1"/>
    <col min="12263" max="12263" width="10.5546875" customWidth="1"/>
    <col min="12508" max="12510" width="11.5546875" customWidth="1"/>
    <col min="12511" max="12511" width="1" customWidth="1"/>
    <col min="12512" max="12513" width="11.5546875" customWidth="1"/>
    <col min="12514" max="12514" width="1" customWidth="1"/>
    <col min="12515" max="12515" width="10.77734375" customWidth="1"/>
    <col min="12516" max="12516" width="11.5546875" customWidth="1"/>
    <col min="12518" max="12518" width="21" customWidth="1"/>
    <col min="12519" max="12519" width="10.5546875" customWidth="1"/>
    <col min="12764" max="12766" width="11.5546875" customWidth="1"/>
    <col min="12767" max="12767" width="1" customWidth="1"/>
    <col min="12768" max="12769" width="11.5546875" customWidth="1"/>
    <col min="12770" max="12770" width="1" customWidth="1"/>
    <col min="12771" max="12771" width="10.77734375" customWidth="1"/>
    <col min="12772" max="12772" width="11.5546875" customWidth="1"/>
    <col min="12774" max="12774" width="21" customWidth="1"/>
    <col min="12775" max="12775" width="10.5546875" customWidth="1"/>
    <col min="13020" max="13022" width="11.5546875" customWidth="1"/>
    <col min="13023" max="13023" width="1" customWidth="1"/>
    <col min="13024" max="13025" width="11.5546875" customWidth="1"/>
    <col min="13026" max="13026" width="1" customWidth="1"/>
    <col min="13027" max="13027" width="10.77734375" customWidth="1"/>
    <col min="13028" max="13028" width="11.5546875" customWidth="1"/>
    <col min="13030" max="13030" width="21" customWidth="1"/>
    <col min="13031" max="13031" width="10.5546875" customWidth="1"/>
    <col min="13276" max="13278" width="11.5546875" customWidth="1"/>
    <col min="13279" max="13279" width="1" customWidth="1"/>
    <col min="13280" max="13281" width="11.5546875" customWidth="1"/>
    <col min="13282" max="13282" width="1" customWidth="1"/>
    <col min="13283" max="13283" width="10.77734375" customWidth="1"/>
    <col min="13284" max="13284" width="11.5546875" customWidth="1"/>
    <col min="13286" max="13286" width="21" customWidth="1"/>
    <col min="13287" max="13287" width="10.5546875" customWidth="1"/>
    <col min="13532" max="13534" width="11.5546875" customWidth="1"/>
    <col min="13535" max="13535" width="1" customWidth="1"/>
    <col min="13536" max="13537" width="11.5546875" customWidth="1"/>
    <col min="13538" max="13538" width="1" customWidth="1"/>
    <col min="13539" max="13539" width="10.77734375" customWidth="1"/>
    <col min="13540" max="13540" width="11.5546875" customWidth="1"/>
    <col min="13542" max="13542" width="21" customWidth="1"/>
    <col min="13543" max="13543" width="10.5546875" customWidth="1"/>
    <col min="13788" max="13790" width="11.5546875" customWidth="1"/>
    <col min="13791" max="13791" width="1" customWidth="1"/>
    <col min="13792" max="13793" width="11.5546875" customWidth="1"/>
    <col min="13794" max="13794" width="1" customWidth="1"/>
    <col min="13795" max="13795" width="10.77734375" customWidth="1"/>
    <col min="13796" max="13796" width="11.5546875" customWidth="1"/>
    <col min="13798" max="13798" width="21" customWidth="1"/>
    <col min="13799" max="13799" width="10.5546875" customWidth="1"/>
    <col min="14044" max="14046" width="11.5546875" customWidth="1"/>
    <col min="14047" max="14047" width="1" customWidth="1"/>
    <col min="14048" max="14049" width="11.5546875" customWidth="1"/>
    <col min="14050" max="14050" width="1" customWidth="1"/>
    <col min="14051" max="14051" width="10.77734375" customWidth="1"/>
    <col min="14052" max="14052" width="11.5546875" customWidth="1"/>
    <col min="14054" max="14054" width="21" customWidth="1"/>
    <col min="14055" max="14055" width="10.5546875" customWidth="1"/>
    <col min="14300" max="14302" width="11.5546875" customWidth="1"/>
    <col min="14303" max="14303" width="1" customWidth="1"/>
    <col min="14304" max="14305" width="11.5546875" customWidth="1"/>
    <col min="14306" max="14306" width="1" customWidth="1"/>
    <col min="14307" max="14307" width="10.77734375" customWidth="1"/>
    <col min="14308" max="14308" width="11.5546875" customWidth="1"/>
    <col min="14310" max="14310" width="21" customWidth="1"/>
    <col min="14311" max="14311" width="10.5546875" customWidth="1"/>
    <col min="14556" max="14558" width="11.5546875" customWidth="1"/>
    <col min="14559" max="14559" width="1" customWidth="1"/>
    <col min="14560" max="14561" width="11.5546875" customWidth="1"/>
    <col min="14562" max="14562" width="1" customWidth="1"/>
    <col min="14563" max="14563" width="10.77734375" customWidth="1"/>
    <col min="14564" max="14564" width="11.5546875" customWidth="1"/>
    <col min="14566" max="14566" width="21" customWidth="1"/>
    <col min="14567" max="14567" width="10.5546875" customWidth="1"/>
    <col min="14812" max="14814" width="11.5546875" customWidth="1"/>
    <col min="14815" max="14815" width="1" customWidth="1"/>
    <col min="14816" max="14817" width="11.5546875" customWidth="1"/>
    <col min="14818" max="14818" width="1" customWidth="1"/>
    <col min="14819" max="14819" width="10.77734375" customWidth="1"/>
    <col min="14820" max="14820" width="11.5546875" customWidth="1"/>
    <col min="14822" max="14822" width="21" customWidth="1"/>
    <col min="14823" max="14823" width="10.5546875" customWidth="1"/>
    <col min="15068" max="15070" width="11.5546875" customWidth="1"/>
    <col min="15071" max="15071" width="1" customWidth="1"/>
    <col min="15072" max="15073" width="11.5546875" customWidth="1"/>
    <col min="15074" max="15074" width="1" customWidth="1"/>
    <col min="15075" max="15075" width="10.77734375" customWidth="1"/>
    <col min="15076" max="15076" width="11.5546875" customWidth="1"/>
    <col min="15078" max="15078" width="21" customWidth="1"/>
    <col min="15079" max="15079" width="10.5546875" customWidth="1"/>
    <col min="15324" max="15326" width="11.5546875" customWidth="1"/>
    <col min="15327" max="15327" width="1" customWidth="1"/>
    <col min="15328" max="15329" width="11.5546875" customWidth="1"/>
    <col min="15330" max="15330" width="1" customWidth="1"/>
    <col min="15331" max="15331" width="10.77734375" customWidth="1"/>
    <col min="15332" max="15332" width="11.5546875" customWidth="1"/>
    <col min="15334" max="15334" width="21" customWidth="1"/>
    <col min="15335" max="15335" width="10.5546875" customWidth="1"/>
    <col min="15580" max="15582" width="11.5546875" customWidth="1"/>
    <col min="15583" max="15583" width="1" customWidth="1"/>
    <col min="15584" max="15585" width="11.5546875" customWidth="1"/>
    <col min="15586" max="15586" width="1" customWidth="1"/>
    <col min="15587" max="15587" width="10.77734375" customWidth="1"/>
    <col min="15588" max="15588" width="11.5546875" customWidth="1"/>
    <col min="15590" max="15590" width="21" customWidth="1"/>
    <col min="15591" max="15591" width="10.5546875" customWidth="1"/>
    <col min="15836" max="15838" width="11.5546875" customWidth="1"/>
    <col min="15839" max="15839" width="1" customWidth="1"/>
    <col min="15840" max="15841" width="11.5546875" customWidth="1"/>
    <col min="15842" max="15842" width="1" customWidth="1"/>
    <col min="15843" max="15843" width="10.77734375" customWidth="1"/>
    <col min="15844" max="15844" width="11.5546875" customWidth="1"/>
    <col min="15846" max="15846" width="21" customWidth="1"/>
    <col min="15847" max="15847" width="10.5546875" customWidth="1"/>
    <col min="16092" max="16094" width="11.5546875" customWidth="1"/>
    <col min="16095" max="16095" width="1" customWidth="1"/>
    <col min="16096" max="16097" width="11.5546875" customWidth="1"/>
    <col min="16098" max="16098" width="1" customWidth="1"/>
    <col min="16099" max="16099" width="10.77734375" customWidth="1"/>
    <col min="16100" max="16100" width="11.5546875" customWidth="1"/>
    <col min="16102" max="16102" width="21" customWidth="1"/>
    <col min="16103" max="16103" width="10.5546875" customWidth="1"/>
  </cols>
  <sheetData>
    <row r="1" spans="1:11" ht="17.25" customHeight="1" thickBot="1" x14ac:dyDescent="0.3">
      <c r="A1" s="138" t="s">
        <v>352</v>
      </c>
      <c r="H1" s="138" t="s">
        <v>330</v>
      </c>
    </row>
    <row r="2" spans="1:11" ht="33.75" customHeight="1" thickTop="1" x14ac:dyDescent="0.3">
      <c r="A2" s="142"/>
      <c r="B2" s="142"/>
      <c r="C2" s="146" t="s">
        <v>310</v>
      </c>
      <c r="D2" s="146" t="s">
        <v>332</v>
      </c>
      <c r="E2" s="150" t="s">
        <v>333</v>
      </c>
      <c r="H2" s="63" t="s">
        <v>37</v>
      </c>
      <c r="I2" s="98">
        <v>2020</v>
      </c>
      <c r="J2" s="98">
        <v>2021</v>
      </c>
      <c r="K2" s="98">
        <v>2022</v>
      </c>
    </row>
    <row r="3" spans="1:11" ht="12" customHeight="1" x14ac:dyDescent="0.3">
      <c r="A3" t="s">
        <v>360</v>
      </c>
      <c r="H3" s="68" t="s">
        <v>329</v>
      </c>
      <c r="I3" s="22">
        <v>580.0095</v>
      </c>
      <c r="J3" s="22">
        <v>323.09300000000002</v>
      </c>
      <c r="K3" s="22">
        <v>27.69042</v>
      </c>
    </row>
    <row r="4" spans="1:11" ht="12" customHeight="1" x14ac:dyDescent="0.3">
      <c r="B4" s="138" t="s">
        <v>174</v>
      </c>
      <c r="C4" s="147">
        <f>I3</f>
        <v>580.0095</v>
      </c>
      <c r="D4" s="147">
        <f>I4</f>
        <v>219.97290000000001</v>
      </c>
      <c r="E4" s="147">
        <f>C4-D4</f>
        <v>360.03660000000002</v>
      </c>
      <c r="H4" s="68" t="s">
        <v>244</v>
      </c>
      <c r="I4" s="22">
        <v>219.97290000000001</v>
      </c>
      <c r="J4" s="22">
        <v>89.520390000000006</v>
      </c>
      <c r="K4" s="22">
        <v>16.3</v>
      </c>
    </row>
    <row r="5" spans="1:11" ht="12" customHeight="1" x14ac:dyDescent="0.3">
      <c r="B5" s="138" t="s">
        <v>320</v>
      </c>
      <c r="C5" s="147">
        <f>J7</f>
        <v>164.6893</v>
      </c>
      <c r="D5" s="147">
        <f>K7</f>
        <v>66.942070000000001</v>
      </c>
      <c r="E5" s="147">
        <f t="shared" ref="E5:E9" si="0">C5-D5</f>
        <v>97.747230000000002</v>
      </c>
      <c r="H5" s="68"/>
      <c r="I5" s="69"/>
      <c r="J5" s="69"/>
      <c r="K5" s="69"/>
    </row>
    <row r="6" spans="1:11" ht="12" customHeight="1" x14ac:dyDescent="0.25">
      <c r="B6" s="138" t="s">
        <v>321</v>
      </c>
      <c r="C6" s="147">
        <f t="shared" ref="C6:D6" si="1">J8</f>
        <v>128.80420000000001</v>
      </c>
      <c r="D6" s="147">
        <f t="shared" si="1"/>
        <v>46.423859999999998</v>
      </c>
      <c r="E6" s="149">
        <f t="shared" si="0"/>
        <v>82.380340000000018</v>
      </c>
      <c r="H6" t="s">
        <v>326</v>
      </c>
      <c r="I6" t="s">
        <v>345</v>
      </c>
      <c r="J6" t="s">
        <v>327</v>
      </c>
      <c r="K6" t="s">
        <v>328</v>
      </c>
    </row>
    <row r="7" spans="1:11" ht="12" customHeight="1" x14ac:dyDescent="0.25">
      <c r="B7" s="138" t="s">
        <v>322</v>
      </c>
      <c r="C7" s="147">
        <f t="shared" ref="C7:D7" si="2">J9</f>
        <v>115.0419</v>
      </c>
      <c r="D7" s="147">
        <f t="shared" si="2"/>
        <v>42.906959999999998</v>
      </c>
      <c r="E7" s="147">
        <f t="shared" si="0"/>
        <v>72.13494</v>
      </c>
      <c r="H7">
        <v>2020</v>
      </c>
      <c r="I7">
        <v>1</v>
      </c>
      <c r="J7">
        <v>164.6893</v>
      </c>
      <c r="K7">
        <v>66.942070000000001</v>
      </c>
    </row>
    <row r="8" spans="1:11" ht="12.75" customHeight="1" x14ac:dyDescent="0.25">
      <c r="B8" s="138" t="s">
        <v>323</v>
      </c>
      <c r="C8" s="147">
        <f t="shared" ref="C8:D8" si="3">J10</f>
        <v>97.942779999999999</v>
      </c>
      <c r="D8" s="147">
        <f t="shared" si="3"/>
        <v>37.320790000000002</v>
      </c>
      <c r="E8" s="147">
        <f t="shared" si="0"/>
        <v>60.621989999999997</v>
      </c>
      <c r="H8">
        <v>2020</v>
      </c>
      <c r="I8">
        <v>2</v>
      </c>
      <c r="J8">
        <v>128.80420000000001</v>
      </c>
      <c r="K8">
        <v>46.423859999999998</v>
      </c>
    </row>
    <row r="9" spans="1:11" ht="15" customHeight="1" x14ac:dyDescent="0.25">
      <c r="B9" s="138" t="s">
        <v>346</v>
      </c>
      <c r="C9" s="147">
        <f t="shared" ref="C9:D9" si="4">J11</f>
        <v>73.531239999999997</v>
      </c>
      <c r="D9" s="147">
        <f t="shared" si="4"/>
        <v>26.379249999999999</v>
      </c>
      <c r="E9" s="147">
        <f t="shared" si="0"/>
        <v>47.151989999999998</v>
      </c>
      <c r="H9">
        <v>2020</v>
      </c>
      <c r="I9">
        <v>3</v>
      </c>
      <c r="J9">
        <v>115.0419</v>
      </c>
      <c r="K9">
        <v>42.906959999999998</v>
      </c>
    </row>
    <row r="10" spans="1:11" x14ac:dyDescent="0.25">
      <c r="A10" t="s">
        <v>361</v>
      </c>
      <c r="C10" s="147"/>
      <c r="D10" s="147"/>
      <c r="E10" s="147"/>
      <c r="H10">
        <v>2020</v>
      </c>
      <c r="I10">
        <v>4</v>
      </c>
      <c r="J10">
        <v>97.942779999999999</v>
      </c>
      <c r="K10">
        <v>37.320790000000002</v>
      </c>
    </row>
    <row r="11" spans="1:11" x14ac:dyDescent="0.25">
      <c r="B11" s="138" t="s">
        <v>174</v>
      </c>
      <c r="C11" s="147">
        <f>J3</f>
        <v>323.09300000000002</v>
      </c>
      <c r="D11" s="147">
        <f>J4</f>
        <v>89.520390000000006</v>
      </c>
      <c r="E11" s="147">
        <f>C11-D11</f>
        <v>233.57261</v>
      </c>
      <c r="H11">
        <v>2020</v>
      </c>
      <c r="I11">
        <v>5</v>
      </c>
      <c r="J11">
        <v>73.531239999999997</v>
      </c>
      <c r="K11">
        <v>26.379249999999999</v>
      </c>
    </row>
    <row r="12" spans="1:11" x14ac:dyDescent="0.25">
      <c r="B12" s="138" t="s">
        <v>320</v>
      </c>
      <c r="C12" s="147">
        <f>J12</f>
        <v>94.149159999999995</v>
      </c>
      <c r="D12" s="147">
        <f>K12</f>
        <v>30.815660000000001</v>
      </c>
      <c r="E12" s="147">
        <f t="shared" ref="E12:E16" si="5">C12-D12</f>
        <v>63.333499999999994</v>
      </c>
      <c r="H12">
        <v>2021</v>
      </c>
      <c r="I12">
        <v>1</v>
      </c>
      <c r="J12">
        <v>94.149159999999995</v>
      </c>
      <c r="K12">
        <v>30.815660000000001</v>
      </c>
    </row>
    <row r="13" spans="1:11" x14ac:dyDescent="0.25">
      <c r="B13" s="138" t="s">
        <v>321</v>
      </c>
      <c r="C13" s="147">
        <f t="shared" ref="C13:C16" si="6">J13</f>
        <v>75.02825</v>
      </c>
      <c r="D13" s="147">
        <f t="shared" ref="D13:D16" si="7">K13</f>
        <v>19.730889999999999</v>
      </c>
      <c r="E13" s="147">
        <f t="shared" si="5"/>
        <v>55.297359999999998</v>
      </c>
      <c r="H13">
        <v>2021</v>
      </c>
      <c r="I13">
        <v>2</v>
      </c>
      <c r="J13">
        <v>75.02825</v>
      </c>
      <c r="K13">
        <v>19.730889999999999</v>
      </c>
    </row>
    <row r="14" spans="1:11" x14ac:dyDescent="0.25">
      <c r="B14" s="138" t="s">
        <v>322</v>
      </c>
      <c r="C14" s="147">
        <f t="shared" si="6"/>
        <v>58.75544</v>
      </c>
      <c r="D14" s="147">
        <f t="shared" si="7"/>
        <v>16.228069999999999</v>
      </c>
      <c r="E14" s="147">
        <f t="shared" si="5"/>
        <v>42.527370000000005</v>
      </c>
      <c r="H14">
        <v>2021</v>
      </c>
      <c r="I14">
        <v>3</v>
      </c>
      <c r="J14">
        <v>58.75544</v>
      </c>
      <c r="K14">
        <v>16.228069999999999</v>
      </c>
    </row>
    <row r="15" spans="1:11" x14ac:dyDescent="0.25">
      <c r="B15" s="138" t="s">
        <v>323</v>
      </c>
      <c r="C15" s="147">
        <f t="shared" si="6"/>
        <v>52.268700000000003</v>
      </c>
      <c r="D15" s="147">
        <f t="shared" si="7"/>
        <v>12.827059999999999</v>
      </c>
      <c r="E15" s="147">
        <f t="shared" si="5"/>
        <v>39.441640000000007</v>
      </c>
      <c r="H15">
        <v>2021</v>
      </c>
      <c r="I15">
        <v>4</v>
      </c>
      <c r="J15">
        <v>52.268700000000003</v>
      </c>
      <c r="K15">
        <v>12.827059999999999</v>
      </c>
    </row>
    <row r="16" spans="1:11" x14ac:dyDescent="0.25">
      <c r="B16" s="138" t="s">
        <v>346</v>
      </c>
      <c r="C16" s="147">
        <f t="shared" si="6"/>
        <v>42.891500000000001</v>
      </c>
      <c r="D16" s="147">
        <f t="shared" si="7"/>
        <v>9.9187220000000007</v>
      </c>
      <c r="E16" s="147">
        <f t="shared" si="5"/>
        <v>32.972777999999998</v>
      </c>
      <c r="H16">
        <v>2021</v>
      </c>
      <c r="I16">
        <v>5</v>
      </c>
      <c r="J16">
        <v>42.891500000000001</v>
      </c>
      <c r="K16">
        <v>9.9187220000000007</v>
      </c>
    </row>
    <row r="17" spans="1:11" x14ac:dyDescent="0.25">
      <c r="A17" s="138" t="s">
        <v>362</v>
      </c>
      <c r="C17" s="147"/>
      <c r="D17" s="147"/>
      <c r="E17" s="147"/>
      <c r="H17">
        <v>2022</v>
      </c>
      <c r="I17">
        <v>1</v>
      </c>
      <c r="J17">
        <v>5.503571</v>
      </c>
      <c r="K17">
        <v>3.8199139999999998</v>
      </c>
    </row>
    <row r="18" spans="1:11" x14ac:dyDescent="0.25">
      <c r="B18" s="138" t="s">
        <v>174</v>
      </c>
      <c r="C18" s="147">
        <f>K3</f>
        <v>27.69042</v>
      </c>
      <c r="D18" s="147">
        <f>K4</f>
        <v>16.3</v>
      </c>
      <c r="E18" s="147">
        <f>C18-D18</f>
        <v>11.390419999999999</v>
      </c>
      <c r="H18">
        <v>2022</v>
      </c>
      <c r="I18">
        <v>2</v>
      </c>
      <c r="J18">
        <v>7.0948969999999996</v>
      </c>
      <c r="K18">
        <v>3.4930720000000002</v>
      </c>
    </row>
    <row r="19" spans="1:11" x14ac:dyDescent="0.25">
      <c r="B19" s="138" t="s">
        <v>320</v>
      </c>
      <c r="C19" s="147">
        <f>J17</f>
        <v>5.503571</v>
      </c>
      <c r="D19" s="147">
        <f>K17</f>
        <v>3.8199139999999998</v>
      </c>
      <c r="E19" s="147">
        <f t="shared" ref="E19" si="8">C19-D19</f>
        <v>1.6836570000000002</v>
      </c>
      <c r="H19">
        <v>2022</v>
      </c>
      <c r="I19">
        <v>3</v>
      </c>
      <c r="J19">
        <v>5.4592929999999997</v>
      </c>
      <c r="K19">
        <v>3.5859329999999998</v>
      </c>
    </row>
    <row r="20" spans="1:11" x14ac:dyDescent="0.25">
      <c r="B20" s="138" t="s">
        <v>321</v>
      </c>
      <c r="C20" s="147">
        <f t="shared" ref="C20:D20" si="9">J18</f>
        <v>7.0948969999999996</v>
      </c>
      <c r="D20" s="147">
        <f t="shared" si="9"/>
        <v>3.4930720000000002</v>
      </c>
      <c r="E20" s="147">
        <f t="shared" ref="E20:E23" si="10">C20-D20</f>
        <v>3.6018249999999994</v>
      </c>
      <c r="H20">
        <v>2022</v>
      </c>
      <c r="I20">
        <v>4</v>
      </c>
      <c r="J20">
        <v>5.1280140000000003</v>
      </c>
      <c r="K20">
        <v>3.3042929999999999</v>
      </c>
    </row>
    <row r="21" spans="1:11" x14ac:dyDescent="0.25">
      <c r="B21" s="138" t="s">
        <v>322</v>
      </c>
      <c r="C21" s="147">
        <f t="shared" ref="C21:D21" si="11">J19</f>
        <v>5.4592929999999997</v>
      </c>
      <c r="D21" s="147">
        <f t="shared" si="11"/>
        <v>3.5859329999999998</v>
      </c>
      <c r="E21" s="147">
        <f t="shared" si="10"/>
        <v>1.8733599999999999</v>
      </c>
      <c r="H21">
        <v>2022</v>
      </c>
      <c r="I21">
        <v>5</v>
      </c>
      <c r="J21">
        <v>4.5046410000000003</v>
      </c>
      <c r="K21">
        <v>2.0883409999999998</v>
      </c>
    </row>
    <row r="22" spans="1:11" x14ac:dyDescent="0.25">
      <c r="B22" s="138" t="s">
        <v>323</v>
      </c>
      <c r="C22" s="147">
        <f t="shared" ref="C22:D22" si="12">J20</f>
        <v>5.1280140000000003</v>
      </c>
      <c r="D22" s="147">
        <f t="shared" si="12"/>
        <v>3.3042929999999999</v>
      </c>
      <c r="E22" s="147">
        <f t="shared" si="10"/>
        <v>1.8237210000000004</v>
      </c>
    </row>
    <row r="23" spans="1:11" x14ac:dyDescent="0.25">
      <c r="A23" s="144"/>
      <c r="B23" s="145" t="s">
        <v>346</v>
      </c>
      <c r="C23" s="147">
        <f t="shared" ref="C23:D23" si="13">J21</f>
        <v>4.5046410000000003</v>
      </c>
      <c r="D23" s="147">
        <f t="shared" si="13"/>
        <v>2.0883409999999998</v>
      </c>
      <c r="E23" s="147">
        <f t="shared" si="10"/>
        <v>2.4163000000000006</v>
      </c>
    </row>
    <row r="24" spans="1:11" ht="12.75" customHeight="1" x14ac:dyDescent="0.25">
      <c r="A24" s="175" t="s">
        <v>359</v>
      </c>
      <c r="B24" s="175"/>
      <c r="C24" s="175"/>
      <c r="D24" s="175"/>
      <c r="E24" s="175"/>
    </row>
    <row r="25" spans="1:11" x14ac:dyDescent="0.25">
      <c r="A25" s="152"/>
      <c r="B25" s="152"/>
      <c r="C25" s="152"/>
      <c r="D25" s="152"/>
      <c r="E25" s="152"/>
    </row>
    <row r="26" spans="1:11" x14ac:dyDescent="0.25">
      <c r="A26" s="152"/>
      <c r="B26" s="152"/>
      <c r="C26" s="152"/>
      <c r="D26" s="152"/>
      <c r="E26" s="152"/>
    </row>
    <row r="27" spans="1:11" x14ac:dyDescent="0.25">
      <c r="A27" s="152"/>
      <c r="B27" s="152"/>
      <c r="C27" s="152"/>
      <c r="D27" s="152"/>
      <c r="E27" s="152"/>
    </row>
    <row r="33" spans="3:4" x14ac:dyDescent="0.25">
      <c r="C33" s="143"/>
      <c r="D33" s="143"/>
    </row>
    <row r="34" spans="3:4" x14ac:dyDescent="0.25">
      <c r="C34" s="143"/>
      <c r="D34" s="143"/>
    </row>
    <row r="50" spans="1:5" ht="13.8" thickBot="1" x14ac:dyDescent="0.3">
      <c r="A50" s="138" t="s">
        <v>324</v>
      </c>
      <c r="B50" s="9"/>
      <c r="C50" s="9"/>
    </row>
    <row r="51" spans="1:5" ht="13.8" thickTop="1" x14ac:dyDescent="0.25">
      <c r="A51" s="110" t="s">
        <v>37</v>
      </c>
      <c r="B51" s="110"/>
      <c r="C51" s="139">
        <v>2020</v>
      </c>
      <c r="D51" s="139">
        <v>2021</v>
      </c>
      <c r="E51" s="139">
        <v>2022</v>
      </c>
    </row>
    <row r="52" spans="1:5" x14ac:dyDescent="0.25">
      <c r="A52" s="138" t="s">
        <v>329</v>
      </c>
    </row>
    <row r="53" spans="1:5" x14ac:dyDescent="0.25">
      <c r="B53" s="138" t="s">
        <v>174</v>
      </c>
      <c r="C53" s="140">
        <f>I3</f>
        <v>580.0095</v>
      </c>
      <c r="D53" s="140">
        <f>J3</f>
        <v>323.09300000000002</v>
      </c>
      <c r="E53" s="140">
        <f>K3</f>
        <v>27.69042</v>
      </c>
    </row>
    <row r="54" spans="1:5" x14ac:dyDescent="0.25">
      <c r="B54" s="138" t="s">
        <v>320</v>
      </c>
      <c r="C54" s="140">
        <f>J7</f>
        <v>164.6893</v>
      </c>
      <c r="D54" s="140">
        <f>J11</f>
        <v>73.531239999999997</v>
      </c>
      <c r="E54" s="140">
        <f>J15</f>
        <v>52.268700000000003</v>
      </c>
    </row>
    <row r="55" spans="1:5" x14ac:dyDescent="0.25">
      <c r="B55" s="138" t="s">
        <v>321</v>
      </c>
      <c r="C55" s="140">
        <f>J8</f>
        <v>128.80420000000001</v>
      </c>
      <c r="D55" s="140">
        <f>J12</f>
        <v>94.149159999999995</v>
      </c>
      <c r="E55" s="140">
        <f>J16</f>
        <v>42.891500000000001</v>
      </c>
    </row>
    <row r="56" spans="1:5" x14ac:dyDescent="0.25">
      <c r="B56" s="138" t="s">
        <v>322</v>
      </c>
      <c r="C56" s="140">
        <f>J9</f>
        <v>115.0419</v>
      </c>
      <c r="D56" s="140">
        <f>J13</f>
        <v>75.02825</v>
      </c>
      <c r="E56" s="140">
        <f>J17</f>
        <v>5.503571</v>
      </c>
    </row>
    <row r="57" spans="1:5" x14ac:dyDescent="0.25">
      <c r="B57" s="138" t="s">
        <v>323</v>
      </c>
      <c r="C57" s="140">
        <f>J10</f>
        <v>97.942779999999999</v>
      </c>
      <c r="D57" s="140">
        <f>J14</f>
        <v>58.75544</v>
      </c>
      <c r="E57" s="140">
        <f>J18</f>
        <v>7.0948969999999996</v>
      </c>
    </row>
    <row r="58" spans="1:5" x14ac:dyDescent="0.25">
      <c r="A58" s="138" t="s">
        <v>331</v>
      </c>
      <c r="C58" s="140"/>
      <c r="D58" s="140"/>
      <c r="E58" s="140"/>
    </row>
    <row r="59" spans="1:5" x14ac:dyDescent="0.25">
      <c r="B59" s="138" t="s">
        <v>320</v>
      </c>
      <c r="C59" s="141">
        <f>C54/$C$53</f>
        <v>0.28394241818452975</v>
      </c>
      <c r="D59" s="141">
        <f>D54/$D$53</f>
        <v>0.22758537015658029</v>
      </c>
      <c r="E59" s="141">
        <f>E54/$E$53</f>
        <v>1.8876095053812836</v>
      </c>
    </row>
    <row r="60" spans="1:5" x14ac:dyDescent="0.25">
      <c r="B60" s="138" t="s">
        <v>321</v>
      </c>
      <c r="C60" s="141">
        <f>C55/$C$53</f>
        <v>0.22207256950101681</v>
      </c>
      <c r="D60" s="141">
        <f>D55/$D$53</f>
        <v>0.29139956606921225</v>
      </c>
      <c r="E60" s="141">
        <f>E55/$E$53</f>
        <v>1.5489653100241889</v>
      </c>
    </row>
    <row r="61" spans="1:5" x14ac:dyDescent="0.25">
      <c r="B61" s="138" t="s">
        <v>322</v>
      </c>
      <c r="C61" s="141">
        <f>C56/$C$53</f>
        <v>0.1983448546963455</v>
      </c>
      <c r="D61" s="141">
        <f>D56/$D$53</f>
        <v>0.23221874197212566</v>
      </c>
      <c r="E61" s="141">
        <f>E56/$E$53</f>
        <v>0.19875361226012461</v>
      </c>
    </row>
    <row r="62" spans="1:5" x14ac:dyDescent="0.25">
      <c r="B62" s="138" t="s">
        <v>323</v>
      </c>
      <c r="C62" s="141">
        <f>C57/$C$53</f>
        <v>0.1688640961915279</v>
      </c>
      <c r="D62" s="141">
        <f>D57/$D$53</f>
        <v>0.18185302683747404</v>
      </c>
      <c r="E62" s="141">
        <f>E57/$E$53</f>
        <v>0.25622207969398803</v>
      </c>
    </row>
    <row r="63" spans="1:5" x14ac:dyDescent="0.25">
      <c r="A63" s="175" t="s">
        <v>325</v>
      </c>
      <c r="B63" s="175"/>
      <c r="C63" s="175"/>
      <c r="D63" s="175"/>
      <c r="E63" s="175"/>
    </row>
    <row r="64" spans="1:5" x14ac:dyDescent="0.25">
      <c r="A64" s="152"/>
      <c r="B64" s="152"/>
      <c r="C64" s="152"/>
      <c r="D64" s="152"/>
      <c r="E64" s="152"/>
    </row>
  </sheetData>
  <mergeCells count="2">
    <mergeCell ref="A63:E64"/>
    <mergeCell ref="A24:E27"/>
  </mergeCells>
  <phoneticPr fontId="57" type="noConversion"/>
  <printOptions horizontalCentered="1"/>
  <pageMargins left="0.75" right="0.75" top="0.71" bottom="0.72"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F1</vt:lpstr>
      <vt:lpstr>F2</vt:lpstr>
      <vt:lpstr>F3</vt:lpstr>
      <vt:lpstr>F4</vt:lpstr>
      <vt:lpstr>F5</vt:lpstr>
      <vt:lpstr>F6</vt:lpstr>
      <vt:lpstr>F7</vt:lpstr>
      <vt:lpstr>F8</vt:lpstr>
      <vt:lpstr>F9</vt:lpstr>
      <vt:lpstr>F10</vt:lpstr>
      <vt:lpstr>F11-13</vt:lpstr>
      <vt:lpstr>AF1</vt:lpstr>
      <vt:lpstr>AF2</vt:lpstr>
      <vt:lpstr>AF3</vt:lpstr>
      <vt:lpstr>AF4</vt:lpstr>
      <vt:lpstr>AF5</vt:lpstr>
      <vt:lpstr>AF6</vt:lpstr>
      <vt:lpstr>AF7</vt:lpstr>
      <vt:lpstr>AF8-10</vt:lpstr>
      <vt:lpstr>AT1</vt:lpstr>
      <vt:lpstr>AT2</vt:lpstr>
      <vt:lpstr>AT3</vt:lpstr>
      <vt:lpstr>AT4</vt:lpstr>
      <vt:lpstr>'AF1'!Print_Area</vt:lpstr>
      <vt:lpstr>'AF2'!Print_Area</vt:lpstr>
      <vt:lpstr>'AF3'!Print_Area</vt:lpstr>
      <vt:lpstr>'AF4'!Print_Area</vt:lpstr>
      <vt:lpstr>'AF5'!Print_Area</vt:lpstr>
      <vt:lpstr>'AF6'!Print_Area</vt:lpstr>
      <vt:lpstr>'AF7'!Print_Area</vt:lpstr>
      <vt:lpstr>'AF8-10'!Print_Area</vt:lpstr>
      <vt:lpstr>'AT1'!Print_Area</vt:lpstr>
      <vt:lpstr>'AT2'!Print_Area</vt:lpstr>
      <vt:lpstr>'AT3'!Print_Area</vt:lpstr>
      <vt:lpstr>'AT4'!Print_Area</vt:lpstr>
      <vt:lpstr>'F1'!Print_Area</vt:lpstr>
      <vt:lpstr>'F10'!Print_Area</vt:lpstr>
      <vt:lpstr>'F11-13'!Print_Area</vt:lpstr>
      <vt:lpstr>'F2'!Print_Area</vt:lpstr>
      <vt:lpstr>'F3'!Print_Area</vt:lpstr>
      <vt:lpstr>'F4'!Print_Area</vt:lpstr>
      <vt:lpstr>'F5'!Print_Area</vt:lpstr>
      <vt:lpstr>'F6'!Print_Area</vt:lpstr>
      <vt:lpstr>'F7'!Print_Area</vt:lpstr>
      <vt:lpstr>'F8'!Print_Area</vt:lpstr>
      <vt:lpstr>'F9'!Print_Area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Sullivan</dc:creator>
  <cp:lastModifiedBy>Han, Jeehoon</cp:lastModifiedBy>
  <cp:lastPrinted>2025-01-07T21:53:41Z</cp:lastPrinted>
  <dcterms:created xsi:type="dcterms:W3CDTF">2006-01-27T23:30:11Z</dcterms:created>
  <dcterms:modified xsi:type="dcterms:W3CDTF">2026-03-24T20:14:18Z</dcterms:modified>
</cp:coreProperties>
</file>