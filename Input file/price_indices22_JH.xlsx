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ehoon_han\Dropbox\Poverty\Stata\"/>
    </mc:Choice>
  </mc:AlternateContent>
  <xr:revisionPtr revIDLastSave="0" documentId="13_ncr:1_{9589F637-9057-49B3-AAF2-E10E70B36701}" xr6:coauthVersionLast="47" xr6:coauthVersionMax="47" xr10:uidLastSave="{00000000-0000-0000-0000-000000000000}"/>
  <bookViews>
    <workbookView xWindow="-120" yWindow="-120" windowWidth="24240" windowHeight="13020" firstSheet="3" activeTab="9" xr2:uid="{00000000-000D-0000-FFFF-FFFF00000000}"/>
  </bookViews>
  <sheets>
    <sheet name="CPI-U-RS" sheetId="1" r:id="rId1"/>
    <sheet name="CPI-U" sheetId="4" r:id="rId2"/>
    <sheet name="PCE" sheetId="2" r:id="rId3"/>
    <sheet name="Sheet3" sheetId="3" r:id="rId4"/>
    <sheet name="cpi-u-rs-adj" sheetId="5" r:id="rId5"/>
    <sheet name="cpi-u-rs-adj-03" sheetId="25" r:id="rId6"/>
    <sheet name="dat_file 1980" sheetId="8" r:id="rId7"/>
    <sheet name="dat_file 2000" sheetId="21" r:id="rId8"/>
    <sheet name="dat_file 2012" sheetId="26" r:id="rId9"/>
    <sheet name="dat_file 2015" sheetId="18" r:id="rId10"/>
    <sheet name="dat_file 2020" sheetId="29" r:id="rId11"/>
    <sheet name="dat_file 2021" sheetId="30" r:id="rId12"/>
    <sheet name="compare cpi-u to cpi-u-rs" sheetId="6" r:id="rId13"/>
    <sheet name="dat_file 1994" sheetId="24" r:id="rId14"/>
    <sheet name="dat_file 2005" sheetId="27" r:id="rId15"/>
    <sheet name="dat_file 2013" sheetId="20" r:id="rId16"/>
    <sheet name="dat_file 2018" sheetId="23" r:id="rId17"/>
    <sheet name="dat_file 2019" sheetId="28" r:id="rId18"/>
  </sheets>
  <definedNames>
    <definedName name="_xlnm.Print_Area" localSheetId="0">'CPI-U-RS'!#REF!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18" l="1"/>
  <c r="C77" i="18"/>
  <c r="D77" i="18"/>
  <c r="E77" i="18"/>
  <c r="F77" i="18"/>
  <c r="G77" i="18"/>
  <c r="H77" i="18"/>
  <c r="B77" i="8"/>
  <c r="C77" i="8"/>
  <c r="D77" i="8"/>
  <c r="E77" i="8"/>
  <c r="F77" i="8"/>
  <c r="G77" i="8"/>
  <c r="H77" i="8"/>
  <c r="I77" i="8" s="1"/>
  <c r="J77" i="8"/>
  <c r="C79" i="5"/>
  <c r="D79" i="5" s="1"/>
  <c r="G79" i="5"/>
  <c r="B79" i="5"/>
  <c r="B77" i="3"/>
  <c r="C77" i="3"/>
  <c r="D77" i="3"/>
  <c r="I77" i="3" s="1"/>
  <c r="E77" i="3"/>
  <c r="H77" i="3"/>
  <c r="J77" i="3" s="1"/>
  <c r="A77" i="3"/>
  <c r="D78" i="2"/>
  <c r="B78" i="2"/>
  <c r="B79" i="4"/>
  <c r="B72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C78" i="25"/>
  <c r="C76" i="3"/>
  <c r="C78" i="5"/>
  <c r="D77" i="2"/>
  <c r="B76" i="3" s="1"/>
  <c r="B78" i="4"/>
  <c r="D76" i="3" s="1"/>
  <c r="U96" i="4"/>
  <c r="B72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C77" i="25"/>
  <c r="C77" i="5"/>
  <c r="G78" i="5" s="1"/>
  <c r="C75" i="3"/>
  <c r="D76" i="2"/>
  <c r="B75" i="3" s="1"/>
  <c r="D75" i="2"/>
  <c r="B74" i="3" s="1"/>
  <c r="B77" i="4"/>
  <c r="D75" i="3" s="1"/>
  <c r="I75" i="3" s="1"/>
  <c r="B72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C76" i="25"/>
  <c r="C76" i="5"/>
  <c r="C74" i="3"/>
  <c r="E79" i="5" l="1"/>
  <c r="H79" i="5"/>
  <c r="I79" i="5" s="1"/>
  <c r="F77" i="3"/>
  <c r="G77" i="3" s="1"/>
  <c r="F76" i="3"/>
  <c r="G76" i="8" s="1"/>
  <c r="E76" i="8"/>
  <c r="G77" i="5"/>
  <c r="I76" i="3"/>
  <c r="E75" i="8"/>
  <c r="F75" i="3"/>
  <c r="G75" i="8" s="1"/>
  <c r="G75" i="30" s="1"/>
  <c r="B76" i="4"/>
  <c r="D74" i="3" s="1"/>
  <c r="G76" i="29" l="1"/>
  <c r="G76" i="26"/>
  <c r="G76" i="18"/>
  <c r="G76" i="30"/>
  <c r="G76" i="21"/>
  <c r="E76" i="29"/>
  <c r="E76" i="30"/>
  <c r="E75" i="30"/>
  <c r="G75" i="28"/>
  <c r="G75" i="27"/>
  <c r="G75" i="26"/>
  <c r="G75" i="24"/>
  <c r="G75" i="21"/>
  <c r="G75" i="20"/>
  <c r="G75" i="29"/>
  <c r="G75" i="18"/>
  <c r="G75" i="23"/>
  <c r="E74" i="8"/>
  <c r="I74" i="3"/>
  <c r="F74" i="3"/>
  <c r="G74" i="8" s="1"/>
  <c r="G74" i="30" s="1"/>
  <c r="E75" i="28"/>
  <c r="E75" i="29"/>
  <c r="E74" i="30" l="1"/>
  <c r="G74" i="28"/>
  <c r="G74" i="24"/>
  <c r="G74" i="21"/>
  <c r="G74" i="23"/>
  <c r="G74" i="29"/>
  <c r="G74" i="18"/>
  <c r="G74" i="20"/>
  <c r="G74" i="26"/>
  <c r="G74" i="27"/>
  <c r="E74" i="29"/>
  <c r="E74" i="28"/>
  <c r="B72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B2" i="27"/>
  <c r="B72" i="26" l="1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C75" i="25" l="1"/>
  <c r="C74" i="25"/>
  <c r="C73" i="25"/>
  <c r="C72" i="25"/>
  <c r="C71" i="25"/>
  <c r="C70" i="25"/>
  <c r="C69" i="25"/>
  <c r="C68" i="25"/>
  <c r="C67" i="25"/>
  <c r="K67" i="25" s="1"/>
  <c r="C66" i="25"/>
  <c r="C65" i="25"/>
  <c r="C64" i="25"/>
  <c r="G64" i="25" s="1"/>
  <c r="C63" i="25"/>
  <c r="B63" i="25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C62" i="25"/>
  <c r="C61" i="25"/>
  <c r="C60" i="25"/>
  <c r="K60" i="25" s="1"/>
  <c r="C59" i="25"/>
  <c r="K59" i="25" s="1"/>
  <c r="C58" i="25"/>
  <c r="C57" i="25"/>
  <c r="C56" i="25"/>
  <c r="C55" i="25"/>
  <c r="C54" i="25"/>
  <c r="C53" i="25"/>
  <c r="C52" i="25"/>
  <c r="K52" i="25" s="1"/>
  <c r="C51" i="25"/>
  <c r="C50" i="25"/>
  <c r="C49" i="25"/>
  <c r="K49" i="25" s="1"/>
  <c r="C48" i="25"/>
  <c r="C47" i="25"/>
  <c r="C46" i="25"/>
  <c r="C45" i="25"/>
  <c r="C44" i="25"/>
  <c r="K44" i="25" s="1"/>
  <c r="C43" i="25"/>
  <c r="K43" i="25" s="1"/>
  <c r="C42" i="25"/>
  <c r="C41" i="25"/>
  <c r="K41" i="25" s="1"/>
  <c r="C40" i="25"/>
  <c r="K40" i="25" s="1"/>
  <c r="C39" i="25"/>
  <c r="K39" i="25" s="1"/>
  <c r="C38" i="25"/>
  <c r="C37" i="25"/>
  <c r="C36" i="25"/>
  <c r="C35" i="25"/>
  <c r="C34" i="25"/>
  <c r="C33" i="25"/>
  <c r="G33" i="25" s="1"/>
  <c r="C32" i="25"/>
  <c r="C31" i="25"/>
  <c r="K31" i="25" s="1"/>
  <c r="C30" i="25"/>
  <c r="C29" i="25"/>
  <c r="K29" i="25" s="1"/>
  <c r="K28" i="25"/>
  <c r="C28" i="25"/>
  <c r="G28" i="25" s="1"/>
  <c r="C27" i="25"/>
  <c r="K27" i="25" s="1"/>
  <c r="C26" i="25"/>
  <c r="G27" i="25" s="1"/>
  <c r="C25" i="25"/>
  <c r="K25" i="25" s="1"/>
  <c r="C24" i="25"/>
  <c r="C23" i="25"/>
  <c r="G23" i="25" s="1"/>
  <c r="C22" i="25"/>
  <c r="C21" i="25"/>
  <c r="C20" i="25"/>
  <c r="C19" i="25"/>
  <c r="C18" i="25"/>
  <c r="K18" i="25" s="1"/>
  <c r="C17" i="25"/>
  <c r="C16" i="25"/>
  <c r="C15" i="25"/>
  <c r="G15" i="25" s="1"/>
  <c r="C14" i="25"/>
  <c r="K14" i="25" s="1"/>
  <c r="C13" i="25"/>
  <c r="K13" i="25" s="1"/>
  <c r="C12" i="25"/>
  <c r="G12" i="25" s="1"/>
  <c r="C11" i="25"/>
  <c r="C10" i="25"/>
  <c r="G11" i="25" s="1"/>
  <c r="C9" i="25"/>
  <c r="C8" i="25"/>
  <c r="C7" i="25"/>
  <c r="C6" i="25"/>
  <c r="K6" i="25" s="1"/>
  <c r="C5" i="25"/>
  <c r="K5" i="25" s="1"/>
  <c r="C4" i="25"/>
  <c r="K4" i="25" s="1"/>
  <c r="G57" i="25" l="1"/>
  <c r="G68" i="25"/>
  <c r="G48" i="25"/>
  <c r="G72" i="25"/>
  <c r="K72" i="25"/>
  <c r="K21" i="25"/>
  <c r="K55" i="25"/>
  <c r="K22" i="25"/>
  <c r="G45" i="25"/>
  <c r="G60" i="25"/>
  <c r="K9" i="25"/>
  <c r="G44" i="25"/>
  <c r="K11" i="25"/>
  <c r="K24" i="25"/>
  <c r="K35" i="25"/>
  <c r="K7" i="25"/>
  <c r="K19" i="25"/>
  <c r="K30" i="25"/>
  <c r="G20" i="25"/>
  <c r="G59" i="25"/>
  <c r="G50" i="25"/>
  <c r="G32" i="25"/>
  <c r="G43" i="25"/>
  <c r="G52" i="25"/>
  <c r="K33" i="25"/>
  <c r="K53" i="25"/>
  <c r="K70" i="25"/>
  <c r="K12" i="25"/>
  <c r="G34" i="25"/>
  <c r="K54" i="25"/>
  <c r="G61" i="25"/>
  <c r="G49" i="25"/>
  <c r="G39" i="25"/>
  <c r="G16" i="25"/>
  <c r="G36" i="25"/>
  <c r="G55" i="25"/>
  <c r="G7" i="25"/>
  <c r="G17" i="25"/>
  <c r="K37" i="25"/>
  <c r="K46" i="25"/>
  <c r="G63" i="25"/>
  <c r="K57" i="25"/>
  <c r="G8" i="25"/>
  <c r="K17" i="25"/>
  <c r="K38" i="25"/>
  <c r="K47" i="25"/>
  <c r="G56" i="25"/>
  <c r="G29" i="25"/>
  <c r="G24" i="25"/>
  <c r="K61" i="25"/>
  <c r="G18" i="25"/>
  <c r="G13" i="25"/>
  <c r="K34" i="25"/>
  <c r="G40" i="25"/>
  <c r="G35" i="25"/>
  <c r="G51" i="25"/>
  <c r="K56" i="25"/>
  <c r="G70" i="25"/>
  <c r="G14" i="25"/>
  <c r="G30" i="25"/>
  <c r="G46" i="25"/>
  <c r="K51" i="25"/>
  <c r="G62" i="25"/>
  <c r="K71" i="25"/>
  <c r="K68" i="25"/>
  <c r="K45" i="25"/>
  <c r="K8" i="25"/>
  <c r="G41" i="25"/>
  <c r="K62" i="25"/>
  <c r="G71" i="25"/>
  <c r="G25" i="25"/>
  <c r="G31" i="25"/>
  <c r="K36" i="25"/>
  <c r="G47" i="25"/>
  <c r="G19" i="25"/>
  <c r="G10" i="25"/>
  <c r="K15" i="25"/>
  <c r="G26" i="25"/>
  <c r="G42" i="25"/>
  <c r="G58" i="25"/>
  <c r="D4" i="25"/>
  <c r="D5" i="25" s="1"/>
  <c r="G5" i="25"/>
  <c r="K10" i="25"/>
  <c r="G21" i="25"/>
  <c r="K26" i="25"/>
  <c r="G37" i="25"/>
  <c r="K42" i="25"/>
  <c r="G53" i="25"/>
  <c r="K58" i="25"/>
  <c r="K23" i="25"/>
  <c r="K50" i="25"/>
  <c r="G9" i="25"/>
  <c r="K20" i="25"/>
  <c r="K16" i="25"/>
  <c r="K32" i="25"/>
  <c r="K48" i="25"/>
  <c r="G6" i="25"/>
  <c r="G22" i="25"/>
  <c r="G38" i="25"/>
  <c r="G54" i="25"/>
  <c r="K66" i="25"/>
  <c r="G69" i="25"/>
  <c r="G67" i="25"/>
  <c r="K73" i="25"/>
  <c r="G73" i="25"/>
  <c r="K65" i="25"/>
  <c r="G65" i="25"/>
  <c r="K69" i="25"/>
  <c r="K63" i="25"/>
  <c r="G66" i="25"/>
  <c r="K64" i="25"/>
  <c r="B72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D6" i="25" l="1"/>
  <c r="H5" i="25"/>
  <c r="I5" i="25" s="1"/>
  <c r="B72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B2" i="23"/>
  <c r="A73" i="3"/>
  <c r="B73" i="30" s="1"/>
  <c r="C73" i="3"/>
  <c r="C75" i="5"/>
  <c r="D74" i="2"/>
  <c r="B73" i="3" s="1"/>
  <c r="B75" i="4"/>
  <c r="D73" i="3" s="1"/>
  <c r="G76" i="5" l="1"/>
  <c r="B73" i="29"/>
  <c r="B73" i="28"/>
  <c r="A74" i="3"/>
  <c r="B74" i="30" s="1"/>
  <c r="B73" i="27"/>
  <c r="B73" i="26"/>
  <c r="B73" i="18"/>
  <c r="D7" i="25"/>
  <c r="H6" i="25"/>
  <c r="I6" i="25" s="1"/>
  <c r="I73" i="3"/>
  <c r="E73" i="8"/>
  <c r="F73" i="3"/>
  <c r="B73" i="8"/>
  <c r="B73" i="24"/>
  <c r="B73" i="21"/>
  <c r="B73" i="23"/>
  <c r="B72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E73" i="30" l="1"/>
  <c r="E73" i="29"/>
  <c r="E73" i="28"/>
  <c r="E75" i="23"/>
  <c r="E74" i="23"/>
  <c r="B74" i="21"/>
  <c r="B74" i="28"/>
  <c r="B74" i="8"/>
  <c r="B74" i="24"/>
  <c r="B74" i="18"/>
  <c r="B74" i="29"/>
  <c r="B74" i="26"/>
  <c r="B74" i="27"/>
  <c r="B74" i="23"/>
  <c r="A75" i="3"/>
  <c r="D8" i="25"/>
  <c r="H7" i="25"/>
  <c r="I7" i="25" s="1"/>
  <c r="E73" i="23"/>
  <c r="G73" i="8"/>
  <c r="G73" i="30" s="1"/>
  <c r="C4" i="5"/>
  <c r="D4" i="5" s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G28" i="5" s="1"/>
  <c r="C28" i="5"/>
  <c r="C29" i="5"/>
  <c r="C30" i="5"/>
  <c r="G31" i="5" s="1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K44" i="5" s="1"/>
  <c r="C45" i="5"/>
  <c r="C46" i="5"/>
  <c r="C47" i="5"/>
  <c r="C48" i="5"/>
  <c r="C49" i="5"/>
  <c r="G49" i="5" s="1"/>
  <c r="C50" i="5"/>
  <c r="C51" i="5"/>
  <c r="C52" i="5"/>
  <c r="C53" i="5"/>
  <c r="C54" i="5"/>
  <c r="C55" i="5"/>
  <c r="C56" i="5"/>
  <c r="G56" i="5" s="1"/>
  <c r="C57" i="5"/>
  <c r="C58" i="5"/>
  <c r="C59" i="5"/>
  <c r="C60" i="5"/>
  <c r="C61" i="5"/>
  <c r="G61" i="5" s="1"/>
  <c r="C62" i="5"/>
  <c r="K30" i="5" s="1"/>
  <c r="C63" i="5"/>
  <c r="K63" i="5" s="1"/>
  <c r="C64" i="5"/>
  <c r="C65" i="5"/>
  <c r="C66" i="5"/>
  <c r="C67" i="5"/>
  <c r="C68" i="5"/>
  <c r="G69" i="5" s="1"/>
  <c r="C69" i="5"/>
  <c r="C70" i="5"/>
  <c r="C71" i="5"/>
  <c r="C72" i="5"/>
  <c r="C73" i="5"/>
  <c r="K73" i="5" s="1"/>
  <c r="C74" i="5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A61" i="3"/>
  <c r="B61" i="30" s="1"/>
  <c r="B72" i="8"/>
  <c r="C71" i="3"/>
  <c r="C35" i="3"/>
  <c r="D76" i="8" s="1"/>
  <c r="C17" i="3"/>
  <c r="C18" i="3"/>
  <c r="C19" i="3"/>
  <c r="C20" i="3"/>
  <c r="C21" i="3"/>
  <c r="C22" i="3"/>
  <c r="E76" i="3" s="1"/>
  <c r="C23" i="3"/>
  <c r="C24" i="3"/>
  <c r="C25" i="3"/>
  <c r="C26" i="3"/>
  <c r="C27" i="3"/>
  <c r="C28" i="3"/>
  <c r="C29" i="3"/>
  <c r="E29" i="3" s="1"/>
  <c r="F29" i="8" s="1"/>
  <c r="F29" i="30" s="1"/>
  <c r="C30" i="3"/>
  <c r="C31" i="3"/>
  <c r="C32" i="3"/>
  <c r="C33" i="3"/>
  <c r="H76" i="3" s="1"/>
  <c r="J76" i="3" s="1"/>
  <c r="C34" i="3"/>
  <c r="L34" i="3" s="1"/>
  <c r="C36" i="3"/>
  <c r="C37" i="3"/>
  <c r="C38" i="3"/>
  <c r="C39" i="3"/>
  <c r="C40" i="3"/>
  <c r="H40" i="3" s="1"/>
  <c r="C41" i="3"/>
  <c r="C42" i="3"/>
  <c r="C43" i="3"/>
  <c r="C44" i="3"/>
  <c r="E44" i="3" s="1"/>
  <c r="F44" i="8" s="1"/>
  <c r="F44" i="30" s="1"/>
  <c r="C45" i="3"/>
  <c r="E45" i="3" s="1"/>
  <c r="F45" i="8" s="1"/>
  <c r="F45" i="30" s="1"/>
  <c r="C46" i="3"/>
  <c r="C47" i="3"/>
  <c r="P47" i="3" s="1"/>
  <c r="C48" i="3"/>
  <c r="C49" i="3"/>
  <c r="C50" i="3"/>
  <c r="C51" i="3"/>
  <c r="C52" i="3"/>
  <c r="L52" i="3" s="1"/>
  <c r="C53" i="3"/>
  <c r="U53" i="3" s="1"/>
  <c r="W53" i="3" s="1"/>
  <c r="C54" i="3"/>
  <c r="P54" i="3" s="1"/>
  <c r="C55" i="3"/>
  <c r="C56" i="3"/>
  <c r="C57" i="3"/>
  <c r="C58" i="3"/>
  <c r="C59" i="3"/>
  <c r="H59" i="3" s="1"/>
  <c r="C60" i="3"/>
  <c r="C61" i="3"/>
  <c r="C62" i="3"/>
  <c r="C63" i="3"/>
  <c r="C64" i="3"/>
  <c r="H64" i="3" s="1"/>
  <c r="C65" i="3"/>
  <c r="D65" i="8" s="1"/>
  <c r="C66" i="3"/>
  <c r="C67" i="3"/>
  <c r="C68" i="3"/>
  <c r="C69" i="3"/>
  <c r="C70" i="3"/>
  <c r="C72" i="3"/>
  <c r="H72" i="3" s="1"/>
  <c r="B16" i="8"/>
  <c r="B15" i="8"/>
  <c r="C16" i="3"/>
  <c r="C15" i="3"/>
  <c r="D4" i="2"/>
  <c r="B3" i="3" s="1"/>
  <c r="D72" i="2"/>
  <c r="B71" i="3" s="1"/>
  <c r="C3" i="3"/>
  <c r="B73" i="4"/>
  <c r="D71" i="3" s="1"/>
  <c r="E71" i="8" s="1"/>
  <c r="D5" i="2"/>
  <c r="B4" i="3" s="1"/>
  <c r="C4" i="3"/>
  <c r="D6" i="2"/>
  <c r="B5" i="3" s="1"/>
  <c r="C5" i="3"/>
  <c r="D7" i="2"/>
  <c r="B6" i="3" s="1"/>
  <c r="C6" i="3"/>
  <c r="D8" i="2"/>
  <c r="B7" i="3" s="1"/>
  <c r="C7" i="3"/>
  <c r="D9" i="2"/>
  <c r="B8" i="3" s="1"/>
  <c r="C8" i="3"/>
  <c r="D10" i="2"/>
  <c r="B9" i="3" s="1"/>
  <c r="C9" i="3"/>
  <c r="D11" i="2"/>
  <c r="B10" i="3" s="1"/>
  <c r="C10" i="3"/>
  <c r="D12" i="2"/>
  <c r="B11" i="3" s="1"/>
  <c r="C11" i="3"/>
  <c r="D13" i="2"/>
  <c r="B12" i="3" s="1"/>
  <c r="C12" i="3"/>
  <c r="D14" i="2"/>
  <c r="B13" i="3" s="1"/>
  <c r="C13" i="3"/>
  <c r="D15" i="2"/>
  <c r="B14" i="3" s="1"/>
  <c r="C14" i="3"/>
  <c r="L14" i="3" s="1"/>
  <c r="D16" i="2"/>
  <c r="B15" i="3" s="1"/>
  <c r="D17" i="2"/>
  <c r="B16" i="3" s="1"/>
  <c r="D18" i="2"/>
  <c r="B17" i="3" s="1"/>
  <c r="D19" i="2"/>
  <c r="B18" i="3" s="1"/>
  <c r="D20" i="2"/>
  <c r="B19" i="3" s="1"/>
  <c r="D21" i="2"/>
  <c r="B20" i="3" s="1"/>
  <c r="D22" i="2"/>
  <c r="B21" i="3" s="1"/>
  <c r="D23" i="2"/>
  <c r="B22" i="3" s="1"/>
  <c r="D24" i="2"/>
  <c r="B23" i="3" s="1"/>
  <c r="D25" i="2"/>
  <c r="B24" i="3" s="1"/>
  <c r="D26" i="2"/>
  <c r="B25" i="3" s="1"/>
  <c r="D27" i="2"/>
  <c r="B26" i="3" s="1"/>
  <c r="D28" i="2"/>
  <c r="B27" i="3" s="1"/>
  <c r="D29" i="2"/>
  <c r="B28" i="3" s="1"/>
  <c r="D30" i="2"/>
  <c r="B29" i="3" s="1"/>
  <c r="D31" i="2"/>
  <c r="B30" i="3" s="1"/>
  <c r="O30" i="3" s="1"/>
  <c r="D32" i="2"/>
  <c r="B31" i="3" s="1"/>
  <c r="D33" i="2"/>
  <c r="B32" i="3" s="1"/>
  <c r="K32" i="3" s="1"/>
  <c r="D34" i="2"/>
  <c r="B33" i="3" s="1"/>
  <c r="D35" i="2"/>
  <c r="B34" i="3" s="1"/>
  <c r="D36" i="2"/>
  <c r="B35" i="3" s="1"/>
  <c r="D37" i="2"/>
  <c r="B36" i="3" s="1"/>
  <c r="D38" i="2"/>
  <c r="B37" i="3" s="1"/>
  <c r="D39" i="2"/>
  <c r="B38" i="3" s="1"/>
  <c r="D40" i="2"/>
  <c r="B39" i="3" s="1"/>
  <c r="D41" i="2"/>
  <c r="B40" i="3" s="1"/>
  <c r="D42" i="2"/>
  <c r="B41" i="3" s="1"/>
  <c r="D43" i="2"/>
  <c r="B42" i="3" s="1"/>
  <c r="O42" i="3" s="1"/>
  <c r="D44" i="2"/>
  <c r="B43" i="3" s="1"/>
  <c r="D45" i="2"/>
  <c r="B44" i="3" s="1"/>
  <c r="D46" i="2"/>
  <c r="B45" i="3" s="1"/>
  <c r="D47" i="2"/>
  <c r="B46" i="3" s="1"/>
  <c r="D48" i="2"/>
  <c r="B47" i="3" s="1"/>
  <c r="D49" i="2"/>
  <c r="B48" i="3" s="1"/>
  <c r="D50" i="2"/>
  <c r="B49" i="3" s="1"/>
  <c r="D51" i="2"/>
  <c r="B50" i="3" s="1"/>
  <c r="D52" i="2"/>
  <c r="B51" i="3" s="1"/>
  <c r="D53" i="2"/>
  <c r="B52" i="3" s="1"/>
  <c r="D54" i="2"/>
  <c r="B53" i="3" s="1"/>
  <c r="D55" i="2"/>
  <c r="B54" i="3" s="1"/>
  <c r="O54" i="3" s="1"/>
  <c r="D56" i="2"/>
  <c r="B55" i="3" s="1"/>
  <c r="D57" i="2"/>
  <c r="B56" i="3" s="1"/>
  <c r="O56" i="3" s="1"/>
  <c r="D58" i="2"/>
  <c r="B57" i="3" s="1"/>
  <c r="D59" i="2"/>
  <c r="B58" i="3" s="1"/>
  <c r="D60" i="2"/>
  <c r="B59" i="3" s="1"/>
  <c r="D61" i="2"/>
  <c r="B60" i="3" s="1"/>
  <c r="D62" i="2"/>
  <c r="B61" i="3" s="1"/>
  <c r="B63" i="4"/>
  <c r="D61" i="3" s="1"/>
  <c r="D63" i="2"/>
  <c r="B62" i="3" s="1"/>
  <c r="B64" i="4"/>
  <c r="D62" i="3" s="1"/>
  <c r="D64" i="2"/>
  <c r="B63" i="3" s="1"/>
  <c r="B65" i="4"/>
  <c r="D63" i="3" s="1"/>
  <c r="D65" i="2"/>
  <c r="B64" i="3" s="1"/>
  <c r="B66" i="4"/>
  <c r="D64" i="3" s="1"/>
  <c r="D66" i="2"/>
  <c r="B65" i="3" s="1"/>
  <c r="B67" i="4"/>
  <c r="D65" i="3" s="1"/>
  <c r="D67" i="2"/>
  <c r="B66" i="3" s="1"/>
  <c r="B68" i="4"/>
  <c r="D66" i="3" s="1"/>
  <c r="F66" i="3" s="1"/>
  <c r="D68" i="2"/>
  <c r="B67" i="3" s="1"/>
  <c r="B69" i="4"/>
  <c r="D67" i="3" s="1"/>
  <c r="D69" i="2"/>
  <c r="B68" i="3" s="1"/>
  <c r="B70" i="4"/>
  <c r="D68" i="3" s="1"/>
  <c r="D70" i="2"/>
  <c r="B69" i="3" s="1"/>
  <c r="B71" i="4"/>
  <c r="D69" i="3" s="1"/>
  <c r="I69" i="3" s="1"/>
  <c r="D71" i="2"/>
  <c r="B70" i="3" s="1"/>
  <c r="B72" i="4"/>
  <c r="D70" i="3" s="1"/>
  <c r="I70" i="3" s="1"/>
  <c r="D73" i="2"/>
  <c r="B72" i="3" s="1"/>
  <c r="B74" i="4"/>
  <c r="D72" i="3" s="1"/>
  <c r="I72" i="3" s="1"/>
  <c r="C2" i="3"/>
  <c r="D3" i="2"/>
  <c r="B2" i="3" s="1"/>
  <c r="E67" i="3"/>
  <c r="F67" i="8" s="1"/>
  <c r="F67" i="30" s="1"/>
  <c r="F60" i="3"/>
  <c r="E60" i="3"/>
  <c r="F60" i="8" s="1"/>
  <c r="F59" i="3"/>
  <c r="G59" i="8" s="1"/>
  <c r="G59" i="30" s="1"/>
  <c r="F58" i="3"/>
  <c r="G58" i="8" s="1"/>
  <c r="G58" i="30" s="1"/>
  <c r="F57" i="3"/>
  <c r="F56" i="3"/>
  <c r="E56" i="3"/>
  <c r="F56" i="8" s="1"/>
  <c r="F56" i="30" s="1"/>
  <c r="F55" i="3"/>
  <c r="F54" i="3"/>
  <c r="F53" i="3"/>
  <c r="F52" i="3"/>
  <c r="F51" i="3"/>
  <c r="G51" i="8" s="1"/>
  <c r="E51" i="3"/>
  <c r="F51" i="8" s="1"/>
  <c r="F50" i="3"/>
  <c r="G50" i="8" s="1"/>
  <c r="G50" i="30" s="1"/>
  <c r="F49" i="3"/>
  <c r="F48" i="3"/>
  <c r="G48" i="8" s="1"/>
  <c r="G48" i="30" s="1"/>
  <c r="F47" i="3"/>
  <c r="F46" i="3"/>
  <c r="F45" i="3"/>
  <c r="F44" i="3"/>
  <c r="F43" i="3"/>
  <c r="F42" i="3"/>
  <c r="F41" i="3"/>
  <c r="F40" i="3"/>
  <c r="F39" i="3"/>
  <c r="F38" i="3"/>
  <c r="G38" i="8" s="1"/>
  <c r="G38" i="30" s="1"/>
  <c r="F37" i="3"/>
  <c r="G37" i="8" s="1"/>
  <c r="G37" i="30" s="1"/>
  <c r="E37" i="3"/>
  <c r="G37" i="3" s="1"/>
  <c r="F36" i="3"/>
  <c r="G36" i="8" s="1"/>
  <c r="F35" i="3"/>
  <c r="F34" i="3"/>
  <c r="F33" i="3"/>
  <c r="F32" i="3"/>
  <c r="F31" i="3"/>
  <c r="F30" i="3"/>
  <c r="G30" i="8" s="1"/>
  <c r="G30" i="30" s="1"/>
  <c r="F29" i="3"/>
  <c r="F28" i="3"/>
  <c r="G28" i="8" s="1"/>
  <c r="F27" i="3"/>
  <c r="F26" i="3"/>
  <c r="F25" i="3"/>
  <c r="F24" i="3"/>
  <c r="F23" i="3"/>
  <c r="F22" i="3"/>
  <c r="G22" i="8" s="1"/>
  <c r="E22" i="3"/>
  <c r="F21" i="3"/>
  <c r="G21" i="8" s="1"/>
  <c r="G21" i="30" s="1"/>
  <c r="F20" i="3"/>
  <c r="F19" i="3"/>
  <c r="G19" i="8" s="1"/>
  <c r="G19" i="30" s="1"/>
  <c r="F18" i="3"/>
  <c r="G18" i="8" s="1"/>
  <c r="G18" i="30" s="1"/>
  <c r="F17" i="3"/>
  <c r="F16" i="3"/>
  <c r="F15" i="3"/>
  <c r="E15" i="3"/>
  <c r="G15" i="3" s="1"/>
  <c r="F14" i="3"/>
  <c r="G14" i="8" s="1"/>
  <c r="G14" i="30" s="1"/>
  <c r="F13" i="3"/>
  <c r="F12" i="3"/>
  <c r="E12" i="3"/>
  <c r="F12" i="8" s="1"/>
  <c r="F12" i="30" s="1"/>
  <c r="F11" i="3"/>
  <c r="F10" i="3"/>
  <c r="F9" i="3"/>
  <c r="G9" i="8" s="1"/>
  <c r="F8" i="3"/>
  <c r="E8" i="3"/>
  <c r="F7" i="3"/>
  <c r="E7" i="3"/>
  <c r="F6" i="3"/>
  <c r="F5" i="3"/>
  <c r="G5" i="8" s="1"/>
  <c r="G5" i="30" s="1"/>
  <c r="F4" i="3"/>
  <c r="F3" i="3"/>
  <c r="F2" i="3"/>
  <c r="F7" i="8"/>
  <c r="F7" i="30" s="1"/>
  <c r="G7" i="8"/>
  <c r="G7" i="30" s="1"/>
  <c r="G15" i="8"/>
  <c r="G15" i="30" s="1"/>
  <c r="G23" i="8"/>
  <c r="G23" i="30" s="1"/>
  <c r="G31" i="8"/>
  <c r="G31" i="30" s="1"/>
  <c r="G42" i="8"/>
  <c r="G42" i="30" s="1"/>
  <c r="G43" i="8"/>
  <c r="G43" i="30" s="1"/>
  <c r="G46" i="8"/>
  <c r="G46" i="30" s="1"/>
  <c r="G47" i="8"/>
  <c r="G47" i="30" s="1"/>
  <c r="G54" i="8"/>
  <c r="G54" i="30" s="1"/>
  <c r="G55" i="8"/>
  <c r="G55" i="30" s="1"/>
  <c r="G4" i="8"/>
  <c r="G4" i="30" s="1"/>
  <c r="G8" i="8"/>
  <c r="G12" i="8"/>
  <c r="G16" i="8"/>
  <c r="G16" i="30" s="1"/>
  <c r="G24" i="8"/>
  <c r="G32" i="8"/>
  <c r="G32" i="30" s="1"/>
  <c r="G40" i="8"/>
  <c r="G40" i="30" s="1"/>
  <c r="G52" i="8"/>
  <c r="G52" i="30" s="1"/>
  <c r="G56" i="8"/>
  <c r="G56" i="30" s="1"/>
  <c r="G13" i="8"/>
  <c r="G13" i="30" s="1"/>
  <c r="G17" i="8"/>
  <c r="G17" i="30" s="1"/>
  <c r="G25" i="8"/>
  <c r="G25" i="30" s="1"/>
  <c r="G33" i="8"/>
  <c r="G33" i="30" s="1"/>
  <c r="G45" i="8"/>
  <c r="G45" i="30" s="1"/>
  <c r="G49" i="8"/>
  <c r="G49" i="30" s="1"/>
  <c r="G54" i="18"/>
  <c r="G57" i="8"/>
  <c r="G57" i="30" s="1"/>
  <c r="G2" i="8"/>
  <c r="G2" i="30" s="1"/>
  <c r="B72" i="18"/>
  <c r="G25" i="18"/>
  <c r="B63" i="5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B62" i="4"/>
  <c r="C74" i="1"/>
  <c r="C75" i="1" s="1"/>
  <c r="C76" i="1" s="1"/>
  <c r="F8" i="6"/>
  <c r="F9" i="6"/>
  <c r="F10" i="6"/>
  <c r="F11" i="6"/>
  <c r="F12" i="6"/>
  <c r="F13" i="6"/>
  <c r="G14" i="6" s="1"/>
  <c r="F14" i="6"/>
  <c r="F15" i="6"/>
  <c r="F16" i="6"/>
  <c r="F17" i="6"/>
  <c r="G18" i="6" s="1"/>
  <c r="F18" i="6"/>
  <c r="F19" i="6"/>
  <c r="F20" i="6"/>
  <c r="F21" i="6"/>
  <c r="F22" i="6"/>
  <c r="F23" i="6"/>
  <c r="F24" i="6"/>
  <c r="G25" i="6" s="1"/>
  <c r="F25" i="6"/>
  <c r="F26" i="6"/>
  <c r="G26" i="6" s="1"/>
  <c r="F27" i="6"/>
  <c r="F28" i="6"/>
  <c r="G28" i="6" s="1"/>
  <c r="F29" i="6"/>
  <c r="F30" i="6"/>
  <c r="F31" i="6"/>
  <c r="F32" i="6"/>
  <c r="G33" i="6" s="1"/>
  <c r="F33" i="6"/>
  <c r="F34" i="6"/>
  <c r="G35" i="6" s="1"/>
  <c r="F35" i="6"/>
  <c r="F36" i="6"/>
  <c r="F37" i="6"/>
  <c r="F38" i="6"/>
  <c r="G38" i="6" s="1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G61" i="6" s="1"/>
  <c r="F61" i="6"/>
  <c r="F62" i="6"/>
  <c r="G62" i="6" s="1"/>
  <c r="F63" i="6"/>
  <c r="F64" i="6"/>
  <c r="F65" i="6"/>
  <c r="F7" i="6"/>
  <c r="G41" i="5"/>
  <c r="G19" i="5"/>
  <c r="L15" i="3"/>
  <c r="A71" i="4"/>
  <c r="A72" i="4" s="1"/>
  <c r="A73" i="4" s="1"/>
  <c r="A74" i="4" s="1"/>
  <c r="A75" i="4" s="1"/>
  <c r="A76" i="4" s="1"/>
  <c r="A77" i="4" s="1"/>
  <c r="A78" i="4" s="1"/>
  <c r="E61" i="2"/>
  <c r="AA1192" i="4"/>
  <c r="AA1193" i="4" s="1"/>
  <c r="AA1194" i="4" s="1"/>
  <c r="AA1195" i="4" s="1"/>
  <c r="AA1196" i="4" s="1"/>
  <c r="AA1197" i="4" s="1"/>
  <c r="AA1198" i="4" s="1"/>
  <c r="AA1199" i="4" s="1"/>
  <c r="AA1200" i="4" s="1"/>
  <c r="AA1201" i="4" s="1"/>
  <c r="AA1202" i="4" s="1"/>
  <c r="AA1203" i="4" s="1"/>
  <c r="AA1204" i="4" s="1"/>
  <c r="AA1205" i="4" s="1"/>
  <c r="AA1206" i="4" s="1"/>
  <c r="AA1207" i="4" s="1"/>
  <c r="AA1208" i="4" s="1"/>
  <c r="AA1209" i="4" s="1"/>
  <c r="AA1210" i="4" s="1"/>
  <c r="AA1211" i="4" s="1"/>
  <c r="AA1212" i="4" s="1"/>
  <c r="AA1213" i="4" s="1"/>
  <c r="AA1214" i="4" s="1"/>
  <c r="AA1215" i="4" s="1"/>
  <c r="AA1216" i="4" s="1"/>
  <c r="AA1217" i="4" s="1"/>
  <c r="AA1218" i="4" s="1"/>
  <c r="AA1219" i="4" s="1"/>
  <c r="AA1220" i="4" s="1"/>
  <c r="AA1221" i="4" s="1"/>
  <c r="AA1222" i="4" s="1"/>
  <c r="AA1223" i="4" s="1"/>
  <c r="V31" i="3"/>
  <c r="W31" i="3"/>
  <c r="V32" i="3"/>
  <c r="X28" i="3"/>
  <c r="X33" i="3"/>
  <c r="X32" i="3"/>
  <c r="E66" i="2"/>
  <c r="E65" i="2"/>
  <c r="E64" i="2"/>
  <c r="AA1176" i="4"/>
  <c r="AA1177" i="4" s="1"/>
  <c r="AA1178" i="4" s="1"/>
  <c r="AA1179" i="4" s="1"/>
  <c r="AA1180" i="4" s="1"/>
  <c r="AA1181" i="4" s="1"/>
  <c r="AA1182" i="4" s="1"/>
  <c r="AA1183" i="4" s="1"/>
  <c r="AA1184" i="4" s="1"/>
  <c r="AA1185" i="4" s="1"/>
  <c r="AA1186" i="4" s="1"/>
  <c r="AA1187" i="4" s="1"/>
  <c r="AA1188" i="4" s="1"/>
  <c r="AA1189" i="4" s="1"/>
  <c r="AA1190" i="4" s="1"/>
  <c r="B2" i="8"/>
  <c r="B3" i="8"/>
  <c r="B4" i="8"/>
  <c r="B5" i="8"/>
  <c r="B6" i="8"/>
  <c r="B7" i="8"/>
  <c r="B8" i="8"/>
  <c r="B9" i="8"/>
  <c r="B10" i="8"/>
  <c r="B11" i="8"/>
  <c r="B12" i="8"/>
  <c r="B13" i="8"/>
  <c r="B14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3" i="2"/>
  <c r="E62" i="2"/>
  <c r="A63" i="4"/>
  <c r="A64" i="4" s="1"/>
  <c r="A65" i="4" s="1"/>
  <c r="A66" i="4" s="1"/>
  <c r="A67" i="4" s="1"/>
  <c r="A68" i="4" s="1"/>
  <c r="B62" i="2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G23" i="6"/>
  <c r="J23" i="6"/>
  <c r="L23" i="6" s="1"/>
  <c r="J24" i="6"/>
  <c r="J25" i="6"/>
  <c r="J26" i="6"/>
  <c r="G27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E67" i="6"/>
  <c r="E68" i="6"/>
  <c r="H68" i="6"/>
  <c r="I69" i="6" s="1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58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4" i="4"/>
  <c r="K17" i="5"/>
  <c r="G37" i="6"/>
  <c r="L37" i="6" s="1"/>
  <c r="G11" i="6"/>
  <c r="G19" i="6"/>
  <c r="G5" i="5"/>
  <c r="G33" i="5"/>
  <c r="G26" i="5"/>
  <c r="G10" i="5"/>
  <c r="G16" i="5"/>
  <c r="G32" i="5"/>
  <c r="I64" i="3"/>
  <c r="E64" i="8"/>
  <c r="I61" i="3"/>
  <c r="G35" i="5"/>
  <c r="G21" i="5"/>
  <c r="K16" i="5"/>
  <c r="G25" i="5"/>
  <c r="G29" i="5"/>
  <c r="G7" i="3"/>
  <c r="K70" i="5"/>
  <c r="K12" i="5"/>
  <c r="K9" i="5"/>
  <c r="K4" i="5"/>
  <c r="K32" i="5"/>
  <c r="K38" i="5"/>
  <c r="K40" i="5"/>
  <c r="G58" i="6"/>
  <c r="K57" i="5"/>
  <c r="K24" i="5"/>
  <c r="K10" i="5"/>
  <c r="K50" i="5"/>
  <c r="K41" i="5"/>
  <c r="G67" i="5"/>
  <c r="K6" i="5"/>
  <c r="K26" i="5"/>
  <c r="G10" i="6"/>
  <c r="G48" i="5"/>
  <c r="G64" i="5"/>
  <c r="G24" i="6"/>
  <c r="G53" i="5"/>
  <c r="P35" i="3"/>
  <c r="P29" i="3"/>
  <c r="G51" i="3"/>
  <c r="L53" i="3"/>
  <c r="G49" i="6"/>
  <c r="P27" i="3"/>
  <c r="L23" i="3"/>
  <c r="G57" i="6"/>
  <c r="L20" i="3"/>
  <c r="K71" i="5"/>
  <c r="L24" i="3"/>
  <c r="P8" i="3"/>
  <c r="L29" i="3"/>
  <c r="K64" i="5"/>
  <c r="P45" i="3"/>
  <c r="P28" i="3"/>
  <c r="L16" i="3"/>
  <c r="P13" i="3"/>
  <c r="P23" i="3"/>
  <c r="L38" i="3"/>
  <c r="P30" i="3"/>
  <c r="P6" i="3"/>
  <c r="P53" i="3"/>
  <c r="L5" i="3"/>
  <c r="L48" i="3"/>
  <c r="L56" i="3"/>
  <c r="G46" i="5"/>
  <c r="P39" i="3"/>
  <c r="P38" i="3"/>
  <c r="P46" i="3"/>
  <c r="G66" i="5"/>
  <c r="L39" i="3"/>
  <c r="P7" i="3"/>
  <c r="L7" i="3"/>
  <c r="G65" i="5"/>
  <c r="L13" i="3"/>
  <c r="L37" i="3"/>
  <c r="P41" i="3"/>
  <c r="L45" i="3"/>
  <c r="G40" i="5"/>
  <c r="G55" i="5"/>
  <c r="K46" i="5"/>
  <c r="G47" i="5"/>
  <c r="P37" i="3"/>
  <c r="U44" i="3"/>
  <c r="G42" i="5"/>
  <c r="L28" i="3"/>
  <c r="P44" i="3"/>
  <c r="P12" i="3"/>
  <c r="P15" i="3"/>
  <c r="L31" i="3"/>
  <c r="L46" i="3"/>
  <c r="L22" i="3"/>
  <c r="P14" i="3"/>
  <c r="D4" i="8"/>
  <c r="P31" i="3"/>
  <c r="G24" i="5"/>
  <c r="G52" i="5"/>
  <c r="G20" i="5"/>
  <c r="G15" i="6"/>
  <c r="P18" i="3"/>
  <c r="L26" i="3"/>
  <c r="P42" i="3"/>
  <c r="U50" i="3"/>
  <c r="H70" i="3"/>
  <c r="P5" i="3"/>
  <c r="P33" i="3"/>
  <c r="H38" i="3"/>
  <c r="P22" i="3"/>
  <c r="L6" i="3"/>
  <c r="G8" i="5"/>
  <c r="G36" i="5"/>
  <c r="G34" i="6"/>
  <c r="G39" i="6"/>
  <c r="G72" i="5"/>
  <c r="K21" i="5"/>
  <c r="G30" i="5"/>
  <c r="K45" i="5"/>
  <c r="K53" i="5"/>
  <c r="G70" i="5"/>
  <c r="E61" i="8"/>
  <c r="D2" i="8"/>
  <c r="L2" i="3"/>
  <c r="H62" i="3"/>
  <c r="D3" i="8"/>
  <c r="L3" i="3"/>
  <c r="L11" i="3"/>
  <c r="P11" i="3"/>
  <c r="P19" i="3"/>
  <c r="L19" i="3"/>
  <c r="D14" i="8"/>
  <c r="D13" i="8"/>
  <c r="L35" i="3"/>
  <c r="U21" i="3" s="1"/>
  <c r="D5" i="8"/>
  <c r="D6" i="8"/>
  <c r="P51" i="3"/>
  <c r="L51" i="3"/>
  <c r="U51" i="3"/>
  <c r="W51" i="3" s="1"/>
  <c r="H60" i="3"/>
  <c r="J60" i="3" s="1"/>
  <c r="S60" i="3" s="1"/>
  <c r="P25" i="3"/>
  <c r="L12" i="3"/>
  <c r="G12" i="3"/>
  <c r="L44" i="3"/>
  <c r="G60" i="3"/>
  <c r="P60" i="3"/>
  <c r="L60" i="3"/>
  <c r="U35" i="3"/>
  <c r="W35" i="3" s="1"/>
  <c r="H20" i="3"/>
  <c r="J20" i="3" s="1"/>
  <c r="S20" i="3" s="1"/>
  <c r="H24" i="3"/>
  <c r="J24" i="3" s="1"/>
  <c r="S24" i="3" s="1"/>
  <c r="U20" i="3"/>
  <c r="D7" i="8"/>
  <c r="H30" i="3"/>
  <c r="J30" i="3" s="1"/>
  <c r="H12" i="3"/>
  <c r="J12" i="3" s="1"/>
  <c r="S12" i="3" s="1"/>
  <c r="H50" i="3"/>
  <c r="J50" i="3" s="1"/>
  <c r="S50" i="3" s="1"/>
  <c r="H67" i="3"/>
  <c r="H25" i="3"/>
  <c r="H27" i="3"/>
  <c r="H33" i="3"/>
  <c r="H23" i="3"/>
  <c r="J23" i="3" s="1"/>
  <c r="S23" i="3" s="1"/>
  <c r="H28" i="3"/>
  <c r="H10" i="3"/>
  <c r="J10" i="3" s="1"/>
  <c r="S10" i="3" s="1"/>
  <c r="H51" i="3"/>
  <c r="H13" i="3"/>
  <c r="J13" i="3" s="1"/>
  <c r="S13" i="3" s="1"/>
  <c r="U33" i="3"/>
  <c r="W33" i="3" s="1"/>
  <c r="H29" i="3"/>
  <c r="J29" i="3" s="1"/>
  <c r="S29" i="3" s="1"/>
  <c r="H57" i="3"/>
  <c r="H65" i="3"/>
  <c r="H8" i="3"/>
  <c r="J8" i="3" s="1"/>
  <c r="S8" i="3" s="1"/>
  <c r="H14" i="3"/>
  <c r="J14" i="3" s="1"/>
  <c r="S14" i="3" s="1"/>
  <c r="H18" i="3"/>
  <c r="J18" i="3" s="1"/>
  <c r="S18" i="3" s="1"/>
  <c r="U46" i="3"/>
  <c r="H54" i="3"/>
  <c r="J54" i="3" s="1"/>
  <c r="S54" i="3" s="1"/>
  <c r="H15" i="3"/>
  <c r="H35" i="3"/>
  <c r="J35" i="3" s="1"/>
  <c r="S35" i="3" s="1"/>
  <c r="H37" i="3"/>
  <c r="J37" i="3" s="1"/>
  <c r="S37" i="3" s="1"/>
  <c r="H42" i="3"/>
  <c r="J42" i="3" s="1"/>
  <c r="S42" i="3" s="1"/>
  <c r="H22" i="3"/>
  <c r="J22" i="3" s="1"/>
  <c r="S22" i="3" s="1"/>
  <c r="H46" i="3"/>
  <c r="J46" i="3" s="1"/>
  <c r="S46" i="3" s="1"/>
  <c r="H6" i="3"/>
  <c r="J6" i="3" s="1"/>
  <c r="S6" i="3" s="1"/>
  <c r="U37" i="3"/>
  <c r="W37" i="3" s="1"/>
  <c r="H41" i="3"/>
  <c r="H39" i="3"/>
  <c r="H56" i="3"/>
  <c r="H49" i="3"/>
  <c r="J49" i="3" s="1"/>
  <c r="S49" i="3" s="1"/>
  <c r="H2" i="3"/>
  <c r="J2" i="3" s="1"/>
  <c r="S2" i="3" s="1"/>
  <c r="H53" i="3"/>
  <c r="J53" i="3" s="1"/>
  <c r="S53" i="3" s="1"/>
  <c r="H44" i="3"/>
  <c r="J44" i="3" s="1"/>
  <c r="S44" i="3" s="1"/>
  <c r="H16" i="3"/>
  <c r="H19" i="3"/>
  <c r="J19" i="3" s="1"/>
  <c r="S19" i="3" s="1"/>
  <c r="U39" i="3"/>
  <c r="W39" i="3" s="1"/>
  <c r="H63" i="3"/>
  <c r="P49" i="3"/>
  <c r="P57" i="3"/>
  <c r="U57" i="3"/>
  <c r="W57" i="3" s="1"/>
  <c r="L57" i="3"/>
  <c r="U38" i="3"/>
  <c r="W38" i="3" s="1"/>
  <c r="L49" i="3"/>
  <c r="H5" i="3"/>
  <c r="L10" i="3"/>
  <c r="D10" i="8"/>
  <c r="P10" i="3"/>
  <c r="U42" i="3"/>
  <c r="W42" i="3" s="1"/>
  <c r="U58" i="3"/>
  <c r="H43" i="3"/>
  <c r="U45" i="3"/>
  <c r="W45" i="3" s="1"/>
  <c r="L27" i="3"/>
  <c r="U43" i="3"/>
  <c r="P43" i="3"/>
  <c r="L43" i="3"/>
  <c r="P58" i="3"/>
  <c r="H26" i="3"/>
  <c r="J26" i="3" s="1"/>
  <c r="S26" i="3" s="1"/>
  <c r="L4" i="3"/>
  <c r="P4" i="3"/>
  <c r="P20" i="3"/>
  <c r="D12" i="8"/>
  <c r="D11" i="8"/>
  <c r="H45" i="3"/>
  <c r="P3" i="3"/>
  <c r="H31" i="3"/>
  <c r="H66" i="3"/>
  <c r="L33" i="3"/>
  <c r="P2" i="3"/>
  <c r="E68" i="8"/>
  <c r="I68" i="3"/>
  <c r="P9" i="3"/>
  <c r="H4" i="3"/>
  <c r="J4" i="3" s="1"/>
  <c r="S4" i="3" s="1"/>
  <c r="L18" i="3"/>
  <c r="L50" i="3"/>
  <c r="P50" i="3"/>
  <c r="H3" i="3"/>
  <c r="J3" i="3" s="1"/>
  <c r="S3" i="3" s="1"/>
  <c r="H7" i="3"/>
  <c r="J7" i="3" s="1"/>
  <c r="S7" i="3" s="1"/>
  <c r="U49" i="3"/>
  <c r="W49" i="3" s="1"/>
  <c r="E69" i="8"/>
  <c r="D8" i="8"/>
  <c r="L8" i="3"/>
  <c r="P16" i="3"/>
  <c r="P24" i="3"/>
  <c r="U56" i="3"/>
  <c r="W56" i="3" s="1"/>
  <c r="P56" i="3"/>
  <c r="K15" i="3"/>
  <c r="K27" i="3"/>
  <c r="K34" i="3"/>
  <c r="K5" i="3"/>
  <c r="O26" i="3"/>
  <c r="O3" i="3"/>
  <c r="O15" i="3"/>
  <c r="O39" i="3"/>
  <c r="O48" i="3"/>
  <c r="O7" i="3"/>
  <c r="K38" i="3"/>
  <c r="O34" i="3"/>
  <c r="K39" i="3"/>
  <c r="O38" i="3"/>
  <c r="K26" i="3"/>
  <c r="K30" i="3"/>
  <c r="K4" i="3"/>
  <c r="O4" i="3"/>
  <c r="K12" i="3"/>
  <c r="O12" i="3"/>
  <c r="K58" i="3"/>
  <c r="K57" i="3"/>
  <c r="L25" i="3"/>
  <c r="L30" i="3"/>
  <c r="L42" i="3"/>
  <c r="G14" i="5"/>
  <c r="G13" i="5"/>
  <c r="G12" i="6"/>
  <c r="H11" i="3"/>
  <c r="H68" i="3"/>
  <c r="G71" i="5"/>
  <c r="S30" i="3"/>
  <c r="K42" i="3" l="1"/>
  <c r="K56" i="3"/>
  <c r="O60" i="3"/>
  <c r="K48" i="3"/>
  <c r="K36" i="3"/>
  <c r="K56" i="5"/>
  <c r="G50" i="6"/>
  <c r="H34" i="3"/>
  <c r="J34" i="3" s="1"/>
  <c r="S34" i="3" s="1"/>
  <c r="U47" i="3"/>
  <c r="W47" i="3" s="1"/>
  <c r="G56" i="3"/>
  <c r="D17" i="8"/>
  <c r="G51" i="5"/>
  <c r="G38" i="5"/>
  <c r="P34" i="3"/>
  <c r="U34" i="3"/>
  <c r="P59" i="3"/>
  <c r="W44" i="3"/>
  <c r="G55" i="6"/>
  <c r="G43" i="6"/>
  <c r="U48" i="3"/>
  <c r="G73" i="5"/>
  <c r="G56" i="6"/>
  <c r="G44" i="6"/>
  <c r="P40" i="3"/>
  <c r="G63" i="6"/>
  <c r="N63" i="6" s="1"/>
  <c r="P52" i="3"/>
  <c r="U40" i="3"/>
  <c r="W40" i="3" s="1"/>
  <c r="L59" i="3"/>
  <c r="H52" i="3"/>
  <c r="J52" i="3" s="1"/>
  <c r="S52" i="3" s="1"/>
  <c r="E52" i="3"/>
  <c r="L40" i="3"/>
  <c r="G45" i="5"/>
  <c r="N62" i="6"/>
  <c r="G37" i="5"/>
  <c r="G68" i="5"/>
  <c r="J40" i="3"/>
  <c r="S40" i="3" s="1"/>
  <c r="E34" i="3"/>
  <c r="U52" i="3"/>
  <c r="W52" i="3" s="1"/>
  <c r="K49" i="5"/>
  <c r="G53" i="6"/>
  <c r="G41" i="6"/>
  <c r="G44" i="3"/>
  <c r="H47" i="3"/>
  <c r="J47" i="3" s="1"/>
  <c r="S47" i="3" s="1"/>
  <c r="G50" i="5"/>
  <c r="I62" i="3"/>
  <c r="E62" i="8"/>
  <c r="F51" i="30"/>
  <c r="F51" i="18"/>
  <c r="F60" i="30"/>
  <c r="F60" i="18"/>
  <c r="G9" i="30"/>
  <c r="G9" i="18"/>
  <c r="G51" i="30"/>
  <c r="G51" i="18"/>
  <c r="O16" i="3"/>
  <c r="K16" i="3"/>
  <c r="G28" i="18"/>
  <c r="G28" i="30"/>
  <c r="G22" i="30"/>
  <c r="G22" i="18"/>
  <c r="G36" i="18"/>
  <c r="G36" i="30"/>
  <c r="E22" i="21"/>
  <c r="E22" i="30"/>
  <c r="J67" i="6"/>
  <c r="E53" i="30"/>
  <c r="E53" i="21"/>
  <c r="E41" i="30"/>
  <c r="E41" i="21"/>
  <c r="E29" i="30"/>
  <c r="E29" i="21"/>
  <c r="E17" i="30"/>
  <c r="E17" i="21"/>
  <c r="E5" i="30"/>
  <c r="E5" i="21"/>
  <c r="K72" i="5"/>
  <c r="G14" i="18"/>
  <c r="E71" i="3"/>
  <c r="F71" i="8" s="1"/>
  <c r="F71" i="30" s="1"/>
  <c r="D9" i="8"/>
  <c r="E71" i="30"/>
  <c r="E71" i="21"/>
  <c r="D31" i="8"/>
  <c r="K65" i="5"/>
  <c r="J45" i="3"/>
  <c r="S45" i="3" s="1"/>
  <c r="J39" i="3"/>
  <c r="S39" i="3" s="1"/>
  <c r="D7" i="30"/>
  <c r="E64" i="21"/>
  <c r="E64" i="30"/>
  <c r="D11" i="30"/>
  <c r="J41" i="3"/>
  <c r="S41" i="3" s="1"/>
  <c r="W46" i="3"/>
  <c r="J28" i="3"/>
  <c r="S28" i="3" s="1"/>
  <c r="L39" i="6"/>
  <c r="G42" i="6"/>
  <c r="L54" i="3"/>
  <c r="E52" i="21"/>
  <c r="E52" i="30"/>
  <c r="E40" i="21"/>
  <c r="E40" i="30"/>
  <c r="E28" i="21"/>
  <c r="E28" i="30"/>
  <c r="E16" i="21"/>
  <c r="E16" i="30"/>
  <c r="E4" i="21"/>
  <c r="E4" i="30"/>
  <c r="G54" i="6"/>
  <c r="F15" i="8"/>
  <c r="E14" i="3"/>
  <c r="E72" i="3"/>
  <c r="F72" i="8" s="1"/>
  <c r="F72" i="30" s="1"/>
  <c r="K9" i="3"/>
  <c r="E51" i="30"/>
  <c r="E51" i="21"/>
  <c r="E27" i="30"/>
  <c r="E27" i="21"/>
  <c r="E3" i="30"/>
  <c r="E3" i="21"/>
  <c r="G12" i="18"/>
  <c r="G12" i="30"/>
  <c r="G29" i="3"/>
  <c r="D17" i="30"/>
  <c r="E39" i="30"/>
  <c r="E39" i="21"/>
  <c r="J33" i="3"/>
  <c r="S33" i="3" s="1"/>
  <c r="D14" i="30"/>
  <c r="D4" i="30"/>
  <c r="N58" i="6"/>
  <c r="E50" i="30"/>
  <c r="E50" i="21"/>
  <c r="E38" i="30"/>
  <c r="E38" i="21"/>
  <c r="E26" i="30"/>
  <c r="E26" i="21"/>
  <c r="E14" i="30"/>
  <c r="E14" i="21"/>
  <c r="E2" i="30"/>
  <c r="E2" i="21"/>
  <c r="L28" i="6"/>
  <c r="G17" i="6"/>
  <c r="G8" i="18"/>
  <c r="G8" i="30"/>
  <c r="D65" i="30"/>
  <c r="D76" i="30"/>
  <c r="G74" i="5"/>
  <c r="G75" i="5"/>
  <c r="G39" i="5"/>
  <c r="E23" i="3"/>
  <c r="G23" i="3" s="1"/>
  <c r="E31" i="3"/>
  <c r="E53" i="3"/>
  <c r="F53" i="8" s="1"/>
  <c r="F53" i="30" s="1"/>
  <c r="O59" i="3"/>
  <c r="C75" i="8"/>
  <c r="C76" i="8"/>
  <c r="D15" i="8"/>
  <c r="D10" i="30"/>
  <c r="D2" i="30"/>
  <c r="E15" i="30"/>
  <c r="E15" i="21"/>
  <c r="D8" i="30"/>
  <c r="W43" i="3"/>
  <c r="E49" i="21"/>
  <c r="E49" i="30"/>
  <c r="E37" i="21"/>
  <c r="E37" i="30"/>
  <c r="E25" i="21"/>
  <c r="E25" i="30"/>
  <c r="E13" i="21"/>
  <c r="E13" i="30"/>
  <c r="E68" i="30"/>
  <c r="E68" i="21"/>
  <c r="J5" i="3"/>
  <c r="S5" i="3" s="1"/>
  <c r="U54" i="3"/>
  <c r="W54" i="3" s="1"/>
  <c r="J25" i="3"/>
  <c r="S25" i="3" s="1"/>
  <c r="E61" i="21"/>
  <c r="E61" i="30"/>
  <c r="L34" i="6"/>
  <c r="E73" i="27"/>
  <c r="E60" i="30"/>
  <c r="E60" i="21"/>
  <c r="E48" i="30"/>
  <c r="E48" i="21"/>
  <c r="E36" i="30"/>
  <c r="E36" i="21"/>
  <c r="E24" i="30"/>
  <c r="E24" i="21"/>
  <c r="E12" i="30"/>
  <c r="E12" i="21"/>
  <c r="E3" i="3"/>
  <c r="E10" i="3"/>
  <c r="E16" i="3"/>
  <c r="G16" i="3" s="1"/>
  <c r="E39" i="3"/>
  <c r="F39" i="8" s="1"/>
  <c r="F39" i="30" s="1"/>
  <c r="E46" i="3"/>
  <c r="G46" i="3" s="1"/>
  <c r="E62" i="3"/>
  <c r="O58" i="3"/>
  <c r="O46" i="3"/>
  <c r="D12" i="30"/>
  <c r="D13" i="30"/>
  <c r="E69" i="30"/>
  <c r="E69" i="21"/>
  <c r="J16" i="3"/>
  <c r="S16" i="3" s="1"/>
  <c r="J57" i="3"/>
  <c r="S57" i="3" s="1"/>
  <c r="W50" i="3"/>
  <c r="E59" i="30"/>
  <c r="E59" i="21"/>
  <c r="E47" i="30"/>
  <c r="E47" i="21"/>
  <c r="E35" i="30"/>
  <c r="E35" i="21"/>
  <c r="E23" i="30"/>
  <c r="E23" i="21"/>
  <c r="E11" i="30"/>
  <c r="E11" i="21"/>
  <c r="G33" i="18"/>
  <c r="E54" i="3"/>
  <c r="E63" i="3"/>
  <c r="F63" i="8" s="1"/>
  <c r="F63" i="30" s="1"/>
  <c r="O57" i="3"/>
  <c r="D16" i="8"/>
  <c r="D16" i="27" s="1"/>
  <c r="D62" i="8"/>
  <c r="K59" i="5"/>
  <c r="G12" i="5"/>
  <c r="B75" i="30"/>
  <c r="A76" i="3"/>
  <c r="G45" i="3"/>
  <c r="N61" i="6"/>
  <c r="G45" i="18"/>
  <c r="E11" i="3"/>
  <c r="E25" i="3"/>
  <c r="E33" i="3"/>
  <c r="E40" i="3"/>
  <c r="G40" i="3" s="1"/>
  <c r="E47" i="3"/>
  <c r="G47" i="3" s="1"/>
  <c r="E65" i="3"/>
  <c r="F65" i="8" s="1"/>
  <c r="F65" i="30" s="1"/>
  <c r="K20" i="3"/>
  <c r="D61" i="8"/>
  <c r="E24" i="3"/>
  <c r="G24" i="3" s="1"/>
  <c r="E46" i="21"/>
  <c r="E46" i="30"/>
  <c r="E57" i="30"/>
  <c r="E57" i="21"/>
  <c r="E45" i="30"/>
  <c r="E45" i="21"/>
  <c r="E33" i="30"/>
  <c r="E33" i="21"/>
  <c r="E21" i="30"/>
  <c r="E21" i="21"/>
  <c r="E9" i="30"/>
  <c r="E9" i="21"/>
  <c r="E5" i="3"/>
  <c r="E18" i="3"/>
  <c r="E66" i="3"/>
  <c r="F66" i="8" s="1"/>
  <c r="F66" i="30" s="1"/>
  <c r="D60" i="8"/>
  <c r="D60" i="27" s="1"/>
  <c r="W48" i="3"/>
  <c r="G9" i="5"/>
  <c r="E58" i="21"/>
  <c r="E58" i="30"/>
  <c r="E56" i="30"/>
  <c r="E56" i="21"/>
  <c r="E44" i="30"/>
  <c r="E44" i="21"/>
  <c r="E32" i="30"/>
  <c r="E32" i="21"/>
  <c r="E20" i="30"/>
  <c r="E20" i="21"/>
  <c r="E8" i="30"/>
  <c r="E8" i="21"/>
  <c r="G76" i="3"/>
  <c r="F76" i="8"/>
  <c r="E10" i="21"/>
  <c r="E10" i="30"/>
  <c r="I66" i="3"/>
  <c r="E55" i="21"/>
  <c r="E55" i="30"/>
  <c r="E75" i="21"/>
  <c r="E76" i="21"/>
  <c r="E74" i="21"/>
  <c r="E43" i="21"/>
  <c r="E43" i="30"/>
  <c r="E31" i="21"/>
  <c r="E31" i="30"/>
  <c r="E19" i="21"/>
  <c r="E19" i="30"/>
  <c r="E7" i="21"/>
  <c r="E7" i="30"/>
  <c r="E6" i="3"/>
  <c r="E27" i="3"/>
  <c r="E42" i="3"/>
  <c r="E68" i="3"/>
  <c r="F68" i="8" s="1"/>
  <c r="E4" i="3"/>
  <c r="G4" i="3" s="1"/>
  <c r="D46" i="8"/>
  <c r="G44" i="5"/>
  <c r="E34" i="21"/>
  <c r="E34" i="30"/>
  <c r="D3" i="30"/>
  <c r="D6" i="30"/>
  <c r="K30" i="6"/>
  <c r="J56" i="3"/>
  <c r="S56" i="3" s="1"/>
  <c r="J51" i="3"/>
  <c r="S51" i="3" s="1"/>
  <c r="D5" i="30"/>
  <c r="W34" i="3"/>
  <c r="J38" i="3"/>
  <c r="S38" i="3" s="1"/>
  <c r="L24" i="6"/>
  <c r="E54" i="30"/>
  <c r="E54" i="21"/>
  <c r="E42" i="30"/>
  <c r="E42" i="21"/>
  <c r="E30" i="30"/>
  <c r="E30" i="21"/>
  <c r="E18" i="30"/>
  <c r="E18" i="21"/>
  <c r="E6" i="30"/>
  <c r="E6" i="21"/>
  <c r="G20" i="6"/>
  <c r="L20" i="6" s="1"/>
  <c r="G24" i="18"/>
  <c r="G24" i="30"/>
  <c r="E13" i="3"/>
  <c r="G13" i="3" s="1"/>
  <c r="E20" i="3"/>
  <c r="E35" i="3"/>
  <c r="E57" i="3"/>
  <c r="E70" i="3"/>
  <c r="F70" i="8" s="1"/>
  <c r="F70" i="30" s="1"/>
  <c r="P32" i="3"/>
  <c r="E73" i="21"/>
  <c r="D65" i="27"/>
  <c r="G18" i="28"/>
  <c r="G18" i="29"/>
  <c r="G18" i="27"/>
  <c r="G18" i="26"/>
  <c r="G18" i="18"/>
  <c r="G58" i="28"/>
  <c r="G58" i="29"/>
  <c r="G58" i="27"/>
  <c r="G58" i="26"/>
  <c r="G58" i="18"/>
  <c r="G19" i="28"/>
  <c r="G19" i="29"/>
  <c r="G19" i="27"/>
  <c r="G19" i="26"/>
  <c r="G50" i="28"/>
  <c r="G50" i="29"/>
  <c r="G50" i="27"/>
  <c r="G50" i="26"/>
  <c r="G50" i="18"/>
  <c r="G11" i="5"/>
  <c r="W58" i="3"/>
  <c r="E59" i="29"/>
  <c r="E59" i="28"/>
  <c r="E59" i="27"/>
  <c r="E43" i="29"/>
  <c r="E43" i="28"/>
  <c r="E43" i="27"/>
  <c r="E27" i="29"/>
  <c r="E27" i="28"/>
  <c r="E27" i="27"/>
  <c r="E11" i="29"/>
  <c r="E11" i="28"/>
  <c r="E11" i="27"/>
  <c r="F66" i="29"/>
  <c r="G43" i="29"/>
  <c r="G43" i="28"/>
  <c r="G43" i="27"/>
  <c r="G43" i="26"/>
  <c r="G7" i="28"/>
  <c r="G7" i="29"/>
  <c r="G7" i="27"/>
  <c r="G7" i="26"/>
  <c r="E48" i="3"/>
  <c r="C52" i="8"/>
  <c r="D48" i="8"/>
  <c r="H73" i="3"/>
  <c r="J73" i="3" s="1"/>
  <c r="H74" i="3"/>
  <c r="J74" i="3" s="1"/>
  <c r="H75" i="3"/>
  <c r="J75" i="3" s="1"/>
  <c r="D18" i="8"/>
  <c r="D8" i="27"/>
  <c r="G48" i="28"/>
  <c r="G48" i="29"/>
  <c r="G48" i="27"/>
  <c r="G48" i="26"/>
  <c r="H61" i="3"/>
  <c r="J61" i="3" s="1"/>
  <c r="G60" i="5"/>
  <c r="P17" i="3"/>
  <c r="E57" i="28"/>
  <c r="E57" i="29"/>
  <c r="E57" i="27"/>
  <c r="E41" i="29"/>
  <c r="E41" i="28"/>
  <c r="E41" i="27"/>
  <c r="E25" i="28"/>
  <c r="E25" i="29"/>
  <c r="E25" i="27"/>
  <c r="E9" i="28"/>
  <c r="E9" i="29"/>
  <c r="E9" i="27"/>
  <c r="G33" i="29"/>
  <c r="G33" i="28"/>
  <c r="G33" i="27"/>
  <c r="G33" i="26"/>
  <c r="G39" i="8"/>
  <c r="G39" i="30" s="1"/>
  <c r="D73" i="8"/>
  <c r="D74" i="8"/>
  <c r="D75" i="8"/>
  <c r="D76" i="29" s="1"/>
  <c r="E58" i="29"/>
  <c r="E58" i="28"/>
  <c r="E58" i="27"/>
  <c r="F65" i="28"/>
  <c r="F65" i="26"/>
  <c r="H32" i="3"/>
  <c r="J32" i="3" s="1"/>
  <c r="S32" i="3" s="1"/>
  <c r="E56" i="28"/>
  <c r="E56" i="29"/>
  <c r="E56" i="27"/>
  <c r="E40" i="28"/>
  <c r="E40" i="29"/>
  <c r="E40" i="27"/>
  <c r="E24" i="28"/>
  <c r="E24" i="29"/>
  <c r="E24" i="27"/>
  <c r="E8" i="28"/>
  <c r="E8" i="29"/>
  <c r="E8" i="27"/>
  <c r="F44" i="18"/>
  <c r="F44" i="29"/>
  <c r="F44" i="28"/>
  <c r="F44" i="27"/>
  <c r="F44" i="26"/>
  <c r="G8" i="28"/>
  <c r="G8" i="29"/>
  <c r="G8" i="27"/>
  <c r="G8" i="26"/>
  <c r="F39" i="29"/>
  <c r="F39" i="28"/>
  <c r="F39" i="27"/>
  <c r="F39" i="26"/>
  <c r="F12" i="29"/>
  <c r="F12" i="28"/>
  <c r="F12" i="27"/>
  <c r="F12" i="26"/>
  <c r="J70" i="3"/>
  <c r="D46" i="27"/>
  <c r="E10" i="29"/>
  <c r="E10" i="28"/>
  <c r="E10" i="27"/>
  <c r="G42" i="28"/>
  <c r="G42" i="29"/>
  <c r="G42" i="27"/>
  <c r="G42" i="26"/>
  <c r="E69" i="28"/>
  <c r="E69" i="29"/>
  <c r="D10" i="27"/>
  <c r="D4" i="27"/>
  <c r="E55" i="29"/>
  <c r="E55" i="28"/>
  <c r="E55" i="27"/>
  <c r="E39" i="29"/>
  <c r="E39" i="28"/>
  <c r="E39" i="27"/>
  <c r="E23" i="29"/>
  <c r="E23" i="28"/>
  <c r="E23" i="27"/>
  <c r="E7" i="29"/>
  <c r="E7" i="28"/>
  <c r="E7" i="27"/>
  <c r="G57" i="29"/>
  <c r="G57" i="28"/>
  <c r="G57" i="27"/>
  <c r="G57" i="26"/>
  <c r="G9" i="29"/>
  <c r="G9" i="28"/>
  <c r="G9" i="27"/>
  <c r="G9" i="26"/>
  <c r="G43" i="18"/>
  <c r="G4" i="28"/>
  <c r="G4" i="29"/>
  <c r="G4" i="27"/>
  <c r="G4" i="26"/>
  <c r="G38" i="29"/>
  <c r="G38" i="28"/>
  <c r="G38" i="27"/>
  <c r="G38" i="26"/>
  <c r="D59" i="8"/>
  <c r="K59" i="29" s="1"/>
  <c r="D45" i="8"/>
  <c r="D29" i="8"/>
  <c r="K46" i="29"/>
  <c r="E42" i="29"/>
  <c r="E42" i="28"/>
  <c r="E42" i="27"/>
  <c r="K35" i="3"/>
  <c r="H17" i="3"/>
  <c r="J17" i="3" s="1"/>
  <c r="S17" i="3" s="1"/>
  <c r="D7" i="27"/>
  <c r="G59" i="5"/>
  <c r="E64" i="28"/>
  <c r="E64" i="29"/>
  <c r="G27" i="5"/>
  <c r="E54" i="29"/>
  <c r="E54" i="28"/>
  <c r="E54" i="27"/>
  <c r="E38" i="29"/>
  <c r="E38" i="28"/>
  <c r="E38" i="27"/>
  <c r="E22" i="29"/>
  <c r="E22" i="28"/>
  <c r="E22" i="27"/>
  <c r="E6" i="29"/>
  <c r="E6" i="28"/>
  <c r="E6" i="27"/>
  <c r="F29" i="28"/>
  <c r="F29" i="29"/>
  <c r="F29" i="27"/>
  <c r="F29" i="26"/>
  <c r="G40" i="28"/>
  <c r="G40" i="29"/>
  <c r="G40" i="27"/>
  <c r="G40" i="26"/>
  <c r="F67" i="18"/>
  <c r="F67" i="28"/>
  <c r="F67" i="29"/>
  <c r="F67" i="27"/>
  <c r="F67" i="26"/>
  <c r="E61" i="3"/>
  <c r="F61" i="8" s="1"/>
  <c r="F61" i="30" s="1"/>
  <c r="K16" i="28"/>
  <c r="K16" i="29"/>
  <c r="D44" i="8"/>
  <c r="K44" i="30" s="1"/>
  <c r="B61" i="28"/>
  <c r="B61" i="29"/>
  <c r="B61" i="27"/>
  <c r="B61" i="26"/>
  <c r="K29" i="28"/>
  <c r="K29" i="29"/>
  <c r="G12" i="28"/>
  <c r="G12" i="29"/>
  <c r="G12" i="27"/>
  <c r="G12" i="26"/>
  <c r="D3" i="27"/>
  <c r="G43" i="5"/>
  <c r="E53" i="28"/>
  <c r="E53" i="29"/>
  <c r="E53" i="27"/>
  <c r="E37" i="28"/>
  <c r="E37" i="29"/>
  <c r="E37" i="27"/>
  <c r="E21" i="28"/>
  <c r="E21" i="29"/>
  <c r="E21" i="27"/>
  <c r="E5" i="28"/>
  <c r="E5" i="29"/>
  <c r="E5" i="27"/>
  <c r="G25" i="29"/>
  <c r="G25" i="28"/>
  <c r="G25" i="27"/>
  <c r="G25" i="26"/>
  <c r="G5" i="29"/>
  <c r="G5" i="28"/>
  <c r="G5" i="27"/>
  <c r="G5" i="26"/>
  <c r="G5" i="24"/>
  <c r="F63" i="28"/>
  <c r="F63" i="29"/>
  <c r="F63" i="27"/>
  <c r="F63" i="26"/>
  <c r="G31" i="29"/>
  <c r="G31" i="28"/>
  <c r="G31" i="27"/>
  <c r="G31" i="26"/>
  <c r="K7" i="3"/>
  <c r="D72" i="8"/>
  <c r="D57" i="8"/>
  <c r="K57" i="29" s="1"/>
  <c r="D27" i="8"/>
  <c r="K27" i="29" s="1"/>
  <c r="K60" i="29"/>
  <c r="K60" i="28"/>
  <c r="K44" i="28"/>
  <c r="F7" i="28"/>
  <c r="F7" i="29"/>
  <c r="F7" i="27"/>
  <c r="F7" i="26"/>
  <c r="J31" i="3"/>
  <c r="S31" i="3" s="1"/>
  <c r="J15" i="3"/>
  <c r="S15" i="3" s="1"/>
  <c r="E52" i="28"/>
  <c r="E52" i="29"/>
  <c r="E52" i="27"/>
  <c r="E36" i="29"/>
  <c r="E36" i="28"/>
  <c r="E36" i="27"/>
  <c r="E20" i="29"/>
  <c r="E20" i="28"/>
  <c r="E20" i="27"/>
  <c r="E4" i="29"/>
  <c r="E4" i="28"/>
  <c r="E4" i="27"/>
  <c r="G59" i="29"/>
  <c r="G59" i="28"/>
  <c r="G59" i="27"/>
  <c r="G59" i="26"/>
  <c r="D70" i="8"/>
  <c r="D73" i="18" s="1"/>
  <c r="D56" i="8"/>
  <c r="K56" i="30" s="1"/>
  <c r="D42" i="8"/>
  <c r="K59" i="28"/>
  <c r="P48" i="3"/>
  <c r="L32" i="3"/>
  <c r="K27" i="5"/>
  <c r="E51" i="29"/>
  <c r="E51" i="28"/>
  <c r="E51" i="27"/>
  <c r="E35" i="29"/>
  <c r="E35" i="28"/>
  <c r="E35" i="27"/>
  <c r="E19" i="29"/>
  <c r="E19" i="28"/>
  <c r="E19" i="27"/>
  <c r="E3" i="29"/>
  <c r="E3" i="28"/>
  <c r="E3" i="27"/>
  <c r="E62" i="29"/>
  <c r="E62" i="28"/>
  <c r="E72" i="8"/>
  <c r="E72" i="27" s="1"/>
  <c r="F53" i="28"/>
  <c r="F53" i="29"/>
  <c r="F53" i="27"/>
  <c r="F53" i="26"/>
  <c r="F72" i="29"/>
  <c r="F72" i="28"/>
  <c r="F72" i="27"/>
  <c r="F72" i="26"/>
  <c r="G36" i="29"/>
  <c r="G36" i="28"/>
  <c r="G36" i="27"/>
  <c r="G36" i="26"/>
  <c r="G30" i="29"/>
  <c r="G30" i="28"/>
  <c r="G30" i="27"/>
  <c r="G30" i="26"/>
  <c r="G14" i="29"/>
  <c r="G14" i="28"/>
  <c r="G14" i="27"/>
  <c r="G14" i="26"/>
  <c r="C28" i="8"/>
  <c r="C28" i="29" s="1"/>
  <c r="U55" i="3"/>
  <c r="W55" i="3" s="1"/>
  <c r="D25" i="8"/>
  <c r="K42" i="28"/>
  <c r="E68" i="28"/>
  <c r="E68" i="29"/>
  <c r="E75" i="20"/>
  <c r="E74" i="20"/>
  <c r="C13" i="8"/>
  <c r="E50" i="29"/>
  <c r="E50" i="28"/>
  <c r="E50" i="27"/>
  <c r="E34" i="29"/>
  <c r="E34" i="28"/>
  <c r="E34" i="27"/>
  <c r="E18" i="29"/>
  <c r="E18" i="28"/>
  <c r="E18" i="27"/>
  <c r="E2" i="28"/>
  <c r="E2" i="29"/>
  <c r="E2" i="27"/>
  <c r="G21" i="28"/>
  <c r="G21" i="29"/>
  <c r="G21" i="27"/>
  <c r="G21" i="26"/>
  <c r="G32" i="28"/>
  <c r="G32" i="29"/>
  <c r="G32" i="27"/>
  <c r="G32" i="26"/>
  <c r="G55" i="28"/>
  <c r="G55" i="29"/>
  <c r="G55" i="27"/>
  <c r="G55" i="26"/>
  <c r="D68" i="8"/>
  <c r="D2" i="20" s="1"/>
  <c r="D54" i="8"/>
  <c r="D40" i="8"/>
  <c r="K57" i="28"/>
  <c r="K25" i="28"/>
  <c r="K25" i="29"/>
  <c r="G73" i="29"/>
  <c r="G73" i="28"/>
  <c r="D11" i="27"/>
  <c r="J59" i="3"/>
  <c r="S59" i="3" s="1"/>
  <c r="E49" i="29"/>
  <c r="E49" i="28"/>
  <c r="E49" i="27"/>
  <c r="E75" i="24"/>
  <c r="E74" i="24"/>
  <c r="E33" i="29"/>
  <c r="E33" i="28"/>
  <c r="E33" i="27"/>
  <c r="E17" i="28"/>
  <c r="E17" i="29"/>
  <c r="E17" i="27"/>
  <c r="F68" i="28"/>
  <c r="F68" i="29"/>
  <c r="F68" i="27"/>
  <c r="F68" i="26"/>
  <c r="G54" i="29"/>
  <c r="G54" i="28"/>
  <c r="G54" i="27"/>
  <c r="G54" i="26"/>
  <c r="G23" i="28"/>
  <c r="G23" i="29"/>
  <c r="G23" i="27"/>
  <c r="G23" i="26"/>
  <c r="K13" i="3"/>
  <c r="D67" i="8"/>
  <c r="D76" i="26" s="1"/>
  <c r="D53" i="8"/>
  <c r="K53" i="29" s="1"/>
  <c r="D39" i="8"/>
  <c r="D61" i="27"/>
  <c r="C3" i="8"/>
  <c r="C3" i="29" s="1"/>
  <c r="U32" i="3"/>
  <c r="W32" i="3" s="1"/>
  <c r="D12" i="27"/>
  <c r="H48" i="3"/>
  <c r="J48" i="3" s="1"/>
  <c r="S48" i="3" s="1"/>
  <c r="D6" i="27"/>
  <c r="D2" i="27"/>
  <c r="E48" i="28"/>
  <c r="E48" i="29"/>
  <c r="E48" i="27"/>
  <c r="E32" i="28"/>
  <c r="E32" i="29"/>
  <c r="E32" i="27"/>
  <c r="E16" i="28"/>
  <c r="E16" i="29"/>
  <c r="E16" i="27"/>
  <c r="L35" i="6"/>
  <c r="G49" i="29"/>
  <c r="G49" i="28"/>
  <c r="G49" i="27"/>
  <c r="G49" i="26"/>
  <c r="G28" i="29"/>
  <c r="G28" i="28"/>
  <c r="G28" i="27"/>
  <c r="G28" i="26"/>
  <c r="G51" i="28"/>
  <c r="G51" i="29"/>
  <c r="G51" i="27"/>
  <c r="G51" i="26"/>
  <c r="G22" i="29"/>
  <c r="G22" i="28"/>
  <c r="G22" i="27"/>
  <c r="G22" i="26"/>
  <c r="K41" i="3"/>
  <c r="D66" i="8"/>
  <c r="D66" i="23" s="1"/>
  <c r="D52" i="8"/>
  <c r="K52" i="23" s="1"/>
  <c r="D22" i="8"/>
  <c r="K22" i="28" s="1"/>
  <c r="E26" i="29"/>
  <c r="E26" i="28"/>
  <c r="E26" i="27"/>
  <c r="G13" i="18"/>
  <c r="G13" i="28"/>
  <c r="G13" i="29"/>
  <c r="G13" i="27"/>
  <c r="G13" i="26"/>
  <c r="D17" i="27"/>
  <c r="C30" i="8"/>
  <c r="C7" i="8"/>
  <c r="C54" i="8"/>
  <c r="J27" i="3"/>
  <c r="S27" i="3" s="1"/>
  <c r="D5" i="27"/>
  <c r="E47" i="29"/>
  <c r="E47" i="28"/>
  <c r="E47" i="27"/>
  <c r="E31" i="29"/>
  <c r="E31" i="28"/>
  <c r="E31" i="27"/>
  <c r="E15" i="29"/>
  <c r="E15" i="28"/>
  <c r="E15" i="27"/>
  <c r="G45" i="28"/>
  <c r="G45" i="29"/>
  <c r="G45" i="27"/>
  <c r="G45" i="26"/>
  <c r="G17" i="28"/>
  <c r="G17" i="29"/>
  <c r="G17" i="27"/>
  <c r="G17" i="26"/>
  <c r="F60" i="29"/>
  <c r="F60" i="28"/>
  <c r="F60" i="27"/>
  <c r="F60" i="26"/>
  <c r="F51" i="28"/>
  <c r="F51" i="29"/>
  <c r="F51" i="27"/>
  <c r="F51" i="26"/>
  <c r="C66" i="8"/>
  <c r="D37" i="8"/>
  <c r="K37" i="28" s="1"/>
  <c r="E73" i="3"/>
  <c r="E74" i="3"/>
  <c r="E75" i="3"/>
  <c r="K54" i="28"/>
  <c r="K54" i="29"/>
  <c r="E46" i="29"/>
  <c r="E46" i="28"/>
  <c r="E46" i="27"/>
  <c r="E30" i="28"/>
  <c r="E30" i="29"/>
  <c r="E30" i="27"/>
  <c r="E14" i="28"/>
  <c r="E14" i="29"/>
  <c r="E14" i="27"/>
  <c r="F45" i="28"/>
  <c r="F45" i="29"/>
  <c r="F45" i="27"/>
  <c r="F45" i="26"/>
  <c r="G56" i="28"/>
  <c r="G56" i="29"/>
  <c r="G56" i="27"/>
  <c r="G56" i="26"/>
  <c r="G24" i="28"/>
  <c r="G24" i="29"/>
  <c r="G24" i="27"/>
  <c r="G24" i="26"/>
  <c r="E17" i="3"/>
  <c r="E71" i="29"/>
  <c r="E71" i="28"/>
  <c r="D51" i="8"/>
  <c r="K51" i="28" s="1"/>
  <c r="J11" i="3"/>
  <c r="S11" i="3" s="1"/>
  <c r="L9" i="3"/>
  <c r="J62" i="3"/>
  <c r="E45" i="28"/>
  <c r="E45" i="29"/>
  <c r="E45" i="27"/>
  <c r="E29" i="28"/>
  <c r="E29" i="29"/>
  <c r="E29" i="27"/>
  <c r="E13" i="28"/>
  <c r="E13" i="29"/>
  <c r="E13" i="27"/>
  <c r="G2" i="28"/>
  <c r="G2" i="29"/>
  <c r="G2" i="27"/>
  <c r="G2" i="26"/>
  <c r="F56" i="29"/>
  <c r="F56" i="28"/>
  <c r="F56" i="27"/>
  <c r="F56" i="26"/>
  <c r="G47" i="29"/>
  <c r="G47" i="28"/>
  <c r="G47" i="27"/>
  <c r="G47" i="26"/>
  <c r="G15" i="29"/>
  <c r="G15" i="28"/>
  <c r="G15" i="27"/>
  <c r="G15" i="26"/>
  <c r="O11" i="3"/>
  <c r="D35" i="8"/>
  <c r="K35" i="28" s="1"/>
  <c r="D20" i="8"/>
  <c r="K20" i="23" s="1"/>
  <c r="B75" i="27"/>
  <c r="B75" i="23"/>
  <c r="B75" i="26"/>
  <c r="B75" i="29"/>
  <c r="B75" i="21"/>
  <c r="B75" i="24"/>
  <c r="B75" i="28"/>
  <c r="B75" i="8"/>
  <c r="B75" i="18"/>
  <c r="J43" i="3"/>
  <c r="S43" i="3" s="1"/>
  <c r="D13" i="27"/>
  <c r="E61" i="28"/>
  <c r="E61" i="29"/>
  <c r="L17" i="3"/>
  <c r="E60" i="29"/>
  <c r="E60" i="28"/>
  <c r="E60" i="27"/>
  <c r="E75" i="27"/>
  <c r="E74" i="27"/>
  <c r="E44" i="28"/>
  <c r="E44" i="29"/>
  <c r="E44" i="27"/>
  <c r="E28" i="29"/>
  <c r="E28" i="28"/>
  <c r="E28" i="27"/>
  <c r="E12" i="29"/>
  <c r="E12" i="28"/>
  <c r="E12" i="27"/>
  <c r="G37" i="18"/>
  <c r="G37" i="28"/>
  <c r="G37" i="29"/>
  <c r="G37" i="27"/>
  <c r="G37" i="26"/>
  <c r="G52" i="18"/>
  <c r="G52" i="29"/>
  <c r="G52" i="28"/>
  <c r="G52" i="27"/>
  <c r="G52" i="26"/>
  <c r="G16" i="28"/>
  <c r="G16" i="29"/>
  <c r="G16" i="27"/>
  <c r="G16" i="26"/>
  <c r="G46" i="29"/>
  <c r="G46" i="28"/>
  <c r="G46" i="27"/>
  <c r="G46" i="26"/>
  <c r="F15" i="28"/>
  <c r="F15" i="29"/>
  <c r="F15" i="27"/>
  <c r="F15" i="26"/>
  <c r="K37" i="3"/>
  <c r="D63" i="8"/>
  <c r="D63" i="23" s="1"/>
  <c r="D34" i="8"/>
  <c r="K35" i="29"/>
  <c r="C7" i="29"/>
  <c r="C75" i="29"/>
  <c r="C52" i="29"/>
  <c r="C54" i="29"/>
  <c r="K11" i="3"/>
  <c r="C66" i="29"/>
  <c r="C13" i="29"/>
  <c r="C39" i="8"/>
  <c r="C74" i="8"/>
  <c r="O20" i="3"/>
  <c r="K60" i="3"/>
  <c r="O28" i="3"/>
  <c r="O36" i="3"/>
  <c r="C45" i="8"/>
  <c r="K45" i="3"/>
  <c r="O45" i="3"/>
  <c r="O37" i="3"/>
  <c r="K59" i="3"/>
  <c r="C37" i="8"/>
  <c r="O27" i="3"/>
  <c r="C5" i="8"/>
  <c r="O24" i="3"/>
  <c r="K24" i="3"/>
  <c r="C24" i="8"/>
  <c r="O9" i="3"/>
  <c r="K28" i="3"/>
  <c r="C9" i="8"/>
  <c r="C40" i="8"/>
  <c r="O32" i="3"/>
  <c r="O41" i="3"/>
  <c r="O21" i="3"/>
  <c r="C21" i="8"/>
  <c r="K21" i="3"/>
  <c r="C71" i="8"/>
  <c r="C42" i="8"/>
  <c r="C56" i="8"/>
  <c r="C48" i="8"/>
  <c r="C36" i="8"/>
  <c r="C16" i="8"/>
  <c r="C57" i="8"/>
  <c r="C32" i="8"/>
  <c r="O5" i="3"/>
  <c r="C27" i="8"/>
  <c r="C11" i="8"/>
  <c r="C68" i="8"/>
  <c r="C58" i="8"/>
  <c r="C59" i="8"/>
  <c r="O13" i="3"/>
  <c r="C15" i="8"/>
  <c r="C69" i="8"/>
  <c r="C25" i="8"/>
  <c r="O19" i="3"/>
  <c r="C60" i="8"/>
  <c r="C12" i="8"/>
  <c r="C35" i="8"/>
  <c r="C20" i="8"/>
  <c r="C4" i="8"/>
  <c r="K54" i="3"/>
  <c r="C26" i="8"/>
  <c r="C34" i="8"/>
  <c r="O35" i="3"/>
  <c r="C62" i="8"/>
  <c r="K43" i="3"/>
  <c r="O43" i="3"/>
  <c r="C43" i="8"/>
  <c r="K10" i="3"/>
  <c r="C10" i="8"/>
  <c r="O10" i="3"/>
  <c r="K8" i="3"/>
  <c r="O8" i="3"/>
  <c r="C8" i="8"/>
  <c r="K40" i="3"/>
  <c r="K46" i="3"/>
  <c r="O40" i="3"/>
  <c r="C62" i="2"/>
  <c r="C63" i="2" s="1"/>
  <c r="C64" i="2" s="1"/>
  <c r="C65" i="2" s="1"/>
  <c r="C66" i="2" s="1"/>
  <c r="I71" i="3"/>
  <c r="E70" i="8"/>
  <c r="F63" i="3"/>
  <c r="I63" i="3"/>
  <c r="J63" i="3" s="1"/>
  <c r="E63" i="8"/>
  <c r="I67" i="3"/>
  <c r="J67" i="3" s="1"/>
  <c r="E67" i="8"/>
  <c r="I65" i="3"/>
  <c r="J65" i="3" s="1"/>
  <c r="E65" i="8"/>
  <c r="E31" i="18"/>
  <c r="J66" i="3"/>
  <c r="G66" i="8"/>
  <c r="G66" i="30" s="1"/>
  <c r="J64" i="3"/>
  <c r="E57" i="18"/>
  <c r="E66" i="8"/>
  <c r="E62" i="27"/>
  <c r="E68" i="18"/>
  <c r="E68" i="27"/>
  <c r="E71" i="27"/>
  <c r="J72" i="3"/>
  <c r="E64" i="27"/>
  <c r="E69" i="27"/>
  <c r="E61" i="27"/>
  <c r="E70" i="27"/>
  <c r="G73" i="27"/>
  <c r="G73" i="26"/>
  <c r="D9" i="25"/>
  <c r="H8" i="25"/>
  <c r="I8" i="25" s="1"/>
  <c r="G22" i="6"/>
  <c r="L22" i="6" s="1"/>
  <c r="G21" i="6"/>
  <c r="L21" i="6" s="1"/>
  <c r="G17" i="24"/>
  <c r="G17" i="23"/>
  <c r="G17" i="18"/>
  <c r="G47" i="24"/>
  <c r="G47" i="23"/>
  <c r="G31" i="24"/>
  <c r="G31" i="23"/>
  <c r="G19" i="24"/>
  <c r="G19" i="23"/>
  <c r="G8" i="3"/>
  <c r="G11" i="8"/>
  <c r="G11" i="30" s="1"/>
  <c r="F23" i="8"/>
  <c r="F23" i="30" s="1"/>
  <c r="G26" i="8"/>
  <c r="G53" i="3"/>
  <c r="K16" i="23"/>
  <c r="D58" i="8"/>
  <c r="D44" i="23"/>
  <c r="P36" i="3"/>
  <c r="E36" i="3"/>
  <c r="D36" i="8"/>
  <c r="D21" i="8"/>
  <c r="K21" i="23" s="1"/>
  <c r="E21" i="3"/>
  <c r="L21" i="3"/>
  <c r="D9" i="23"/>
  <c r="D11" i="23"/>
  <c r="D10" i="23"/>
  <c r="H69" i="3"/>
  <c r="J69" i="3" s="1"/>
  <c r="D5" i="23"/>
  <c r="G11" i="3"/>
  <c r="U36" i="3"/>
  <c r="W36" i="3" s="1"/>
  <c r="G44" i="8"/>
  <c r="G44" i="30" s="1"/>
  <c r="G59" i="24"/>
  <c r="G59" i="23"/>
  <c r="E64" i="3"/>
  <c r="D64" i="8"/>
  <c r="D57" i="23"/>
  <c r="D43" i="8"/>
  <c r="E43" i="3"/>
  <c r="K60" i="23"/>
  <c r="K44" i="23"/>
  <c r="K60" i="5"/>
  <c r="K48" i="5"/>
  <c r="K11" i="5"/>
  <c r="G63" i="5"/>
  <c r="K43" i="5"/>
  <c r="K37" i="5"/>
  <c r="K31" i="5"/>
  <c r="K62" i="5"/>
  <c r="K52" i="5"/>
  <c r="K47" i="5"/>
  <c r="K19" i="5"/>
  <c r="K23" i="5"/>
  <c r="K34" i="5"/>
  <c r="K35" i="5"/>
  <c r="K61" i="5"/>
  <c r="K55" i="5"/>
  <c r="K8" i="5"/>
  <c r="K18" i="5"/>
  <c r="K29" i="5"/>
  <c r="K42" i="5"/>
  <c r="K51" i="5"/>
  <c r="K69" i="5"/>
  <c r="G62" i="5"/>
  <c r="K68" i="5"/>
  <c r="K36" i="5"/>
  <c r="K5" i="5"/>
  <c r="K20" i="5"/>
  <c r="K39" i="5"/>
  <c r="K15" i="5"/>
  <c r="K58" i="5"/>
  <c r="K7" i="5"/>
  <c r="K67" i="5"/>
  <c r="K13" i="5"/>
  <c r="K66" i="5"/>
  <c r="K28" i="5"/>
  <c r="G54" i="5"/>
  <c r="K54" i="5"/>
  <c r="G23" i="5"/>
  <c r="G22" i="5"/>
  <c r="K22" i="5"/>
  <c r="G15" i="5"/>
  <c r="K14" i="5"/>
  <c r="G7" i="5"/>
  <c r="G6" i="5"/>
  <c r="G30" i="6"/>
  <c r="G29" i="6"/>
  <c r="L29" i="6" s="1"/>
  <c r="E62" i="24"/>
  <c r="E62" i="23"/>
  <c r="E69" i="24"/>
  <c r="E69" i="23"/>
  <c r="D12" i="23"/>
  <c r="E61" i="24"/>
  <c r="E61" i="23"/>
  <c r="E56" i="24"/>
  <c r="E56" i="23"/>
  <c r="E48" i="24"/>
  <c r="E48" i="23"/>
  <c r="E48" i="18"/>
  <c r="E40" i="24"/>
  <c r="E40" i="23"/>
  <c r="E40" i="18"/>
  <c r="E32" i="24"/>
  <c r="E32" i="23"/>
  <c r="E24" i="24"/>
  <c r="E24" i="23"/>
  <c r="E24" i="18"/>
  <c r="E16" i="24"/>
  <c r="E16" i="23"/>
  <c r="E16" i="18"/>
  <c r="E8" i="24"/>
  <c r="E8" i="23"/>
  <c r="E8" i="18"/>
  <c r="G14" i="24"/>
  <c r="G14" i="23"/>
  <c r="G27" i="8"/>
  <c r="G27" i="30" s="1"/>
  <c r="G34" i="8"/>
  <c r="G34" i="30" s="1"/>
  <c r="G41" i="8"/>
  <c r="G41" i="30" s="1"/>
  <c r="G60" i="8"/>
  <c r="G60" i="30" s="1"/>
  <c r="K3" i="3"/>
  <c r="C73" i="8"/>
  <c r="C46" i="8"/>
  <c r="C70" i="8"/>
  <c r="D49" i="8"/>
  <c r="D2" i="24" s="1"/>
  <c r="E49" i="3"/>
  <c r="D26" i="8"/>
  <c r="E26" i="3"/>
  <c r="P26" i="3"/>
  <c r="D19" i="8"/>
  <c r="E19" i="3"/>
  <c r="D4" i="23"/>
  <c r="G56" i="24"/>
  <c r="G56" i="23"/>
  <c r="G56" i="18"/>
  <c r="F8" i="8"/>
  <c r="F8" i="30" s="1"/>
  <c r="G30" i="24"/>
  <c r="G30" i="23"/>
  <c r="G30" i="18"/>
  <c r="G20" i="8"/>
  <c r="G20" i="30" s="1"/>
  <c r="D69" i="8"/>
  <c r="E69" i="3"/>
  <c r="L55" i="3"/>
  <c r="E55" i="3"/>
  <c r="F55" i="8" s="1"/>
  <c r="F55" i="30" s="1"/>
  <c r="E41" i="3"/>
  <c r="D41" i="8"/>
  <c r="D25" i="23"/>
  <c r="D44" i="18"/>
  <c r="E69" i="18"/>
  <c r="H55" i="3"/>
  <c r="J55" i="3" s="1"/>
  <c r="S55" i="3" s="1"/>
  <c r="K19" i="3"/>
  <c r="D13" i="23"/>
  <c r="E32" i="18"/>
  <c r="G40" i="24"/>
  <c r="G40" i="23"/>
  <c r="G40" i="18"/>
  <c r="G4" i="24"/>
  <c r="G4" i="23"/>
  <c r="G4" i="18"/>
  <c r="G35" i="8"/>
  <c r="G35" i="30" s="1"/>
  <c r="E58" i="3"/>
  <c r="F62" i="8"/>
  <c r="F62" i="30" s="1"/>
  <c r="C38" i="8"/>
  <c r="F24" i="8"/>
  <c r="F24" i="30" s="1"/>
  <c r="D17" i="23"/>
  <c r="D2" i="23"/>
  <c r="G42" i="24"/>
  <c r="G42" i="23"/>
  <c r="J68" i="3"/>
  <c r="C19" i="8"/>
  <c r="L41" i="3"/>
  <c r="H21" i="3"/>
  <c r="J21" i="3" s="1"/>
  <c r="S21" i="3" s="1"/>
  <c r="H58" i="3"/>
  <c r="J58" i="3" s="1"/>
  <c r="S58" i="3" s="1"/>
  <c r="D6" i="23"/>
  <c r="D14" i="23"/>
  <c r="D3" i="23"/>
  <c r="U41" i="3"/>
  <c r="W41" i="3" s="1"/>
  <c r="E70" i="24"/>
  <c r="E70" i="23"/>
  <c r="E45" i="18"/>
  <c r="E13" i="18"/>
  <c r="E28" i="18"/>
  <c r="E50" i="18"/>
  <c r="E18" i="18"/>
  <c r="E47" i="18"/>
  <c r="E49" i="18"/>
  <c r="E37" i="18"/>
  <c r="E5" i="18"/>
  <c r="E12" i="18"/>
  <c r="E42" i="18"/>
  <c r="E10" i="18"/>
  <c r="E41" i="18"/>
  <c r="E9" i="18"/>
  <c r="E15" i="18"/>
  <c r="E38" i="18"/>
  <c r="E6" i="18"/>
  <c r="E33" i="18"/>
  <c r="E30" i="18"/>
  <c r="E53" i="18"/>
  <c r="E21" i="18"/>
  <c r="E44" i="18"/>
  <c r="E58" i="18"/>
  <c r="E26" i="18"/>
  <c r="G21" i="24"/>
  <c r="G21" i="23"/>
  <c r="G51" i="24"/>
  <c r="G51" i="23"/>
  <c r="G7" i="24"/>
  <c r="G7" i="23"/>
  <c r="G7" i="18"/>
  <c r="G3" i="8"/>
  <c r="G3" i="30" s="1"/>
  <c r="G6" i="8"/>
  <c r="G6" i="30" s="1"/>
  <c r="G22" i="3"/>
  <c r="F22" i="8"/>
  <c r="F22" i="30" s="1"/>
  <c r="F52" i="8"/>
  <c r="F52" i="30" s="1"/>
  <c r="G52" i="3"/>
  <c r="F4" i="8"/>
  <c r="F4" i="30" s="1"/>
  <c r="D60" i="23"/>
  <c r="D47" i="8"/>
  <c r="L47" i="3"/>
  <c r="D7" i="23"/>
  <c r="E64" i="18"/>
  <c r="E64" i="24"/>
  <c r="E64" i="23"/>
  <c r="G53" i="8"/>
  <c r="G53" i="30" s="1"/>
  <c r="G13" i="6"/>
  <c r="K22" i="3"/>
  <c r="D8" i="23"/>
  <c r="L36" i="3"/>
  <c r="H36" i="3"/>
  <c r="J36" i="3" s="1"/>
  <c r="S36" i="3" s="1"/>
  <c r="E63" i="24"/>
  <c r="E63" i="23"/>
  <c r="P21" i="3"/>
  <c r="G47" i="6"/>
  <c r="G48" i="6"/>
  <c r="G38" i="24"/>
  <c r="G38" i="23"/>
  <c r="G38" i="18"/>
  <c r="G10" i="8"/>
  <c r="G10" i="30" s="1"/>
  <c r="F16" i="8"/>
  <c r="F16" i="30" s="1"/>
  <c r="G29" i="8"/>
  <c r="G29" i="30" s="1"/>
  <c r="F46" i="8"/>
  <c r="F46" i="30" s="1"/>
  <c r="D16" i="23"/>
  <c r="D38" i="8"/>
  <c r="E38" i="3"/>
  <c r="D30" i="8"/>
  <c r="E30" i="3"/>
  <c r="H71" i="3"/>
  <c r="J71" i="3" s="1"/>
  <c r="K31" i="23"/>
  <c r="G58" i="5"/>
  <c r="G57" i="5"/>
  <c r="G34" i="5"/>
  <c r="K33" i="5"/>
  <c r="K25" i="5"/>
  <c r="G17" i="5"/>
  <c r="G18" i="5"/>
  <c r="E73" i="18"/>
  <c r="E68" i="24"/>
  <c r="E68" i="23"/>
  <c r="E73" i="20"/>
  <c r="D7" i="18"/>
  <c r="C13" i="23"/>
  <c r="L58" i="3"/>
  <c r="E66" i="24"/>
  <c r="E66" i="23"/>
  <c r="P55" i="3"/>
  <c r="E59" i="24"/>
  <c r="E59" i="23"/>
  <c r="E51" i="24"/>
  <c r="E51" i="23"/>
  <c r="E51" i="18"/>
  <c r="E43" i="24"/>
  <c r="E43" i="23"/>
  <c r="E43" i="18"/>
  <c r="E35" i="24"/>
  <c r="E35" i="23"/>
  <c r="E35" i="18"/>
  <c r="E27" i="24"/>
  <c r="E27" i="23"/>
  <c r="E19" i="24"/>
  <c r="E19" i="23"/>
  <c r="E19" i="18"/>
  <c r="E11" i="24"/>
  <c r="E11" i="23"/>
  <c r="E11" i="18"/>
  <c r="E3" i="24"/>
  <c r="E3" i="23"/>
  <c r="E3" i="18"/>
  <c r="F37" i="8"/>
  <c r="F37" i="30" s="1"/>
  <c r="D65" i="23"/>
  <c r="D29" i="23"/>
  <c r="E58" i="24"/>
  <c r="E58" i="23"/>
  <c r="E50" i="24"/>
  <c r="E50" i="23"/>
  <c r="E42" i="24"/>
  <c r="E42" i="23"/>
  <c r="E34" i="24"/>
  <c r="E34" i="23"/>
  <c r="E26" i="24"/>
  <c r="E26" i="23"/>
  <c r="E18" i="24"/>
  <c r="E18" i="23"/>
  <c r="E10" i="24"/>
  <c r="E10" i="23"/>
  <c r="E2" i="24"/>
  <c r="E2" i="23"/>
  <c r="Y33" i="3"/>
  <c r="L38" i="6"/>
  <c r="F70" i="18"/>
  <c r="G49" i="18"/>
  <c r="G49" i="24"/>
  <c r="G49" i="23"/>
  <c r="F60" i="24"/>
  <c r="F60" i="23"/>
  <c r="G48" i="24"/>
  <c r="G48" i="23"/>
  <c r="G28" i="24"/>
  <c r="G28" i="23"/>
  <c r="G16" i="24"/>
  <c r="G16" i="23"/>
  <c r="F51" i="24"/>
  <c r="F51" i="23"/>
  <c r="G39" i="24"/>
  <c r="G39" i="23"/>
  <c r="D72" i="23"/>
  <c r="D54" i="23"/>
  <c r="D42" i="23"/>
  <c r="D37" i="23"/>
  <c r="D31" i="23"/>
  <c r="K72" i="23"/>
  <c r="K54" i="23"/>
  <c r="K46" i="23"/>
  <c r="K22" i="23"/>
  <c r="G73" i="24"/>
  <c r="G73" i="18"/>
  <c r="G73" i="21"/>
  <c r="G73" i="23"/>
  <c r="G73" i="20"/>
  <c r="K66" i="6"/>
  <c r="E57" i="24"/>
  <c r="E57" i="23"/>
  <c r="E49" i="24"/>
  <c r="E49" i="23"/>
  <c r="E41" i="24"/>
  <c r="E41" i="23"/>
  <c r="E33" i="24"/>
  <c r="E33" i="23"/>
  <c r="E25" i="24"/>
  <c r="E25" i="23"/>
  <c r="E17" i="24"/>
  <c r="E17" i="23"/>
  <c r="E9" i="24"/>
  <c r="E9" i="23"/>
  <c r="F61" i="24"/>
  <c r="F61" i="23"/>
  <c r="F29" i="24"/>
  <c r="F29" i="23"/>
  <c r="G9" i="24"/>
  <c r="G9" i="23"/>
  <c r="F72" i="24"/>
  <c r="F72" i="23"/>
  <c r="F63" i="24"/>
  <c r="F63" i="23"/>
  <c r="G50" i="24"/>
  <c r="G50" i="23"/>
  <c r="F39" i="24"/>
  <c r="F39" i="23"/>
  <c r="G22" i="24"/>
  <c r="G22" i="23"/>
  <c r="D59" i="23"/>
  <c r="B61" i="24"/>
  <c r="B61" i="23"/>
  <c r="K45" i="23"/>
  <c r="K37" i="23"/>
  <c r="K29" i="23"/>
  <c r="L27" i="6"/>
  <c r="E55" i="24"/>
  <c r="E55" i="23"/>
  <c r="E47" i="24"/>
  <c r="E47" i="23"/>
  <c r="E39" i="24"/>
  <c r="E39" i="23"/>
  <c r="E31" i="24"/>
  <c r="E31" i="23"/>
  <c r="E23" i="24"/>
  <c r="E23" i="23"/>
  <c r="E15" i="24"/>
  <c r="E15" i="23"/>
  <c r="E7" i="24"/>
  <c r="E7" i="23"/>
  <c r="F53" i="24"/>
  <c r="F53" i="23"/>
  <c r="G33" i="24"/>
  <c r="G33" i="23"/>
  <c r="F68" i="24"/>
  <c r="F68" i="23"/>
  <c r="F56" i="24"/>
  <c r="F56" i="23"/>
  <c r="G36" i="24"/>
  <c r="G36" i="23"/>
  <c r="G24" i="24"/>
  <c r="G24" i="23"/>
  <c r="G12" i="24"/>
  <c r="G12" i="23"/>
  <c r="G58" i="24"/>
  <c r="G58" i="23"/>
  <c r="G46" i="24"/>
  <c r="G46" i="23"/>
  <c r="G18" i="24"/>
  <c r="G18" i="23"/>
  <c r="F7" i="24"/>
  <c r="F7" i="23"/>
  <c r="D46" i="23"/>
  <c r="D35" i="23"/>
  <c r="D18" i="23"/>
  <c r="K59" i="23"/>
  <c r="K43" i="23"/>
  <c r="K35" i="23"/>
  <c r="K60" i="6"/>
  <c r="K40" i="6"/>
  <c r="E54" i="24"/>
  <c r="E54" i="23"/>
  <c r="E46" i="24"/>
  <c r="E46" i="23"/>
  <c r="E38" i="24"/>
  <c r="E38" i="23"/>
  <c r="E30" i="24"/>
  <c r="E30" i="23"/>
  <c r="E22" i="24"/>
  <c r="E22" i="23"/>
  <c r="E14" i="24"/>
  <c r="E14" i="23"/>
  <c r="E6" i="24"/>
  <c r="E6" i="23"/>
  <c r="G64" i="6"/>
  <c r="N64" i="6" s="1"/>
  <c r="G36" i="6"/>
  <c r="L36" i="6" s="1"/>
  <c r="G45" i="24"/>
  <c r="G45" i="23"/>
  <c r="G25" i="24"/>
  <c r="G25" i="23"/>
  <c r="F44" i="24"/>
  <c r="F44" i="23"/>
  <c r="G55" i="18"/>
  <c r="G55" i="24"/>
  <c r="G55" i="23"/>
  <c r="G15" i="24"/>
  <c r="G15" i="23"/>
  <c r="F12" i="24"/>
  <c r="F12" i="23"/>
  <c r="D45" i="23"/>
  <c r="D34" i="23"/>
  <c r="D22" i="23"/>
  <c r="K42" i="23"/>
  <c r="K34" i="23"/>
  <c r="K26" i="23"/>
  <c r="K18" i="23"/>
  <c r="E53" i="24"/>
  <c r="E53" i="23"/>
  <c r="E45" i="24"/>
  <c r="E45" i="23"/>
  <c r="E37" i="24"/>
  <c r="E37" i="23"/>
  <c r="E29" i="24"/>
  <c r="E29" i="23"/>
  <c r="E21" i="24"/>
  <c r="E21" i="23"/>
  <c r="E13" i="24"/>
  <c r="E13" i="23"/>
  <c r="E5" i="24"/>
  <c r="E5" i="23"/>
  <c r="L26" i="6"/>
  <c r="E71" i="24"/>
  <c r="E71" i="23"/>
  <c r="F66" i="18"/>
  <c r="F66" i="24"/>
  <c r="F66" i="23"/>
  <c r="G57" i="18"/>
  <c r="G57" i="24"/>
  <c r="G57" i="23"/>
  <c r="F45" i="18"/>
  <c r="F45" i="24"/>
  <c r="F45" i="23"/>
  <c r="G37" i="24"/>
  <c r="G37" i="23"/>
  <c r="G13" i="24"/>
  <c r="G13" i="23"/>
  <c r="G52" i="24"/>
  <c r="G52" i="23"/>
  <c r="F67" i="24"/>
  <c r="F67" i="23"/>
  <c r="G54" i="24"/>
  <c r="G54" i="23"/>
  <c r="G43" i="24"/>
  <c r="G43" i="23"/>
  <c r="F15" i="21"/>
  <c r="F15" i="24"/>
  <c r="F15" i="23"/>
  <c r="D33" i="8"/>
  <c r="G73" i="3"/>
  <c r="F73" i="8"/>
  <c r="F73" i="30" s="1"/>
  <c r="K57" i="23"/>
  <c r="K41" i="23"/>
  <c r="K25" i="23"/>
  <c r="K17" i="23"/>
  <c r="E60" i="24"/>
  <c r="E60" i="23"/>
  <c r="E52" i="24"/>
  <c r="E52" i="23"/>
  <c r="E44" i="24"/>
  <c r="E44" i="23"/>
  <c r="E36" i="18"/>
  <c r="E36" i="24"/>
  <c r="E36" i="23"/>
  <c r="E28" i="24"/>
  <c r="E28" i="23"/>
  <c r="E20" i="24"/>
  <c r="E20" i="23"/>
  <c r="E12" i="24"/>
  <c r="E12" i="23"/>
  <c r="E4" i="18"/>
  <c r="E4" i="24"/>
  <c r="E4" i="23"/>
  <c r="G40" i="6"/>
  <c r="G2" i="24"/>
  <c r="G2" i="23"/>
  <c r="F65" i="24"/>
  <c r="F65" i="23"/>
  <c r="G5" i="23"/>
  <c r="G32" i="24"/>
  <c r="G32" i="23"/>
  <c r="G8" i="24"/>
  <c r="G8" i="23"/>
  <c r="G23" i="24"/>
  <c r="G23" i="23"/>
  <c r="K15" i="23"/>
  <c r="D61" i="23"/>
  <c r="D73" i="23"/>
  <c r="K40" i="23"/>
  <c r="K73" i="23"/>
  <c r="E73" i="24"/>
  <c r="O53" i="3"/>
  <c r="K53" i="3"/>
  <c r="C53" i="8"/>
  <c r="C29" i="8"/>
  <c r="K29" i="3"/>
  <c r="O29" i="3"/>
  <c r="O6" i="3"/>
  <c r="C6" i="8"/>
  <c r="K6" i="3"/>
  <c r="C67" i="8"/>
  <c r="C23" i="8"/>
  <c r="O23" i="3"/>
  <c r="K23" i="3"/>
  <c r="C2" i="8"/>
  <c r="O2" i="3"/>
  <c r="K2" i="3"/>
  <c r="C51" i="8"/>
  <c r="K51" i="3"/>
  <c r="O51" i="3"/>
  <c r="C47" i="8"/>
  <c r="O47" i="3"/>
  <c r="K47" i="3"/>
  <c r="K14" i="3"/>
  <c r="C14" i="8"/>
  <c r="O14" i="3"/>
  <c r="C44" i="8"/>
  <c r="K44" i="3"/>
  <c r="O44" i="3"/>
  <c r="K31" i="3"/>
  <c r="C31" i="8"/>
  <c r="O31" i="3"/>
  <c r="K17" i="3"/>
  <c r="C17" i="8"/>
  <c r="O17" i="3"/>
  <c r="C18" i="8"/>
  <c r="C33" i="8"/>
  <c r="O22" i="3"/>
  <c r="C50" i="8"/>
  <c r="K18" i="3"/>
  <c r="K50" i="3"/>
  <c r="O55" i="3"/>
  <c r="K55" i="3"/>
  <c r="C65" i="8"/>
  <c r="O33" i="3"/>
  <c r="C55" i="8"/>
  <c r="K33" i="3"/>
  <c r="O50" i="3"/>
  <c r="K25" i="3"/>
  <c r="C61" i="8"/>
  <c r="C63" i="8"/>
  <c r="O25" i="3"/>
  <c r="C22" i="8"/>
  <c r="O18" i="3"/>
  <c r="F3" i="8"/>
  <c r="F3" i="30" s="1"/>
  <c r="G3" i="3"/>
  <c r="K52" i="3"/>
  <c r="O52" i="3"/>
  <c r="C49" i="8"/>
  <c r="K49" i="3"/>
  <c r="O49" i="3"/>
  <c r="E63" i="20"/>
  <c r="L25" i="6"/>
  <c r="K50" i="6"/>
  <c r="G59" i="6"/>
  <c r="N59" i="6" s="1"/>
  <c r="G60" i="6"/>
  <c r="G52" i="6"/>
  <c r="G51" i="6"/>
  <c r="E61" i="20"/>
  <c r="E61" i="18"/>
  <c r="F47" i="8"/>
  <c r="F47" i="30" s="1"/>
  <c r="E71" i="20"/>
  <c r="E71" i="18"/>
  <c r="D13" i="20"/>
  <c r="F69" i="6"/>
  <c r="J69" i="6" s="1"/>
  <c r="G65" i="6"/>
  <c r="N65" i="6" s="1"/>
  <c r="G2" i="21"/>
  <c r="G2" i="20"/>
  <c r="G2" i="18"/>
  <c r="F65" i="21"/>
  <c r="F65" i="20"/>
  <c r="F65" i="18"/>
  <c r="E9" i="3"/>
  <c r="H9" i="3"/>
  <c r="J9" i="3" s="1"/>
  <c r="S9" i="3" s="1"/>
  <c r="L33" i="6"/>
  <c r="F12" i="21"/>
  <c r="F12" i="20"/>
  <c r="F12" i="18"/>
  <c r="F19" i="8"/>
  <c r="F19" i="30" s="1"/>
  <c r="G19" i="3"/>
  <c r="C41" i="8"/>
  <c r="E55" i="20"/>
  <c r="E55" i="18"/>
  <c r="E47" i="20"/>
  <c r="E39" i="20"/>
  <c r="E39" i="18"/>
  <c r="E31" i="20"/>
  <c r="E23" i="20"/>
  <c r="E23" i="18"/>
  <c r="E15" i="20"/>
  <c r="E7" i="20"/>
  <c r="E7" i="18"/>
  <c r="F61" i="21"/>
  <c r="F61" i="20"/>
  <c r="F61" i="18"/>
  <c r="F29" i="21"/>
  <c r="F29" i="20"/>
  <c r="F29" i="18"/>
  <c r="G42" i="21"/>
  <c r="G42" i="20"/>
  <c r="G42" i="18"/>
  <c r="C64" i="8"/>
  <c r="E69" i="20"/>
  <c r="E68" i="20"/>
  <c r="G9" i="6"/>
  <c r="G8" i="6"/>
  <c r="G44" i="21"/>
  <c r="G44" i="18"/>
  <c r="F63" i="21"/>
  <c r="F63" i="20"/>
  <c r="F63" i="18"/>
  <c r="C72" i="8"/>
  <c r="F69" i="3"/>
  <c r="G32" i="6"/>
  <c r="L32" i="6" s="1"/>
  <c r="G31" i="6"/>
  <c r="F53" i="21"/>
  <c r="F53" i="20"/>
  <c r="F53" i="18"/>
  <c r="N57" i="6"/>
  <c r="G16" i="6"/>
  <c r="G45" i="6"/>
  <c r="G46" i="6"/>
  <c r="G47" i="21"/>
  <c r="G47" i="20"/>
  <c r="G47" i="18"/>
  <c r="G19" i="21"/>
  <c r="G19" i="20"/>
  <c r="G19" i="18"/>
  <c r="G44" i="20"/>
  <c r="E66" i="20"/>
  <c r="D5" i="20"/>
  <c r="E54" i="20"/>
  <c r="E46" i="20"/>
  <c r="E38" i="20"/>
  <c r="E30" i="20"/>
  <c r="E22" i="20"/>
  <c r="E14" i="20"/>
  <c r="E6" i="20"/>
  <c r="G33" i="21"/>
  <c r="G33" i="20"/>
  <c r="G13" i="21"/>
  <c r="G13" i="20"/>
  <c r="F68" i="21"/>
  <c r="F68" i="20"/>
  <c r="G28" i="21"/>
  <c r="G28" i="20"/>
  <c r="G12" i="21"/>
  <c r="G12" i="20"/>
  <c r="G39" i="21"/>
  <c r="G39" i="20"/>
  <c r="G34" i="21"/>
  <c r="G34" i="20"/>
  <c r="G3" i="21"/>
  <c r="G3" i="20"/>
  <c r="E59" i="3"/>
  <c r="F71" i="3"/>
  <c r="D55" i="8"/>
  <c r="D65" i="21" s="1"/>
  <c r="D23" i="8"/>
  <c r="B61" i="21"/>
  <c r="B61" i="8"/>
  <c r="A62" i="3"/>
  <c r="B62" i="30" s="1"/>
  <c r="E53" i="20"/>
  <c r="E45" i="20"/>
  <c r="E37" i="20"/>
  <c r="E29" i="20"/>
  <c r="E21" i="20"/>
  <c r="E13" i="20"/>
  <c r="E5" i="20"/>
  <c r="E70" i="20"/>
  <c r="G37" i="21"/>
  <c r="G37" i="20"/>
  <c r="F22" i="21"/>
  <c r="F22" i="20"/>
  <c r="F22" i="18"/>
  <c r="G17" i="21"/>
  <c r="G17" i="20"/>
  <c r="G59" i="18"/>
  <c r="G54" i="21"/>
  <c r="G54" i="20"/>
  <c r="G31" i="21"/>
  <c r="G31" i="20"/>
  <c r="G31" i="18"/>
  <c r="F65" i="3"/>
  <c r="E64" i="20"/>
  <c r="E60" i="20"/>
  <c r="E52" i="20"/>
  <c r="E44" i="20"/>
  <c r="E36" i="20"/>
  <c r="E28" i="20"/>
  <c r="E20" i="20"/>
  <c r="E12" i="20"/>
  <c r="E4" i="20"/>
  <c r="G21" i="21"/>
  <c r="G21" i="20"/>
  <c r="F4" i="21"/>
  <c r="F4" i="20"/>
  <c r="F67" i="21"/>
  <c r="F67" i="20"/>
  <c r="G59" i="21"/>
  <c r="G59" i="20"/>
  <c r="G46" i="21"/>
  <c r="G46" i="20"/>
  <c r="F39" i="21"/>
  <c r="F39" i="20"/>
  <c r="G23" i="21"/>
  <c r="G23" i="20"/>
  <c r="G18" i="21"/>
  <c r="G18" i="20"/>
  <c r="G10" i="21"/>
  <c r="G10" i="20"/>
  <c r="F13" i="8"/>
  <c r="F13" i="30" s="1"/>
  <c r="F70" i="3"/>
  <c r="E28" i="3"/>
  <c r="D28" i="8"/>
  <c r="E59" i="20"/>
  <c r="E51" i="20"/>
  <c r="E43" i="20"/>
  <c r="E35" i="20"/>
  <c r="E27" i="20"/>
  <c r="E19" i="20"/>
  <c r="E11" i="20"/>
  <c r="E3" i="20"/>
  <c r="G46" i="18"/>
  <c r="G41" i="21"/>
  <c r="G41" i="20"/>
  <c r="G56" i="21"/>
  <c r="G56" i="20"/>
  <c r="G48" i="21"/>
  <c r="G48" i="20"/>
  <c r="G48" i="18"/>
  <c r="G51" i="21"/>
  <c r="G51" i="20"/>
  <c r="G38" i="21"/>
  <c r="G38" i="20"/>
  <c r="G15" i="21"/>
  <c r="G15" i="20"/>
  <c r="G15" i="18"/>
  <c r="G7" i="21"/>
  <c r="G7" i="20"/>
  <c r="F11" i="8"/>
  <c r="F11" i="30" s="1"/>
  <c r="F68" i="3"/>
  <c r="F61" i="3"/>
  <c r="E58" i="20"/>
  <c r="E50" i="20"/>
  <c r="E42" i="20"/>
  <c r="E34" i="20"/>
  <c r="E26" i="20"/>
  <c r="E18" i="20"/>
  <c r="E10" i="20"/>
  <c r="E2" i="20"/>
  <c r="E62" i="20"/>
  <c r="F46" i="21"/>
  <c r="F46" i="20"/>
  <c r="F46" i="18"/>
  <c r="F41" i="8"/>
  <c r="F41" i="30" s="1"/>
  <c r="G25" i="21"/>
  <c r="G25" i="20"/>
  <c r="F72" i="21"/>
  <c r="F72" i="20"/>
  <c r="F72" i="18"/>
  <c r="F56" i="21"/>
  <c r="F56" i="20"/>
  <c r="F56" i="18"/>
  <c r="G40" i="21"/>
  <c r="G40" i="20"/>
  <c r="G32" i="21"/>
  <c r="G32" i="20"/>
  <c r="G32" i="18"/>
  <c r="G24" i="21"/>
  <c r="G24" i="20"/>
  <c r="G16" i="21"/>
  <c r="G16" i="20"/>
  <c r="G16" i="18"/>
  <c r="G8" i="21"/>
  <c r="G8" i="20"/>
  <c r="F51" i="21"/>
  <c r="F51" i="20"/>
  <c r="G43" i="21"/>
  <c r="G43" i="20"/>
  <c r="G30" i="21"/>
  <c r="G30" i="20"/>
  <c r="E2" i="3"/>
  <c r="D32" i="8"/>
  <c r="E32" i="3"/>
  <c r="E20" i="18"/>
  <c r="E52" i="18"/>
  <c r="E57" i="20"/>
  <c r="E49" i="20"/>
  <c r="E41" i="20"/>
  <c r="E33" i="20"/>
  <c r="E25" i="20"/>
  <c r="E17" i="20"/>
  <c r="E9" i="20"/>
  <c r="F66" i="21"/>
  <c r="F66" i="20"/>
  <c r="G45" i="21"/>
  <c r="G45" i="20"/>
  <c r="F24" i="21"/>
  <c r="F24" i="20"/>
  <c r="F24" i="18"/>
  <c r="G58" i="21"/>
  <c r="G58" i="20"/>
  <c r="G35" i="21"/>
  <c r="G22" i="21"/>
  <c r="G22" i="20"/>
  <c r="F7" i="21"/>
  <c r="F7" i="18"/>
  <c r="F7" i="20"/>
  <c r="F72" i="3"/>
  <c r="F64" i="3"/>
  <c r="E56" i="20"/>
  <c r="E48" i="20"/>
  <c r="E40" i="20"/>
  <c r="E32" i="20"/>
  <c r="E24" i="20"/>
  <c r="E16" i="20"/>
  <c r="E8" i="20"/>
  <c r="G21" i="18"/>
  <c r="G57" i="21"/>
  <c r="G57" i="20"/>
  <c r="G53" i="21"/>
  <c r="G53" i="20"/>
  <c r="G49" i="21"/>
  <c r="G49" i="20"/>
  <c r="F45" i="21"/>
  <c r="F45" i="20"/>
  <c r="F39" i="18"/>
  <c r="G29" i="21"/>
  <c r="G29" i="20"/>
  <c r="G5" i="21"/>
  <c r="G5" i="20"/>
  <c r="G5" i="18"/>
  <c r="G23" i="18"/>
  <c r="F16" i="21"/>
  <c r="G55" i="21"/>
  <c r="G55" i="20"/>
  <c r="G50" i="21"/>
  <c r="G50" i="20"/>
  <c r="G27" i="21"/>
  <c r="G27" i="20"/>
  <c r="G14" i="21"/>
  <c r="G14" i="20"/>
  <c r="F62" i="3"/>
  <c r="D50" i="8"/>
  <c r="E50" i="3"/>
  <c r="F15" i="20"/>
  <c r="D54" i="20"/>
  <c r="G9" i="21"/>
  <c r="G9" i="20"/>
  <c r="F60" i="21"/>
  <c r="F60" i="20"/>
  <c r="G52" i="21"/>
  <c r="G52" i="20"/>
  <c r="G20" i="21"/>
  <c r="G20" i="20"/>
  <c r="F67" i="3"/>
  <c r="D66" i="20"/>
  <c r="D24" i="8"/>
  <c r="D71" i="8"/>
  <c r="F44" i="21"/>
  <c r="F44" i="20"/>
  <c r="G36" i="21"/>
  <c r="G36" i="20"/>
  <c r="G4" i="21"/>
  <c r="G4" i="20"/>
  <c r="G6" i="21"/>
  <c r="G6" i="20"/>
  <c r="D34" i="20"/>
  <c r="D5" i="5"/>
  <c r="D42" i="20" l="1"/>
  <c r="D18" i="20"/>
  <c r="D72" i="20"/>
  <c r="D10" i="20"/>
  <c r="D8" i="20"/>
  <c r="D68" i="20"/>
  <c r="D69" i="20"/>
  <c r="D25" i="20"/>
  <c r="D16" i="20"/>
  <c r="D36" i="20"/>
  <c r="D14" i="20"/>
  <c r="D3" i="20"/>
  <c r="D68" i="23"/>
  <c r="D35" i="20"/>
  <c r="D27" i="20"/>
  <c r="D6" i="20"/>
  <c r="D7" i="20"/>
  <c r="D43" i="20"/>
  <c r="D31" i="20"/>
  <c r="D15" i="20"/>
  <c r="D12" i="20"/>
  <c r="D11" i="20"/>
  <c r="D9" i="20"/>
  <c r="D58" i="20"/>
  <c r="D44" i="20"/>
  <c r="D48" i="20"/>
  <c r="D12" i="26"/>
  <c r="D22" i="20"/>
  <c r="D60" i="20"/>
  <c r="D30" i="20"/>
  <c r="D41" i="20"/>
  <c r="D61" i="20"/>
  <c r="D29" i="20"/>
  <c r="D19" i="20"/>
  <c r="D73" i="20"/>
  <c r="G39" i="3"/>
  <c r="D57" i="20"/>
  <c r="F70" i="20"/>
  <c r="D65" i="20"/>
  <c r="D33" i="20"/>
  <c r="D46" i="20"/>
  <c r="F70" i="23"/>
  <c r="D9" i="29"/>
  <c r="F70" i="21"/>
  <c r="D17" i="20"/>
  <c r="D45" i="20"/>
  <c r="D37" i="20"/>
  <c r="D59" i="20"/>
  <c r="D4" i="20"/>
  <c r="F70" i="24"/>
  <c r="F70" i="26"/>
  <c r="F65" i="29"/>
  <c r="D14" i="27"/>
  <c r="D63" i="20"/>
  <c r="F70" i="27"/>
  <c r="F70" i="28"/>
  <c r="D12" i="29"/>
  <c r="K27" i="30"/>
  <c r="F70" i="29"/>
  <c r="K37" i="29"/>
  <c r="D62" i="29"/>
  <c r="K50" i="30"/>
  <c r="F65" i="27"/>
  <c r="D9" i="27"/>
  <c r="F52" i="20"/>
  <c r="D27" i="23"/>
  <c r="K27" i="23"/>
  <c r="K48" i="23"/>
  <c r="F52" i="21"/>
  <c r="D15" i="29"/>
  <c r="D3" i="29"/>
  <c r="K17" i="28"/>
  <c r="D21" i="20"/>
  <c r="D20" i="23"/>
  <c r="D2" i="29"/>
  <c r="D4" i="29"/>
  <c r="K59" i="30"/>
  <c r="D48" i="23"/>
  <c r="D46" i="29"/>
  <c r="D62" i="20"/>
  <c r="D66" i="24"/>
  <c r="K20" i="28"/>
  <c r="D5" i="29"/>
  <c r="D6" i="29"/>
  <c r="D10" i="29"/>
  <c r="D20" i="20"/>
  <c r="D52" i="20"/>
  <c r="K58" i="23"/>
  <c r="D15" i="23"/>
  <c r="D13" i="29"/>
  <c r="K20" i="29"/>
  <c r="K53" i="28"/>
  <c r="D16" i="29"/>
  <c r="K30" i="30"/>
  <c r="K52" i="28"/>
  <c r="D62" i="23"/>
  <c r="D29" i="24"/>
  <c r="D52" i="23"/>
  <c r="K52" i="29"/>
  <c r="D76" i="21"/>
  <c r="G66" i="3"/>
  <c r="F34" i="8"/>
  <c r="G34" i="3"/>
  <c r="D15" i="27"/>
  <c r="D62" i="27"/>
  <c r="F66" i="26"/>
  <c r="D17" i="29"/>
  <c r="D11" i="29"/>
  <c r="D7" i="29"/>
  <c r="K41" i="30"/>
  <c r="F66" i="27"/>
  <c r="K46" i="30"/>
  <c r="K19" i="30"/>
  <c r="D31" i="27"/>
  <c r="F66" i="28"/>
  <c r="K21" i="30"/>
  <c r="D31" i="24"/>
  <c r="D61" i="29"/>
  <c r="K37" i="30"/>
  <c r="C71" i="29"/>
  <c r="C71" i="21"/>
  <c r="C71" i="30"/>
  <c r="D39" i="21"/>
  <c r="D39" i="30"/>
  <c r="D64" i="21"/>
  <c r="D64" i="30"/>
  <c r="C5" i="29"/>
  <c r="C5" i="21"/>
  <c r="C5" i="30"/>
  <c r="G11" i="20"/>
  <c r="C72" i="30"/>
  <c r="C72" i="21"/>
  <c r="C33" i="30"/>
  <c r="C33" i="21"/>
  <c r="C14" i="21"/>
  <c r="C14" i="30"/>
  <c r="D61" i="24"/>
  <c r="D67" i="24"/>
  <c r="D70" i="23"/>
  <c r="E72" i="24"/>
  <c r="D39" i="24"/>
  <c r="E72" i="18"/>
  <c r="C38" i="29"/>
  <c r="C38" i="21"/>
  <c r="C38" i="30"/>
  <c r="E65" i="30"/>
  <c r="E65" i="21"/>
  <c r="C34" i="21"/>
  <c r="C34" i="30"/>
  <c r="C56" i="21"/>
  <c r="C56" i="30"/>
  <c r="C24" i="29"/>
  <c r="C24" i="30"/>
  <c r="C24" i="21"/>
  <c r="K56" i="28"/>
  <c r="D45" i="21"/>
  <c r="D45" i="30"/>
  <c r="K34" i="30"/>
  <c r="K38" i="30"/>
  <c r="D10" i="21"/>
  <c r="F31" i="8"/>
  <c r="G31" i="3"/>
  <c r="D14" i="21"/>
  <c r="D50" i="21"/>
  <c r="D50" i="30"/>
  <c r="F16" i="20"/>
  <c r="G10" i="18"/>
  <c r="G11" i="21"/>
  <c r="C18" i="30"/>
  <c r="C18" i="21"/>
  <c r="C23" i="21"/>
  <c r="C23" i="30"/>
  <c r="D70" i="24"/>
  <c r="K26" i="28"/>
  <c r="D26" i="21"/>
  <c r="D26" i="30"/>
  <c r="K43" i="29"/>
  <c r="D43" i="21"/>
  <c r="D43" i="30"/>
  <c r="G26" i="20"/>
  <c r="G26" i="30"/>
  <c r="C8" i="21"/>
  <c r="C8" i="30"/>
  <c r="C26" i="29"/>
  <c r="C26" i="21"/>
  <c r="C26" i="30"/>
  <c r="C59" i="29"/>
  <c r="C59" i="21"/>
  <c r="C59" i="30"/>
  <c r="C42" i="29"/>
  <c r="C42" i="30"/>
  <c r="C42" i="21"/>
  <c r="K56" i="29"/>
  <c r="K42" i="29"/>
  <c r="D42" i="21"/>
  <c r="D42" i="30"/>
  <c r="D59" i="21"/>
  <c r="D59" i="30"/>
  <c r="D48" i="21"/>
  <c r="D48" i="30"/>
  <c r="D65" i="18"/>
  <c r="F68" i="18"/>
  <c r="F68" i="30"/>
  <c r="K47" i="30"/>
  <c r="K36" i="30"/>
  <c r="K25" i="30"/>
  <c r="D17" i="21"/>
  <c r="K18" i="30"/>
  <c r="D9" i="21"/>
  <c r="D9" i="30"/>
  <c r="C67" i="29"/>
  <c r="C67" i="21"/>
  <c r="C67" i="30"/>
  <c r="K47" i="29"/>
  <c r="D47" i="21"/>
  <c r="D47" i="30"/>
  <c r="F27" i="8"/>
  <c r="G27" i="3"/>
  <c r="D39" i="20"/>
  <c r="D23" i="21"/>
  <c r="D23" i="30"/>
  <c r="C64" i="21"/>
  <c r="C64" i="30"/>
  <c r="C47" i="21"/>
  <c r="C47" i="30"/>
  <c r="C6" i="30"/>
  <c r="C6" i="21"/>
  <c r="K56" i="23"/>
  <c r="D37" i="24"/>
  <c r="D60" i="24"/>
  <c r="D56" i="23"/>
  <c r="E63" i="30"/>
  <c r="E63" i="21"/>
  <c r="C20" i="29"/>
  <c r="C20" i="21"/>
  <c r="C20" i="30"/>
  <c r="C11" i="21"/>
  <c r="C11" i="30"/>
  <c r="C21" i="29"/>
  <c r="C21" i="30"/>
  <c r="C21" i="21"/>
  <c r="C39" i="29"/>
  <c r="C39" i="30"/>
  <c r="C39" i="21"/>
  <c r="D60" i="26"/>
  <c r="D67" i="21"/>
  <c r="D67" i="30"/>
  <c r="D54" i="21"/>
  <c r="D54" i="30"/>
  <c r="D25" i="21"/>
  <c r="D25" i="30"/>
  <c r="D44" i="21"/>
  <c r="D44" i="30"/>
  <c r="C52" i="21"/>
  <c r="C52" i="30"/>
  <c r="D5" i="21"/>
  <c r="F6" i="8"/>
  <c r="G6" i="3"/>
  <c r="K58" i="30"/>
  <c r="K48" i="30"/>
  <c r="G25" i="3"/>
  <c r="F25" i="8"/>
  <c r="K72" i="30"/>
  <c r="K39" i="30"/>
  <c r="K17" i="30"/>
  <c r="K61" i="30"/>
  <c r="E67" i="21"/>
  <c r="E67" i="30"/>
  <c r="E76" i="26"/>
  <c r="C58" i="29"/>
  <c r="C58" i="21"/>
  <c r="C58" i="30"/>
  <c r="K39" i="23"/>
  <c r="D53" i="21"/>
  <c r="D53" i="30"/>
  <c r="F8" i="18"/>
  <c r="C65" i="21"/>
  <c r="C65" i="30"/>
  <c r="K49" i="23"/>
  <c r="D22" i="24"/>
  <c r="D18" i="24"/>
  <c r="K53" i="23"/>
  <c r="D65" i="24"/>
  <c r="D3" i="24"/>
  <c r="D41" i="21"/>
  <c r="D41" i="30"/>
  <c r="D21" i="21"/>
  <c r="D21" i="30"/>
  <c r="C10" i="29"/>
  <c r="C10" i="21"/>
  <c r="C10" i="30"/>
  <c r="C35" i="29"/>
  <c r="C35" i="21"/>
  <c r="C35" i="30"/>
  <c r="C27" i="29"/>
  <c r="C27" i="30"/>
  <c r="C27" i="21"/>
  <c r="C37" i="29"/>
  <c r="C37" i="21"/>
  <c r="C37" i="30"/>
  <c r="D34" i="21"/>
  <c r="D34" i="30"/>
  <c r="C54" i="30"/>
  <c r="C54" i="21"/>
  <c r="C3" i="30"/>
  <c r="C3" i="21"/>
  <c r="D68" i="21"/>
  <c r="D68" i="30"/>
  <c r="K33" i="30"/>
  <c r="F76" i="26"/>
  <c r="F76" i="21"/>
  <c r="F76" i="18"/>
  <c r="F76" i="29"/>
  <c r="F76" i="30"/>
  <c r="D60" i="21"/>
  <c r="D60" i="30"/>
  <c r="K49" i="30"/>
  <c r="K42" i="30"/>
  <c r="K31" i="30"/>
  <c r="D32" i="21"/>
  <c r="D32" i="30"/>
  <c r="D56" i="21"/>
  <c r="D56" i="30"/>
  <c r="D20" i="24"/>
  <c r="D49" i="21"/>
  <c r="D49" i="30"/>
  <c r="C4" i="29"/>
  <c r="C4" i="21"/>
  <c r="C4" i="30"/>
  <c r="C74" i="21"/>
  <c r="C74" i="30"/>
  <c r="D40" i="21"/>
  <c r="D40" i="30"/>
  <c r="D56" i="20"/>
  <c r="F8" i="20"/>
  <c r="K55" i="29"/>
  <c r="D55" i="21"/>
  <c r="D55" i="30"/>
  <c r="C31" i="21"/>
  <c r="C31" i="30"/>
  <c r="D42" i="24"/>
  <c r="F40" i="8"/>
  <c r="F40" i="26" s="1"/>
  <c r="D30" i="21"/>
  <c r="D30" i="30"/>
  <c r="C70" i="29"/>
  <c r="C70" i="21"/>
  <c r="C70" i="30"/>
  <c r="D36" i="21"/>
  <c r="D36" i="30"/>
  <c r="E66" i="30"/>
  <c r="E66" i="21"/>
  <c r="C12" i="29"/>
  <c r="C12" i="30"/>
  <c r="C12" i="21"/>
  <c r="D63" i="21"/>
  <c r="D63" i="30"/>
  <c r="C7" i="21"/>
  <c r="C7" i="30"/>
  <c r="K23" i="29"/>
  <c r="C28" i="21"/>
  <c r="C28" i="30"/>
  <c r="D27" i="21"/>
  <c r="D27" i="30"/>
  <c r="K16" i="30"/>
  <c r="K60" i="30"/>
  <c r="D13" i="21"/>
  <c r="D8" i="21"/>
  <c r="K51" i="30"/>
  <c r="K28" i="30"/>
  <c r="K29" i="30"/>
  <c r="D11" i="21"/>
  <c r="C49" i="29"/>
  <c r="C49" i="21"/>
  <c r="C49" i="30"/>
  <c r="F8" i="21"/>
  <c r="D28" i="21"/>
  <c r="D28" i="30"/>
  <c r="D70" i="20"/>
  <c r="C51" i="30"/>
  <c r="C51" i="21"/>
  <c r="D34" i="24"/>
  <c r="D35" i="24"/>
  <c r="D17" i="24"/>
  <c r="C46" i="21"/>
  <c r="C46" i="30"/>
  <c r="K36" i="23"/>
  <c r="E70" i="21"/>
  <c r="E70" i="30"/>
  <c r="E76" i="18"/>
  <c r="C43" i="29"/>
  <c r="C43" i="21"/>
  <c r="C43" i="30"/>
  <c r="C60" i="29"/>
  <c r="C60" i="30"/>
  <c r="C60" i="21"/>
  <c r="C32" i="29"/>
  <c r="C32" i="21"/>
  <c r="C32" i="30"/>
  <c r="D20" i="21"/>
  <c r="D20" i="30"/>
  <c r="C30" i="29"/>
  <c r="C30" i="30"/>
  <c r="C30" i="21"/>
  <c r="K39" i="28"/>
  <c r="D57" i="21"/>
  <c r="D57" i="30"/>
  <c r="D60" i="29"/>
  <c r="D75" i="21"/>
  <c r="D75" i="30"/>
  <c r="G57" i="3"/>
  <c r="F57" i="8"/>
  <c r="K45" i="30"/>
  <c r="D62" i="21"/>
  <c r="D62" i="30"/>
  <c r="D15" i="21"/>
  <c r="D15" i="30"/>
  <c r="K40" i="30"/>
  <c r="K54" i="30"/>
  <c r="K43" i="30"/>
  <c r="D71" i="21"/>
  <c r="D71" i="30"/>
  <c r="C55" i="21"/>
  <c r="C55" i="30"/>
  <c r="C68" i="29"/>
  <c r="C68" i="21"/>
  <c r="C68" i="30"/>
  <c r="D60" i="18"/>
  <c r="D70" i="21"/>
  <c r="D70" i="30"/>
  <c r="G33" i="3"/>
  <c r="F33" i="8"/>
  <c r="D49" i="20"/>
  <c r="D64" i="20"/>
  <c r="C22" i="21"/>
  <c r="C22" i="30"/>
  <c r="C29" i="21"/>
  <c r="C29" i="30"/>
  <c r="D73" i="24"/>
  <c r="D53" i="23"/>
  <c r="K38" i="29"/>
  <c r="D38" i="21"/>
  <c r="D38" i="30"/>
  <c r="D4" i="24"/>
  <c r="C73" i="21"/>
  <c r="C73" i="30"/>
  <c r="C57" i="29"/>
  <c r="C57" i="30"/>
  <c r="C57" i="21"/>
  <c r="C40" i="21"/>
  <c r="C40" i="30"/>
  <c r="D35" i="21"/>
  <c r="D35" i="30"/>
  <c r="D22" i="21"/>
  <c r="D22" i="30"/>
  <c r="D2" i="18"/>
  <c r="D8" i="18"/>
  <c r="D72" i="21"/>
  <c r="D72" i="30"/>
  <c r="D74" i="21"/>
  <c r="D74" i="30"/>
  <c r="K18" i="29"/>
  <c r="F35" i="8"/>
  <c r="G35" i="3"/>
  <c r="D61" i="21"/>
  <c r="D61" i="30"/>
  <c r="D16" i="21"/>
  <c r="D16" i="30"/>
  <c r="D12" i="21"/>
  <c r="C76" i="26"/>
  <c r="C76" i="21"/>
  <c r="C76" i="18"/>
  <c r="C76" i="29"/>
  <c r="C76" i="30"/>
  <c r="E72" i="30"/>
  <c r="E72" i="21"/>
  <c r="D53" i="20"/>
  <c r="D3" i="18"/>
  <c r="C53" i="21"/>
  <c r="C53" i="30"/>
  <c r="D33" i="21"/>
  <c r="D33" i="30"/>
  <c r="D45" i="24"/>
  <c r="D46" i="24"/>
  <c r="D53" i="24"/>
  <c r="D54" i="24"/>
  <c r="D40" i="23"/>
  <c r="C25" i="29"/>
  <c r="C25" i="21"/>
  <c r="C25" i="30"/>
  <c r="C16" i="29"/>
  <c r="C16" i="21"/>
  <c r="C16" i="30"/>
  <c r="C9" i="29"/>
  <c r="C9" i="30"/>
  <c r="C9" i="21"/>
  <c r="D52" i="21"/>
  <c r="D52" i="30"/>
  <c r="D6" i="26"/>
  <c r="K27" i="28"/>
  <c r="K72" i="28"/>
  <c r="D10" i="26"/>
  <c r="D73" i="21"/>
  <c r="D73" i="30"/>
  <c r="K73" i="30"/>
  <c r="D18" i="21"/>
  <c r="D18" i="30"/>
  <c r="K20" i="30"/>
  <c r="G20" i="3"/>
  <c r="F20" i="8"/>
  <c r="D6" i="21"/>
  <c r="K57" i="30"/>
  <c r="K23" i="30"/>
  <c r="F18" i="8"/>
  <c r="G18" i="3"/>
  <c r="B76" i="26"/>
  <c r="B76" i="29"/>
  <c r="B76" i="8"/>
  <c r="B76" i="18"/>
  <c r="B76" i="21"/>
  <c r="B76" i="30"/>
  <c r="C75" i="30"/>
  <c r="C75" i="21"/>
  <c r="K52" i="30"/>
  <c r="K55" i="30"/>
  <c r="C41" i="21"/>
  <c r="C41" i="30"/>
  <c r="G42" i="3"/>
  <c r="F42" i="8"/>
  <c r="C17" i="21"/>
  <c r="C17" i="30"/>
  <c r="D51" i="21"/>
  <c r="D51" i="30"/>
  <c r="D9" i="18"/>
  <c r="C63" i="30"/>
  <c r="C63" i="21"/>
  <c r="C50" i="29"/>
  <c r="C50" i="21"/>
  <c r="C50" i="30"/>
  <c r="C44" i="21"/>
  <c r="C44" i="30"/>
  <c r="C2" i="29"/>
  <c r="C2" i="21"/>
  <c r="C2" i="30"/>
  <c r="D27" i="24"/>
  <c r="D51" i="24"/>
  <c r="D52" i="24"/>
  <c r="D7" i="24"/>
  <c r="D69" i="21"/>
  <c r="D69" i="30"/>
  <c r="D19" i="21"/>
  <c r="D19" i="30"/>
  <c r="D58" i="21"/>
  <c r="D58" i="30"/>
  <c r="C62" i="29"/>
  <c r="C62" i="21"/>
  <c r="C62" i="30"/>
  <c r="C69" i="29"/>
  <c r="C69" i="30"/>
  <c r="C69" i="21"/>
  <c r="C36" i="29"/>
  <c r="C36" i="30"/>
  <c r="C36" i="21"/>
  <c r="C45" i="29"/>
  <c r="C45" i="30"/>
  <c r="C45" i="21"/>
  <c r="D15" i="18"/>
  <c r="D37" i="21"/>
  <c r="D37" i="30"/>
  <c r="D66" i="21"/>
  <c r="D66" i="30"/>
  <c r="C13" i="21"/>
  <c r="C13" i="30"/>
  <c r="K72" i="29"/>
  <c r="K22" i="30"/>
  <c r="G5" i="3"/>
  <c r="F5" i="8"/>
  <c r="K15" i="30"/>
  <c r="K26" i="30"/>
  <c r="D2" i="21"/>
  <c r="D4" i="21"/>
  <c r="K53" i="30"/>
  <c r="G14" i="3"/>
  <c r="F14" i="8"/>
  <c r="D7" i="21"/>
  <c r="D31" i="21"/>
  <c r="D31" i="30"/>
  <c r="E62" i="30"/>
  <c r="E62" i="21"/>
  <c r="K24" i="29"/>
  <c r="D24" i="21"/>
  <c r="D24" i="30"/>
  <c r="D40" i="20"/>
  <c r="E72" i="20"/>
  <c r="D47" i="20"/>
  <c r="C61" i="21"/>
  <c r="C61" i="30"/>
  <c r="D62" i="24"/>
  <c r="D59" i="24"/>
  <c r="E72" i="23"/>
  <c r="D72" i="24"/>
  <c r="D39" i="23"/>
  <c r="C19" i="29"/>
  <c r="C19" i="21"/>
  <c r="C19" i="30"/>
  <c r="C15" i="29"/>
  <c r="C15" i="30"/>
  <c r="C15" i="21"/>
  <c r="C48" i="29"/>
  <c r="C48" i="30"/>
  <c r="C48" i="21"/>
  <c r="C66" i="30"/>
  <c r="C66" i="21"/>
  <c r="D29" i="21"/>
  <c r="D29" i="30"/>
  <c r="D31" i="29"/>
  <c r="D14" i="29"/>
  <c r="D12" i="18"/>
  <c r="K32" i="30"/>
  <c r="D3" i="21"/>
  <c r="D46" i="21"/>
  <c r="D46" i="30"/>
  <c r="K35" i="30"/>
  <c r="K24" i="30"/>
  <c r="G54" i="3"/>
  <c r="F54" i="8"/>
  <c r="F10" i="8"/>
  <c r="G10" i="3"/>
  <c r="D76" i="18"/>
  <c r="F15" i="30"/>
  <c r="F15" i="18"/>
  <c r="D74" i="18"/>
  <c r="D74" i="20"/>
  <c r="D74" i="29"/>
  <c r="D74" i="27"/>
  <c r="D74" i="23"/>
  <c r="D74" i="24"/>
  <c r="D74" i="26"/>
  <c r="D74" i="28"/>
  <c r="D9" i="26"/>
  <c r="K28" i="23"/>
  <c r="D28" i="28"/>
  <c r="D28" i="29"/>
  <c r="D28" i="27"/>
  <c r="D28" i="26"/>
  <c r="F3" i="28"/>
  <c r="F3" i="29"/>
  <c r="F3" i="27"/>
  <c r="F3" i="26"/>
  <c r="K33" i="23"/>
  <c r="D33" i="28"/>
  <c r="D33" i="29"/>
  <c r="D33" i="27"/>
  <c r="D33" i="26"/>
  <c r="F40" i="29"/>
  <c r="F40" i="28"/>
  <c r="F40" i="27"/>
  <c r="D41" i="28"/>
  <c r="D41" i="29"/>
  <c r="D41" i="27"/>
  <c r="D41" i="26"/>
  <c r="G41" i="29"/>
  <c r="G41" i="28"/>
  <c r="G41" i="27"/>
  <c r="G41" i="26"/>
  <c r="F23" i="21"/>
  <c r="F23" i="28"/>
  <c r="F23" i="29"/>
  <c r="F23" i="27"/>
  <c r="F23" i="26"/>
  <c r="D20" i="28"/>
  <c r="D20" i="29"/>
  <c r="D20" i="27"/>
  <c r="D20" i="26"/>
  <c r="D20" i="18"/>
  <c r="D17" i="26"/>
  <c r="D11" i="28"/>
  <c r="D3" i="28"/>
  <c r="D73" i="28"/>
  <c r="D73" i="29"/>
  <c r="D73" i="27"/>
  <c r="D73" i="26"/>
  <c r="K73" i="28"/>
  <c r="K73" i="29"/>
  <c r="D14" i="26"/>
  <c r="D51" i="20"/>
  <c r="D23" i="29"/>
  <c r="D23" i="28"/>
  <c r="D23" i="27"/>
  <c r="D23" i="26"/>
  <c r="F55" i="29"/>
  <c r="F55" i="28"/>
  <c r="F55" i="27"/>
  <c r="F55" i="26"/>
  <c r="F37" i="28"/>
  <c r="F37" i="29"/>
  <c r="F37" i="27"/>
  <c r="F37" i="26"/>
  <c r="D30" i="28"/>
  <c r="D30" i="29"/>
  <c r="D30" i="27"/>
  <c r="D30" i="26"/>
  <c r="G35" i="28"/>
  <c r="G35" i="29"/>
  <c r="G35" i="27"/>
  <c r="G35" i="26"/>
  <c r="K19" i="23"/>
  <c r="D19" i="29"/>
  <c r="D19" i="28"/>
  <c r="D19" i="27"/>
  <c r="D19" i="26"/>
  <c r="G34" i="28"/>
  <c r="G34" i="29"/>
  <c r="G34" i="27"/>
  <c r="G34" i="26"/>
  <c r="G11" i="28"/>
  <c r="G11" i="29"/>
  <c r="G11" i="27"/>
  <c r="G11" i="26"/>
  <c r="G66" i="21"/>
  <c r="G66" i="28"/>
  <c r="G66" i="29"/>
  <c r="D35" i="29"/>
  <c r="D35" i="28"/>
  <c r="D35" i="27"/>
  <c r="D35" i="26"/>
  <c r="D35" i="18"/>
  <c r="D61" i="28"/>
  <c r="D40" i="28"/>
  <c r="D40" i="29"/>
  <c r="D40" i="27"/>
  <c r="D40" i="26"/>
  <c r="D40" i="18"/>
  <c r="D25" i="28"/>
  <c r="D25" i="29"/>
  <c r="D25" i="27"/>
  <c r="D25" i="26"/>
  <c r="D25" i="18"/>
  <c r="D7" i="26"/>
  <c r="D10" i="28"/>
  <c r="K47" i="28"/>
  <c r="D31" i="26"/>
  <c r="D15" i="26"/>
  <c r="K34" i="28"/>
  <c r="D62" i="28"/>
  <c r="F62" i="28"/>
  <c r="F62" i="29"/>
  <c r="F62" i="27"/>
  <c r="F62" i="26"/>
  <c r="G26" i="28"/>
  <c r="G26" i="29"/>
  <c r="G26" i="27"/>
  <c r="G26" i="26"/>
  <c r="G26" i="21"/>
  <c r="G27" i="28"/>
  <c r="G27" i="29"/>
  <c r="G27" i="27"/>
  <c r="G27" i="26"/>
  <c r="D6" i="28"/>
  <c r="D39" i="29"/>
  <c r="D39" i="28"/>
  <c r="D39" i="27"/>
  <c r="D39" i="26"/>
  <c r="D39" i="18"/>
  <c r="D54" i="28"/>
  <c r="D54" i="29"/>
  <c r="D54" i="27"/>
  <c r="D54" i="26"/>
  <c r="D54" i="18"/>
  <c r="K43" i="28"/>
  <c r="K28" i="28"/>
  <c r="D44" i="28"/>
  <c r="D44" i="29"/>
  <c r="D44" i="27"/>
  <c r="D44" i="26"/>
  <c r="D9" i="28"/>
  <c r="G60" i="20"/>
  <c r="G60" i="29"/>
  <c r="G60" i="28"/>
  <c r="G60" i="27"/>
  <c r="G60" i="26"/>
  <c r="H50" i="6"/>
  <c r="L50" i="6" s="1"/>
  <c r="D67" i="23"/>
  <c r="K30" i="23"/>
  <c r="D38" i="28"/>
  <c r="D38" i="29"/>
  <c r="D38" i="27"/>
  <c r="D38" i="26"/>
  <c r="D47" i="29"/>
  <c r="D47" i="28"/>
  <c r="D47" i="27"/>
  <c r="D47" i="26"/>
  <c r="K38" i="28"/>
  <c r="D17" i="28"/>
  <c r="K39" i="29"/>
  <c r="D53" i="28"/>
  <c r="D53" i="29"/>
  <c r="D53" i="27"/>
  <c r="D53" i="26"/>
  <c r="D53" i="18"/>
  <c r="D68" i="28"/>
  <c r="D68" i="29"/>
  <c r="D68" i="27"/>
  <c r="D68" i="26"/>
  <c r="D68" i="18"/>
  <c r="K28" i="29"/>
  <c r="D7" i="28"/>
  <c r="D31" i="28"/>
  <c r="K34" i="29"/>
  <c r="G48" i="3"/>
  <c r="F48" i="8"/>
  <c r="F48" i="30" s="1"/>
  <c r="D14" i="28"/>
  <c r="D61" i="18"/>
  <c r="F11" i="28"/>
  <c r="F11" i="29"/>
  <c r="F11" i="27"/>
  <c r="F11" i="26"/>
  <c r="D69" i="28"/>
  <c r="D69" i="29"/>
  <c r="D69" i="27"/>
  <c r="D69" i="26"/>
  <c r="G39" i="29"/>
  <c r="G39" i="28"/>
  <c r="G39" i="27"/>
  <c r="G39" i="26"/>
  <c r="G39" i="18"/>
  <c r="K50" i="28"/>
  <c r="D65" i="26"/>
  <c r="F71" i="28"/>
  <c r="F71" i="29"/>
  <c r="F71" i="27"/>
  <c r="F71" i="26"/>
  <c r="D26" i="29"/>
  <c r="D26" i="28"/>
  <c r="D26" i="27"/>
  <c r="D26" i="26"/>
  <c r="D51" i="29"/>
  <c r="D51" i="28"/>
  <c r="D51" i="27"/>
  <c r="D51" i="26"/>
  <c r="D51" i="18"/>
  <c r="F4" i="29"/>
  <c r="F4" i="28"/>
  <c r="F4" i="27"/>
  <c r="F4" i="26"/>
  <c r="G20" i="29"/>
  <c r="G20" i="28"/>
  <c r="G20" i="27"/>
  <c r="G20" i="26"/>
  <c r="D10" i="24"/>
  <c r="D49" i="28"/>
  <c r="D49" i="29"/>
  <c r="D49" i="27"/>
  <c r="D49" i="26"/>
  <c r="E67" i="29"/>
  <c r="E67" i="28"/>
  <c r="E75" i="26"/>
  <c r="E74" i="26"/>
  <c r="C75" i="26"/>
  <c r="K51" i="29"/>
  <c r="D13" i="26"/>
  <c r="K55" i="28"/>
  <c r="K26" i="29"/>
  <c r="D29" i="28"/>
  <c r="D29" i="29"/>
  <c r="D29" i="27"/>
  <c r="D29" i="26"/>
  <c r="D29" i="18"/>
  <c r="D67" i="20"/>
  <c r="D26" i="20"/>
  <c r="F13" i="28"/>
  <c r="F13" i="29"/>
  <c r="F13" i="27"/>
  <c r="F13" i="26"/>
  <c r="D16" i="24"/>
  <c r="D8" i="24"/>
  <c r="F24" i="29"/>
  <c r="F24" i="28"/>
  <c r="F24" i="27"/>
  <c r="F24" i="26"/>
  <c r="D43" i="29"/>
  <c r="D43" i="28"/>
  <c r="D43" i="27"/>
  <c r="D43" i="26"/>
  <c r="D21" i="28"/>
  <c r="D21" i="29"/>
  <c r="D21" i="27"/>
  <c r="D21" i="26"/>
  <c r="G17" i="3"/>
  <c r="F17" i="8"/>
  <c r="F17" i="30" s="1"/>
  <c r="D12" i="28"/>
  <c r="K44" i="29"/>
  <c r="F61" i="28"/>
  <c r="F61" i="29"/>
  <c r="F61" i="27"/>
  <c r="F61" i="26"/>
  <c r="D45" i="28"/>
  <c r="D45" i="29"/>
  <c r="D45" i="27"/>
  <c r="D45" i="26"/>
  <c r="D45" i="18"/>
  <c r="D46" i="28"/>
  <c r="K50" i="29"/>
  <c r="D65" i="29"/>
  <c r="D55" i="29"/>
  <c r="D55" i="28"/>
  <c r="D55" i="27"/>
  <c r="D55" i="26"/>
  <c r="K51" i="23"/>
  <c r="F46" i="28"/>
  <c r="F46" i="29"/>
  <c r="F46" i="27"/>
  <c r="F46" i="26"/>
  <c r="F52" i="29"/>
  <c r="F52" i="28"/>
  <c r="F52" i="27"/>
  <c r="F52" i="26"/>
  <c r="D14" i="24"/>
  <c r="D56" i="24"/>
  <c r="D36" i="28"/>
  <c r="D36" i="29"/>
  <c r="D36" i="27"/>
  <c r="D36" i="26"/>
  <c r="E63" i="29"/>
  <c r="E63" i="28"/>
  <c r="D34" i="29"/>
  <c r="D34" i="28"/>
  <c r="D34" i="27"/>
  <c r="D34" i="26"/>
  <c r="D34" i="18"/>
  <c r="K36" i="29"/>
  <c r="K21" i="29"/>
  <c r="D5" i="26"/>
  <c r="D22" i="28"/>
  <c r="D22" i="29"/>
  <c r="D22" i="27"/>
  <c r="D22" i="26"/>
  <c r="D22" i="18"/>
  <c r="K24" i="28"/>
  <c r="E72" i="28"/>
  <c r="E72" i="29"/>
  <c r="D59" i="29"/>
  <c r="D59" i="28"/>
  <c r="D59" i="27"/>
  <c r="D59" i="26"/>
  <c r="D59" i="18"/>
  <c r="D16" i="26"/>
  <c r="K32" i="29"/>
  <c r="D65" i="28"/>
  <c r="D15" i="28"/>
  <c r="F41" i="29"/>
  <c r="F41" i="28"/>
  <c r="F41" i="27"/>
  <c r="F41" i="26"/>
  <c r="F62" i="20"/>
  <c r="F19" i="28"/>
  <c r="F19" i="29"/>
  <c r="F19" i="27"/>
  <c r="F19" i="26"/>
  <c r="F47" i="29"/>
  <c r="F47" i="28"/>
  <c r="F47" i="27"/>
  <c r="F47" i="26"/>
  <c r="G29" i="28"/>
  <c r="G29" i="29"/>
  <c r="G29" i="27"/>
  <c r="G29" i="26"/>
  <c r="F22" i="29"/>
  <c r="F22" i="28"/>
  <c r="F22" i="27"/>
  <c r="F22" i="26"/>
  <c r="D40" i="24"/>
  <c r="D64" i="28"/>
  <c r="D64" i="29"/>
  <c r="D64" i="27"/>
  <c r="D64" i="26"/>
  <c r="E63" i="27"/>
  <c r="D63" i="29"/>
  <c r="D63" i="28"/>
  <c r="D63" i="27"/>
  <c r="D63" i="26"/>
  <c r="D63" i="18"/>
  <c r="D13" i="28"/>
  <c r="K36" i="28"/>
  <c r="K21" i="28"/>
  <c r="G75" i="3"/>
  <c r="F75" i="8"/>
  <c r="F75" i="30" s="1"/>
  <c r="D52" i="28"/>
  <c r="D52" i="29"/>
  <c r="D52" i="27"/>
  <c r="D52" i="26"/>
  <c r="D52" i="18"/>
  <c r="K32" i="28"/>
  <c r="D8" i="26"/>
  <c r="D18" i="29"/>
  <c r="D18" i="28"/>
  <c r="D18" i="27"/>
  <c r="D18" i="26"/>
  <c r="D18" i="18"/>
  <c r="D17" i="18"/>
  <c r="D32" i="28"/>
  <c r="D32" i="29"/>
  <c r="D32" i="27"/>
  <c r="D32" i="26"/>
  <c r="F16" i="28"/>
  <c r="F16" i="29"/>
  <c r="F16" i="27"/>
  <c r="F16" i="26"/>
  <c r="G53" i="28"/>
  <c r="G53" i="29"/>
  <c r="G53" i="27"/>
  <c r="G53" i="26"/>
  <c r="D6" i="24"/>
  <c r="D13" i="24"/>
  <c r="F8" i="28"/>
  <c r="F8" i="29"/>
  <c r="F8" i="27"/>
  <c r="F8" i="26"/>
  <c r="D63" i="24"/>
  <c r="G74" i="3"/>
  <c r="F74" i="8"/>
  <c r="F74" i="30" s="1"/>
  <c r="D66" i="29"/>
  <c r="D66" i="28"/>
  <c r="D66" i="27"/>
  <c r="D66" i="26"/>
  <c r="D66" i="18"/>
  <c r="D2" i="26"/>
  <c r="K49" i="29"/>
  <c r="K33" i="29"/>
  <c r="D42" i="29"/>
  <c r="D42" i="28"/>
  <c r="D42" i="27"/>
  <c r="D42" i="26"/>
  <c r="D42" i="18"/>
  <c r="K45" i="29"/>
  <c r="K30" i="28"/>
  <c r="K15" i="28"/>
  <c r="D4" i="26"/>
  <c r="K61" i="28"/>
  <c r="K61" i="29"/>
  <c r="E65" i="29"/>
  <c r="E65" i="28"/>
  <c r="F62" i="21"/>
  <c r="D71" i="29"/>
  <c r="D71" i="28"/>
  <c r="D71" i="27"/>
  <c r="D71" i="26"/>
  <c r="G10" i="28"/>
  <c r="G10" i="29"/>
  <c r="G10" i="27"/>
  <c r="G10" i="26"/>
  <c r="G6" i="29"/>
  <c r="G6" i="28"/>
  <c r="G6" i="27"/>
  <c r="G6" i="26"/>
  <c r="D68" i="24"/>
  <c r="E27" i="18"/>
  <c r="E70" i="29"/>
  <c r="E70" i="28"/>
  <c r="E75" i="18"/>
  <c r="E74" i="18"/>
  <c r="D5" i="28"/>
  <c r="K41" i="29"/>
  <c r="D56" i="28"/>
  <c r="D56" i="29"/>
  <c r="D56" i="27"/>
  <c r="D56" i="26"/>
  <c r="D56" i="18"/>
  <c r="K15" i="29"/>
  <c r="D16" i="28"/>
  <c r="D8" i="29"/>
  <c r="D24" i="28"/>
  <c r="D24" i="29"/>
  <c r="D24" i="27"/>
  <c r="D24" i="26"/>
  <c r="G3" i="29"/>
  <c r="G3" i="28"/>
  <c r="G3" i="27"/>
  <c r="G3" i="26"/>
  <c r="D58" i="29"/>
  <c r="D58" i="28"/>
  <c r="D58" i="27"/>
  <c r="D58" i="26"/>
  <c r="K19" i="28"/>
  <c r="D37" i="28"/>
  <c r="D37" i="29"/>
  <c r="D37" i="27"/>
  <c r="D37" i="26"/>
  <c r="D37" i="18"/>
  <c r="K23" i="28"/>
  <c r="D2" i="28"/>
  <c r="K49" i="28"/>
  <c r="K40" i="28"/>
  <c r="K41" i="28"/>
  <c r="K33" i="28"/>
  <c r="D70" i="28"/>
  <c r="D70" i="29"/>
  <c r="D70" i="27"/>
  <c r="D70" i="26"/>
  <c r="D5" i="18"/>
  <c r="D14" i="18"/>
  <c r="D11" i="18"/>
  <c r="D46" i="18"/>
  <c r="D62" i="18"/>
  <c r="D31" i="18"/>
  <c r="D6" i="18"/>
  <c r="D10" i="18"/>
  <c r="D13" i="18"/>
  <c r="D16" i="18"/>
  <c r="D70" i="18"/>
  <c r="D27" i="28"/>
  <c r="D27" i="29"/>
  <c r="D27" i="27"/>
  <c r="D27" i="26"/>
  <c r="D27" i="18"/>
  <c r="K45" i="28"/>
  <c r="K30" i="29"/>
  <c r="K48" i="29"/>
  <c r="D8" i="28"/>
  <c r="D67" i="29"/>
  <c r="D67" i="28"/>
  <c r="D67" i="27"/>
  <c r="D67" i="26"/>
  <c r="D67" i="18"/>
  <c r="D46" i="26"/>
  <c r="D15" i="24"/>
  <c r="G44" i="29"/>
  <c r="G44" i="28"/>
  <c r="G44" i="27"/>
  <c r="G44" i="26"/>
  <c r="E66" i="18"/>
  <c r="E66" i="29"/>
  <c r="E66" i="28"/>
  <c r="K19" i="29"/>
  <c r="K22" i="29"/>
  <c r="K40" i="29"/>
  <c r="K58" i="28"/>
  <c r="D57" i="28"/>
  <c r="D57" i="29"/>
  <c r="D57" i="27"/>
  <c r="D57" i="26"/>
  <c r="D57" i="18"/>
  <c r="D4" i="28"/>
  <c r="K31" i="28"/>
  <c r="K48" i="28"/>
  <c r="K17" i="29"/>
  <c r="K18" i="28"/>
  <c r="D48" i="28"/>
  <c r="D48" i="29"/>
  <c r="D48" i="27"/>
  <c r="D48" i="26"/>
  <c r="D48" i="18"/>
  <c r="D50" i="29"/>
  <c r="D50" i="28"/>
  <c r="D50" i="27"/>
  <c r="D50" i="26"/>
  <c r="B62" i="29"/>
  <c r="B62" i="28"/>
  <c r="B62" i="27"/>
  <c r="B62" i="26"/>
  <c r="F73" i="29"/>
  <c r="F73" i="28"/>
  <c r="F73" i="27"/>
  <c r="F73" i="26"/>
  <c r="D51" i="23"/>
  <c r="D48" i="24"/>
  <c r="K47" i="23"/>
  <c r="E22" i="18"/>
  <c r="D61" i="26"/>
  <c r="D11" i="26"/>
  <c r="K58" i="29"/>
  <c r="D72" i="28"/>
  <c r="D72" i="29"/>
  <c r="D72" i="27"/>
  <c r="D72" i="26"/>
  <c r="D72" i="18"/>
  <c r="D3" i="26"/>
  <c r="K46" i="28"/>
  <c r="D4" i="18"/>
  <c r="K31" i="29"/>
  <c r="D75" i="20"/>
  <c r="D75" i="29"/>
  <c r="D75" i="23"/>
  <c r="D75" i="26"/>
  <c r="D75" i="24"/>
  <c r="D75" i="28"/>
  <c r="D75" i="27"/>
  <c r="D75" i="18"/>
  <c r="D62" i="26"/>
  <c r="D60" i="28"/>
  <c r="C52" i="20"/>
  <c r="C31" i="28"/>
  <c r="C31" i="29"/>
  <c r="C46" i="28"/>
  <c r="C46" i="29"/>
  <c r="C34" i="28"/>
  <c r="C34" i="29"/>
  <c r="C11" i="28"/>
  <c r="C11" i="29"/>
  <c r="C56" i="28"/>
  <c r="C56" i="29"/>
  <c r="C40" i="28"/>
  <c r="C40" i="29"/>
  <c r="C75" i="24"/>
  <c r="C55" i="28"/>
  <c r="C55" i="29"/>
  <c r="C73" i="28"/>
  <c r="C73" i="29"/>
  <c r="C75" i="23"/>
  <c r="C75" i="18"/>
  <c r="C65" i="28"/>
  <c r="C65" i="29"/>
  <c r="C18" i="28"/>
  <c r="C18" i="29"/>
  <c r="C23" i="28"/>
  <c r="C23" i="29"/>
  <c r="C53" i="28"/>
  <c r="C53" i="29"/>
  <c r="C10" i="23"/>
  <c r="C37" i="23"/>
  <c r="C52" i="28"/>
  <c r="C74" i="29"/>
  <c r="C75" i="27"/>
  <c r="C33" i="28"/>
  <c r="C33" i="29"/>
  <c r="C72" i="28"/>
  <c r="C72" i="29"/>
  <c r="C63" i="28"/>
  <c r="C63" i="29"/>
  <c r="C44" i="28"/>
  <c r="C44" i="29"/>
  <c r="C27" i="23"/>
  <c r="C22" i="28"/>
  <c r="C22" i="29"/>
  <c r="C47" i="28"/>
  <c r="C47" i="29"/>
  <c r="C43" i="18"/>
  <c r="C61" i="28"/>
  <c r="C61" i="29"/>
  <c r="C17" i="28"/>
  <c r="C17" i="29"/>
  <c r="C51" i="28"/>
  <c r="C51" i="29"/>
  <c r="C7" i="23"/>
  <c r="C8" i="28"/>
  <c r="C8" i="29"/>
  <c r="C75" i="28"/>
  <c r="C29" i="28"/>
  <c r="C29" i="29"/>
  <c r="C64" i="28"/>
  <c r="C64" i="29"/>
  <c r="C41" i="28"/>
  <c r="C41" i="29"/>
  <c r="C14" i="28"/>
  <c r="C14" i="29"/>
  <c r="C6" i="28"/>
  <c r="C6" i="29"/>
  <c r="C75" i="20"/>
  <c r="C70" i="28"/>
  <c r="C48" i="28"/>
  <c r="C5" i="28"/>
  <c r="C10" i="28"/>
  <c r="C26" i="28"/>
  <c r="C25" i="28"/>
  <c r="C27" i="28"/>
  <c r="C42" i="28"/>
  <c r="C9" i="28"/>
  <c r="C37" i="28"/>
  <c r="C19" i="28"/>
  <c r="C38" i="28"/>
  <c r="C43" i="28"/>
  <c r="C4" i="28"/>
  <c r="C28" i="28"/>
  <c r="C62" i="28"/>
  <c r="C12" i="28"/>
  <c r="C58" i="28"/>
  <c r="C36" i="28"/>
  <c r="C45" i="28"/>
  <c r="C6" i="20"/>
  <c r="C35" i="23"/>
  <c r="C35" i="28"/>
  <c r="C59" i="23"/>
  <c r="C59" i="28"/>
  <c r="C16" i="23"/>
  <c r="C16" i="28"/>
  <c r="C45" i="23"/>
  <c r="C66" i="23"/>
  <c r="C26" i="23"/>
  <c r="C28" i="23"/>
  <c r="C54" i="23"/>
  <c r="C40" i="27"/>
  <c r="C60" i="28"/>
  <c r="C30" i="20"/>
  <c r="C68" i="28"/>
  <c r="C50" i="20"/>
  <c r="C50" i="28"/>
  <c r="C2" i="20"/>
  <c r="C2" i="28"/>
  <c r="C3" i="23"/>
  <c r="C42" i="23"/>
  <c r="C32" i="23"/>
  <c r="C74" i="26"/>
  <c r="C74" i="20"/>
  <c r="C74" i="18"/>
  <c r="C74" i="23"/>
  <c r="C74" i="28"/>
  <c r="C74" i="24"/>
  <c r="C74" i="27"/>
  <c r="C39" i="28"/>
  <c r="C69" i="28"/>
  <c r="C71" i="28"/>
  <c r="C3" i="28"/>
  <c r="C54" i="28"/>
  <c r="C37" i="24"/>
  <c r="C49" i="28"/>
  <c r="C15" i="28"/>
  <c r="C32" i="28"/>
  <c r="C30" i="28"/>
  <c r="C13" i="28"/>
  <c r="C25" i="26"/>
  <c r="C67" i="28"/>
  <c r="C20" i="27"/>
  <c r="C20" i="28"/>
  <c r="C57" i="28"/>
  <c r="C21" i="28"/>
  <c r="C24" i="28"/>
  <c r="C66" i="28"/>
  <c r="C7" i="28"/>
  <c r="C5" i="27"/>
  <c r="C34" i="23"/>
  <c r="C56" i="20"/>
  <c r="C40" i="18"/>
  <c r="C43" i="20"/>
  <c r="C67" i="20"/>
  <c r="C28" i="20"/>
  <c r="C19" i="20"/>
  <c r="C16" i="27"/>
  <c r="C71" i="23"/>
  <c r="C48" i="27"/>
  <c r="C25" i="20"/>
  <c r="C27" i="20"/>
  <c r="C16" i="20"/>
  <c r="C63" i="20"/>
  <c r="C46" i="20"/>
  <c r="C66" i="20"/>
  <c r="C38" i="20"/>
  <c r="C24" i="27"/>
  <c r="C57" i="23"/>
  <c r="C21" i="27"/>
  <c r="C24" i="23"/>
  <c r="C9" i="20"/>
  <c r="C34" i="27"/>
  <c r="C8" i="20"/>
  <c r="C35" i="20"/>
  <c r="C26" i="20"/>
  <c r="C2" i="18"/>
  <c r="C62" i="18"/>
  <c r="C58" i="23"/>
  <c r="C36" i="23"/>
  <c r="C13" i="20"/>
  <c r="C71" i="20"/>
  <c r="C59" i="20"/>
  <c r="C11" i="20"/>
  <c r="C21" i="20"/>
  <c r="C32" i="20"/>
  <c r="C7" i="27"/>
  <c r="C68" i="27"/>
  <c r="C69" i="27"/>
  <c r="C15" i="20"/>
  <c r="C37" i="20"/>
  <c r="C3" i="20"/>
  <c r="C5" i="20"/>
  <c r="C69" i="18"/>
  <c r="C4" i="27"/>
  <c r="C45" i="27"/>
  <c r="C39" i="20"/>
  <c r="C7" i="20"/>
  <c r="C68" i="20"/>
  <c r="C48" i="20"/>
  <c r="C34" i="20"/>
  <c r="C8" i="23"/>
  <c r="C3" i="27"/>
  <c r="C15" i="27"/>
  <c r="C4" i="20"/>
  <c r="C36" i="20"/>
  <c r="C60" i="20"/>
  <c r="C42" i="20"/>
  <c r="C40" i="20"/>
  <c r="C28" i="27"/>
  <c r="C13" i="27"/>
  <c r="C29" i="20"/>
  <c r="C57" i="20"/>
  <c r="C54" i="20"/>
  <c r="C69" i="20"/>
  <c r="C45" i="20"/>
  <c r="C53" i="20"/>
  <c r="C56" i="23"/>
  <c r="C4" i="23"/>
  <c r="C37" i="27"/>
  <c r="C60" i="27"/>
  <c r="C59" i="27"/>
  <c r="C20" i="20"/>
  <c r="C24" i="20"/>
  <c r="C44" i="20"/>
  <c r="C56" i="27"/>
  <c r="C27" i="27"/>
  <c r="C12" i="27"/>
  <c r="C9" i="18"/>
  <c r="C36" i="27"/>
  <c r="C34" i="18"/>
  <c r="C32" i="18"/>
  <c r="C45" i="18"/>
  <c r="C39" i="18"/>
  <c r="C62" i="27"/>
  <c r="C11" i="27"/>
  <c r="C3" i="18"/>
  <c r="C52" i="18"/>
  <c r="C15" i="18"/>
  <c r="C54" i="27"/>
  <c r="C58" i="27"/>
  <c r="C30" i="27"/>
  <c r="C62" i="20"/>
  <c r="C58" i="20"/>
  <c r="C62" i="23"/>
  <c r="C42" i="18"/>
  <c r="C71" i="27"/>
  <c r="C70" i="20"/>
  <c r="C25" i="18"/>
  <c r="C56" i="18"/>
  <c r="C24" i="18"/>
  <c r="C26" i="27"/>
  <c r="C42" i="27"/>
  <c r="C65" i="20"/>
  <c r="C68" i="18"/>
  <c r="C12" i="20"/>
  <c r="C30" i="18"/>
  <c r="C54" i="18"/>
  <c r="C52" i="27"/>
  <c r="C35" i="27"/>
  <c r="C32" i="27"/>
  <c r="C66" i="27"/>
  <c r="C25" i="27"/>
  <c r="C4" i="18"/>
  <c r="C60" i="18"/>
  <c r="C39" i="27"/>
  <c r="C57" i="27"/>
  <c r="C9" i="27"/>
  <c r="C63" i="27"/>
  <c r="C63" i="26"/>
  <c r="C58" i="26"/>
  <c r="C30" i="26"/>
  <c r="C17" i="27"/>
  <c r="C17" i="26"/>
  <c r="C10" i="27"/>
  <c r="C10" i="26"/>
  <c r="C14" i="27"/>
  <c r="C14" i="26"/>
  <c r="C6" i="27"/>
  <c r="C6" i="26"/>
  <c r="C3" i="24"/>
  <c r="C9" i="23"/>
  <c r="C40" i="23"/>
  <c r="C60" i="23"/>
  <c r="C20" i="23"/>
  <c r="C54" i="26"/>
  <c r="C27" i="26"/>
  <c r="C16" i="26"/>
  <c r="C67" i="27"/>
  <c r="C67" i="26"/>
  <c r="C51" i="27"/>
  <c r="C51" i="26"/>
  <c r="C20" i="26"/>
  <c r="C64" i="27"/>
  <c r="C64" i="26"/>
  <c r="C48" i="23"/>
  <c r="C28" i="26"/>
  <c r="C39" i="26"/>
  <c r="C3" i="26"/>
  <c r="C12" i="26"/>
  <c r="C15" i="26"/>
  <c r="C42" i="26"/>
  <c r="C48" i="26"/>
  <c r="C71" i="26"/>
  <c r="C57" i="26"/>
  <c r="C24" i="26"/>
  <c r="C17" i="18"/>
  <c r="C10" i="20"/>
  <c r="C50" i="27"/>
  <c r="C50" i="26"/>
  <c r="C31" i="27"/>
  <c r="C31" i="26"/>
  <c r="C2" i="27"/>
  <c r="C2" i="26"/>
  <c r="C42" i="24"/>
  <c r="C68" i="23"/>
  <c r="C15" i="23"/>
  <c r="C25" i="23"/>
  <c r="C7" i="26"/>
  <c r="C26" i="26"/>
  <c r="C36" i="26"/>
  <c r="C40" i="26"/>
  <c r="C35" i="26"/>
  <c r="C41" i="27"/>
  <c r="C41" i="26"/>
  <c r="C52" i="26"/>
  <c r="C17" i="20"/>
  <c r="C55" i="27"/>
  <c r="C55" i="26"/>
  <c r="C19" i="27"/>
  <c r="C19" i="26"/>
  <c r="C5" i="23"/>
  <c r="C7" i="18"/>
  <c r="C70" i="27"/>
  <c r="C70" i="26"/>
  <c r="C37" i="26"/>
  <c r="C21" i="26"/>
  <c r="C13" i="26"/>
  <c r="C66" i="26"/>
  <c r="C11" i="26"/>
  <c r="C43" i="27"/>
  <c r="C43" i="26"/>
  <c r="C22" i="27"/>
  <c r="C22" i="26"/>
  <c r="C33" i="27"/>
  <c r="C33" i="26"/>
  <c r="C47" i="27"/>
  <c r="C47" i="26"/>
  <c r="C29" i="27"/>
  <c r="C29" i="26"/>
  <c r="C30" i="23"/>
  <c r="C11" i="18"/>
  <c r="C46" i="27"/>
  <c r="C46" i="26"/>
  <c r="C34" i="26"/>
  <c r="C45" i="26"/>
  <c r="C59" i="26"/>
  <c r="C32" i="26"/>
  <c r="C68" i="26"/>
  <c r="C69" i="26"/>
  <c r="C72" i="27"/>
  <c r="C72" i="26"/>
  <c r="C49" i="27"/>
  <c r="C49" i="26"/>
  <c r="C44" i="27"/>
  <c r="C44" i="26"/>
  <c r="C54" i="24"/>
  <c r="C62" i="26"/>
  <c r="C61" i="27"/>
  <c r="C61" i="26"/>
  <c r="C5" i="26"/>
  <c r="C65" i="27"/>
  <c r="C65" i="26"/>
  <c r="C18" i="27"/>
  <c r="C18" i="26"/>
  <c r="C23" i="20"/>
  <c r="C23" i="27"/>
  <c r="C23" i="26"/>
  <c r="C53" i="27"/>
  <c r="C53" i="26"/>
  <c r="C38" i="27"/>
  <c r="C38" i="26"/>
  <c r="C52" i="23"/>
  <c r="C73" i="27"/>
  <c r="C73" i="26"/>
  <c r="C56" i="26"/>
  <c r="C4" i="26"/>
  <c r="C60" i="26"/>
  <c r="C9" i="26"/>
  <c r="C8" i="27"/>
  <c r="C8" i="26"/>
  <c r="E62" i="18"/>
  <c r="E14" i="18"/>
  <c r="E65" i="20"/>
  <c r="E54" i="18"/>
  <c r="E67" i="18"/>
  <c r="E65" i="23"/>
  <c r="E65" i="24"/>
  <c r="E34" i="18"/>
  <c r="E29" i="18"/>
  <c r="E63" i="18"/>
  <c r="E65" i="18"/>
  <c r="E46" i="18"/>
  <c r="E17" i="18"/>
  <c r="E56" i="18"/>
  <c r="E65" i="27"/>
  <c r="E2" i="18"/>
  <c r="E15" i="26"/>
  <c r="E23" i="26"/>
  <c r="E66" i="27"/>
  <c r="E43" i="26"/>
  <c r="G66" i="20"/>
  <c r="G66" i="23"/>
  <c r="E22" i="26"/>
  <c r="E13" i="26"/>
  <c r="E60" i="18"/>
  <c r="E57" i="26"/>
  <c r="E59" i="18"/>
  <c r="E65" i="26"/>
  <c r="E71" i="26"/>
  <c r="E32" i="26"/>
  <c r="E25" i="18"/>
  <c r="E70" i="18"/>
  <c r="E48" i="26"/>
  <c r="G66" i="18"/>
  <c r="E67" i="24"/>
  <c r="E61" i="26"/>
  <c r="E7" i="26"/>
  <c r="E3" i="26"/>
  <c r="E27" i="26"/>
  <c r="E30" i="26"/>
  <c r="E46" i="26"/>
  <c r="E9" i="26"/>
  <c r="E17" i="26"/>
  <c r="E14" i="26"/>
  <c r="G66" i="24"/>
  <c r="E69" i="26"/>
  <c r="E19" i="26"/>
  <c r="E21" i="26"/>
  <c r="E2" i="26"/>
  <c r="E34" i="26"/>
  <c r="E50" i="26"/>
  <c r="E35" i="26"/>
  <c r="E8" i="26"/>
  <c r="E67" i="27"/>
  <c r="E73" i="26"/>
  <c r="E63" i="26"/>
  <c r="E29" i="26"/>
  <c r="E31" i="26"/>
  <c r="E10" i="26"/>
  <c r="E36" i="26"/>
  <c r="E52" i="26"/>
  <c r="E47" i="26"/>
  <c r="E20" i="26"/>
  <c r="E62" i="26"/>
  <c r="G66" i="26"/>
  <c r="E64" i="26"/>
  <c r="E39" i="26"/>
  <c r="E41" i="26"/>
  <c r="E16" i="26"/>
  <c r="E38" i="26"/>
  <c r="E54" i="26"/>
  <c r="E67" i="26"/>
  <c r="E11" i="26"/>
  <c r="G66" i="27"/>
  <c r="E68" i="26"/>
  <c r="E49" i="26"/>
  <c r="E51" i="26"/>
  <c r="E18" i="26"/>
  <c r="E40" i="26"/>
  <c r="E56" i="26"/>
  <c r="E4" i="26"/>
  <c r="E25" i="26"/>
  <c r="E67" i="20"/>
  <c r="E70" i="26"/>
  <c r="E66" i="26"/>
  <c r="E53" i="26"/>
  <c r="E55" i="26"/>
  <c r="E26" i="26"/>
  <c r="E42" i="26"/>
  <c r="E58" i="26"/>
  <c r="E12" i="26"/>
  <c r="E37" i="26"/>
  <c r="E67" i="23"/>
  <c r="E72" i="26"/>
  <c r="E59" i="26"/>
  <c r="E5" i="26"/>
  <c r="E28" i="26"/>
  <c r="E44" i="26"/>
  <c r="E60" i="26"/>
  <c r="E24" i="26"/>
  <c r="E45" i="26"/>
  <c r="E33" i="26"/>
  <c r="E6" i="26"/>
  <c r="G63" i="8"/>
  <c r="G63" i="30" s="1"/>
  <c r="G63" i="3"/>
  <c r="D10" i="25"/>
  <c r="H9" i="25"/>
  <c r="I9" i="25" s="1"/>
  <c r="D24" i="24"/>
  <c r="D24" i="23"/>
  <c r="C33" i="18"/>
  <c r="C33" i="24"/>
  <c r="C33" i="23"/>
  <c r="F37" i="24"/>
  <c r="F37" i="23"/>
  <c r="F37" i="18"/>
  <c r="D32" i="24"/>
  <c r="D32" i="23"/>
  <c r="F23" i="20"/>
  <c r="C51" i="20"/>
  <c r="F19" i="24"/>
  <c r="F19" i="23"/>
  <c r="C49" i="24"/>
  <c r="C49" i="23"/>
  <c r="C63" i="18"/>
  <c r="C63" i="24"/>
  <c r="C63" i="23"/>
  <c r="C65" i="18"/>
  <c r="C65" i="24"/>
  <c r="C65" i="23"/>
  <c r="C18" i="18"/>
  <c r="C18" i="24"/>
  <c r="C18" i="23"/>
  <c r="C67" i="18"/>
  <c r="C67" i="24"/>
  <c r="C67" i="23"/>
  <c r="C29" i="24"/>
  <c r="C29" i="23"/>
  <c r="K24" i="23"/>
  <c r="C59" i="24"/>
  <c r="F16" i="18"/>
  <c r="F16" i="24"/>
  <c r="F16" i="23"/>
  <c r="C32" i="24"/>
  <c r="C34" i="24"/>
  <c r="F52" i="18"/>
  <c r="F52" i="24"/>
  <c r="F52" i="23"/>
  <c r="C24" i="24"/>
  <c r="F24" i="24"/>
  <c r="F24" i="23"/>
  <c r="G55" i="3"/>
  <c r="C39" i="23"/>
  <c r="C20" i="24"/>
  <c r="F43" i="8"/>
  <c r="F43" i="30" s="1"/>
  <c r="G43" i="3"/>
  <c r="D9" i="24"/>
  <c r="F21" i="8"/>
  <c r="F21" i="30" s="1"/>
  <c r="G21" i="3"/>
  <c r="D58" i="24"/>
  <c r="D58" i="23"/>
  <c r="D58" i="18"/>
  <c r="F41" i="24"/>
  <c r="F41" i="23"/>
  <c r="D23" i="24"/>
  <c r="D23" i="23"/>
  <c r="D38" i="20"/>
  <c r="F11" i="24"/>
  <c r="F11" i="23"/>
  <c r="C61" i="18"/>
  <c r="C61" i="24"/>
  <c r="C61" i="23"/>
  <c r="F73" i="24"/>
  <c r="F73" i="18"/>
  <c r="F73" i="21"/>
  <c r="F73" i="20"/>
  <c r="F73" i="23"/>
  <c r="C13" i="24"/>
  <c r="C30" i="24"/>
  <c r="F22" i="24"/>
  <c r="F22" i="23"/>
  <c r="C28" i="24"/>
  <c r="C38" i="24"/>
  <c r="C38" i="23"/>
  <c r="C38" i="18"/>
  <c r="F8" i="24"/>
  <c r="F8" i="23"/>
  <c r="F26" i="8"/>
  <c r="F26" i="30" s="1"/>
  <c r="G26" i="3"/>
  <c r="G41" i="18"/>
  <c r="G41" i="24"/>
  <c r="G41" i="23"/>
  <c r="C39" i="24"/>
  <c r="D5" i="24"/>
  <c r="C12" i="23"/>
  <c r="D21" i="24"/>
  <c r="D21" i="23"/>
  <c r="D21" i="18"/>
  <c r="G11" i="24"/>
  <c r="G11" i="23"/>
  <c r="G11" i="18"/>
  <c r="C51" i="18"/>
  <c r="C51" i="24"/>
  <c r="C51" i="23"/>
  <c r="G60" i="21"/>
  <c r="G60" i="24"/>
  <c r="G60" i="23"/>
  <c r="C17" i="24"/>
  <c r="C17" i="23"/>
  <c r="C53" i="18"/>
  <c r="C53" i="24"/>
  <c r="C53" i="23"/>
  <c r="K32" i="23"/>
  <c r="C58" i="24"/>
  <c r="C7" i="24"/>
  <c r="G10" i="24"/>
  <c r="G10" i="23"/>
  <c r="C57" i="24"/>
  <c r="F4" i="18"/>
  <c r="F4" i="24"/>
  <c r="F4" i="23"/>
  <c r="C36" i="24"/>
  <c r="C60" i="24"/>
  <c r="F69" i="8"/>
  <c r="F69" i="30" s="1"/>
  <c r="D26" i="24"/>
  <c r="D26" i="23"/>
  <c r="D26" i="18"/>
  <c r="C70" i="24"/>
  <c r="C70" i="23"/>
  <c r="C48" i="18"/>
  <c r="C70" i="18"/>
  <c r="C20" i="18"/>
  <c r="C59" i="18"/>
  <c r="C35" i="18"/>
  <c r="C71" i="18"/>
  <c r="C8" i="18"/>
  <c r="C66" i="18"/>
  <c r="C12" i="18"/>
  <c r="C26" i="18"/>
  <c r="C36" i="18"/>
  <c r="C16" i="18"/>
  <c r="C5" i="18"/>
  <c r="C58" i="18"/>
  <c r="C57" i="18"/>
  <c r="C21" i="23"/>
  <c r="C48" i="24"/>
  <c r="D43" i="24"/>
  <c r="D43" i="23"/>
  <c r="D43" i="18"/>
  <c r="C12" i="24"/>
  <c r="D36" i="24"/>
  <c r="D36" i="23"/>
  <c r="D36" i="18"/>
  <c r="C10" i="18"/>
  <c r="D50" i="24"/>
  <c r="D50" i="23"/>
  <c r="B62" i="24"/>
  <c r="B62" i="23"/>
  <c r="D55" i="24"/>
  <c r="D55" i="23"/>
  <c r="F55" i="24"/>
  <c r="F55" i="23"/>
  <c r="C50" i="18"/>
  <c r="C50" i="24"/>
  <c r="C50" i="23"/>
  <c r="C44" i="18"/>
  <c r="C44" i="24"/>
  <c r="C44" i="23"/>
  <c r="C2" i="24"/>
  <c r="C2" i="23"/>
  <c r="C6" i="18"/>
  <c r="C6" i="24"/>
  <c r="C6" i="23"/>
  <c r="C27" i="24"/>
  <c r="K23" i="23"/>
  <c r="G30" i="3"/>
  <c r="F30" i="8"/>
  <c r="F30" i="30" s="1"/>
  <c r="C68" i="24"/>
  <c r="F62" i="18"/>
  <c r="F62" i="24"/>
  <c r="F62" i="23"/>
  <c r="C15" i="24"/>
  <c r="D69" i="24"/>
  <c r="D69" i="23"/>
  <c r="D69" i="18"/>
  <c r="F49" i="8"/>
  <c r="F49" i="30" s="1"/>
  <c r="G49" i="3"/>
  <c r="C46" i="24"/>
  <c r="C46" i="23"/>
  <c r="C46" i="18"/>
  <c r="G34" i="24"/>
  <c r="G34" i="23"/>
  <c r="G34" i="18"/>
  <c r="C21" i="24"/>
  <c r="C11" i="23"/>
  <c r="F36" i="8"/>
  <c r="F36" i="30" s="1"/>
  <c r="G36" i="3"/>
  <c r="C27" i="18"/>
  <c r="C55" i="24"/>
  <c r="C55" i="23"/>
  <c r="D38" i="24"/>
  <c r="D38" i="23"/>
  <c r="D38" i="18"/>
  <c r="F23" i="24"/>
  <c r="F23" i="23"/>
  <c r="F23" i="18"/>
  <c r="G60" i="18"/>
  <c r="K61" i="23"/>
  <c r="C72" i="24"/>
  <c r="C72" i="23"/>
  <c r="C55" i="18"/>
  <c r="C47" i="18"/>
  <c r="C47" i="24"/>
  <c r="C47" i="23"/>
  <c r="D33" i="24"/>
  <c r="D33" i="23"/>
  <c r="D33" i="18"/>
  <c r="K50" i="23"/>
  <c r="K38" i="23"/>
  <c r="C45" i="24"/>
  <c r="K55" i="23"/>
  <c r="D30" i="24"/>
  <c r="D30" i="23"/>
  <c r="D30" i="18"/>
  <c r="F46" i="24"/>
  <c r="F46" i="23"/>
  <c r="C16" i="24"/>
  <c r="C9" i="24"/>
  <c r="C19" i="24"/>
  <c r="C19" i="23"/>
  <c r="C19" i="18"/>
  <c r="C35" i="24"/>
  <c r="D25" i="24"/>
  <c r="C56" i="24"/>
  <c r="C73" i="24"/>
  <c r="C73" i="20"/>
  <c r="C73" i="18"/>
  <c r="C73" i="23"/>
  <c r="C21" i="18"/>
  <c r="C11" i="24"/>
  <c r="D57" i="24"/>
  <c r="C52" i="24"/>
  <c r="C13" i="18"/>
  <c r="C23" i="18"/>
  <c r="C23" i="24"/>
  <c r="C23" i="23"/>
  <c r="D19" i="24"/>
  <c r="D19" i="23"/>
  <c r="D71" i="24"/>
  <c r="D71" i="23"/>
  <c r="D28" i="24"/>
  <c r="D28" i="23"/>
  <c r="F37" i="20"/>
  <c r="C41" i="24"/>
  <c r="C41" i="23"/>
  <c r="C55" i="20"/>
  <c r="F40" i="24"/>
  <c r="F40" i="23"/>
  <c r="C62" i="24"/>
  <c r="C66" i="24"/>
  <c r="G53" i="24"/>
  <c r="G53" i="23"/>
  <c r="G53" i="18"/>
  <c r="G6" i="24"/>
  <c r="G6" i="23"/>
  <c r="G6" i="18"/>
  <c r="C5" i="24"/>
  <c r="F58" i="8"/>
  <c r="F58" i="30" s="1"/>
  <c r="G58" i="3"/>
  <c r="C25" i="24"/>
  <c r="G20" i="24"/>
  <c r="G20" i="23"/>
  <c r="G20" i="18"/>
  <c r="D49" i="24"/>
  <c r="D49" i="23"/>
  <c r="D49" i="18"/>
  <c r="D12" i="24"/>
  <c r="C69" i="23"/>
  <c r="D64" i="24"/>
  <c r="D64" i="23"/>
  <c r="D64" i="18"/>
  <c r="G44" i="24"/>
  <c r="G44" i="23"/>
  <c r="C43" i="23"/>
  <c r="G26" i="24"/>
  <c r="G26" i="23"/>
  <c r="G26" i="18"/>
  <c r="C28" i="18"/>
  <c r="G35" i="24"/>
  <c r="G35" i="23"/>
  <c r="G35" i="18"/>
  <c r="G41" i="3"/>
  <c r="G35" i="20"/>
  <c r="F13" i="24"/>
  <c r="F13" i="23"/>
  <c r="F37" i="21"/>
  <c r="C33" i="20"/>
  <c r="F71" i="24"/>
  <c r="F71" i="23"/>
  <c r="C64" i="24"/>
  <c r="C64" i="23"/>
  <c r="F47" i="24"/>
  <c r="F47" i="23"/>
  <c r="D19" i="18"/>
  <c r="H30" i="6"/>
  <c r="L30" i="6" s="1"/>
  <c r="F3" i="24"/>
  <c r="F3" i="23"/>
  <c r="C22" i="18"/>
  <c r="C22" i="24"/>
  <c r="C22" i="23"/>
  <c r="C31" i="18"/>
  <c r="C31" i="24"/>
  <c r="C31" i="23"/>
  <c r="C14" i="18"/>
  <c r="C14" i="24"/>
  <c r="C14" i="23"/>
  <c r="C71" i="24"/>
  <c r="F38" i="8"/>
  <c r="F38" i="30" s="1"/>
  <c r="G38" i="3"/>
  <c r="G29" i="24"/>
  <c r="G29" i="23"/>
  <c r="G29" i="18"/>
  <c r="C26" i="24"/>
  <c r="C10" i="24"/>
  <c r="D47" i="24"/>
  <c r="D47" i="23"/>
  <c r="D47" i="18"/>
  <c r="G3" i="24"/>
  <c r="G3" i="23"/>
  <c r="G3" i="18"/>
  <c r="C8" i="24"/>
  <c r="C40" i="24"/>
  <c r="D41" i="24"/>
  <c r="D41" i="23"/>
  <c r="D41" i="18"/>
  <c r="G27" i="24"/>
  <c r="G27" i="23"/>
  <c r="G27" i="18"/>
  <c r="C4" i="24"/>
  <c r="C69" i="24"/>
  <c r="F64" i="8"/>
  <c r="F64" i="30" s="1"/>
  <c r="D11" i="24"/>
  <c r="C43" i="24"/>
  <c r="D44" i="24"/>
  <c r="C37" i="18"/>
  <c r="C29" i="18"/>
  <c r="C18" i="20"/>
  <c r="C47" i="20"/>
  <c r="C14" i="20"/>
  <c r="C61" i="20"/>
  <c r="C22" i="20"/>
  <c r="C31" i="20"/>
  <c r="F32" i="8"/>
  <c r="F32" i="30" s="1"/>
  <c r="G32" i="3"/>
  <c r="F71" i="21"/>
  <c r="F71" i="20"/>
  <c r="F71" i="18"/>
  <c r="F41" i="21"/>
  <c r="F41" i="20"/>
  <c r="F41" i="18"/>
  <c r="F2" i="8"/>
  <c r="F2" i="30" s="1"/>
  <c r="G2" i="3"/>
  <c r="F59" i="8"/>
  <c r="F59" i="30" s="1"/>
  <c r="G59" i="3"/>
  <c r="F3" i="21"/>
  <c r="F3" i="20"/>
  <c r="F3" i="18"/>
  <c r="D32" i="20"/>
  <c r="D32" i="18"/>
  <c r="G68" i="8"/>
  <c r="G68" i="30" s="1"/>
  <c r="G68" i="3"/>
  <c r="G70" i="3"/>
  <c r="G70" i="8"/>
  <c r="G70" i="30" s="1"/>
  <c r="B62" i="21"/>
  <c r="B62" i="8"/>
  <c r="A63" i="3"/>
  <c r="B63" i="30" s="1"/>
  <c r="B62" i="18"/>
  <c r="D55" i="20"/>
  <c r="D55" i="18"/>
  <c r="F55" i="21"/>
  <c r="F55" i="20"/>
  <c r="F55" i="18"/>
  <c r="C49" i="20"/>
  <c r="C49" i="18"/>
  <c r="C64" i="20"/>
  <c r="C64" i="18"/>
  <c r="D71" i="20"/>
  <c r="D71" i="18"/>
  <c r="G64" i="8"/>
  <c r="G64" i="30" s="1"/>
  <c r="G64" i="3"/>
  <c r="F28" i="8"/>
  <c r="F28" i="30" s="1"/>
  <c r="G28" i="3"/>
  <c r="F13" i="21"/>
  <c r="F13" i="20"/>
  <c r="F13" i="18"/>
  <c r="G69" i="8"/>
  <c r="G69" i="30" s="1"/>
  <c r="G69" i="3"/>
  <c r="C41" i="20"/>
  <c r="C41" i="18"/>
  <c r="G62" i="8"/>
  <c r="G62" i="30" s="1"/>
  <c r="G62" i="3"/>
  <c r="D28" i="20"/>
  <c r="D28" i="18"/>
  <c r="G71" i="8"/>
  <c r="G71" i="30" s="1"/>
  <c r="G71" i="3"/>
  <c r="F50" i="8"/>
  <c r="F50" i="30" s="1"/>
  <c r="G50" i="3"/>
  <c r="L31" i="6"/>
  <c r="G67" i="6"/>
  <c r="J68" i="6" s="1"/>
  <c r="H40" i="6"/>
  <c r="L40" i="6" s="1"/>
  <c r="H60" i="6"/>
  <c r="L60" i="6" s="1"/>
  <c r="D6" i="5"/>
  <c r="H5" i="5"/>
  <c r="I5" i="5" s="1"/>
  <c r="D50" i="20"/>
  <c r="D50" i="18"/>
  <c r="G65" i="8"/>
  <c r="G65" i="30" s="1"/>
  <c r="G65" i="3"/>
  <c r="D23" i="20"/>
  <c r="D23" i="18"/>
  <c r="C72" i="20"/>
  <c r="C72" i="18"/>
  <c r="F9" i="8"/>
  <c r="F9" i="30" s="1"/>
  <c r="G9" i="3"/>
  <c r="F47" i="21"/>
  <c r="F47" i="20"/>
  <c r="F47" i="18"/>
  <c r="F11" i="21"/>
  <c r="F11" i="20"/>
  <c r="F11" i="18"/>
  <c r="D24" i="20"/>
  <c r="D24" i="18"/>
  <c r="G72" i="3"/>
  <c r="G72" i="8"/>
  <c r="G72" i="30" s="1"/>
  <c r="G67" i="8"/>
  <c r="G67" i="30" s="1"/>
  <c r="G67" i="3"/>
  <c r="G61" i="8"/>
  <c r="G61" i="30" s="1"/>
  <c r="G61" i="3"/>
  <c r="F19" i="21"/>
  <c r="F19" i="20"/>
  <c r="F19" i="18"/>
  <c r="N60" i="6"/>
  <c r="H66" i="6"/>
  <c r="L66" i="6" s="1"/>
  <c r="F34" i="30" l="1"/>
  <c r="F34" i="23"/>
  <c r="F34" i="24"/>
  <c r="F34" i="18"/>
  <c r="F34" i="29"/>
  <c r="F34" i="28"/>
  <c r="F34" i="21"/>
  <c r="F34" i="26"/>
  <c r="F34" i="27"/>
  <c r="F34" i="20"/>
  <c r="F18" i="30"/>
  <c r="F18" i="23"/>
  <c r="F18" i="29"/>
  <c r="F18" i="18"/>
  <c r="F18" i="28"/>
  <c r="F18" i="21"/>
  <c r="F18" i="20"/>
  <c r="F18" i="27"/>
  <c r="F18" i="26"/>
  <c r="F18" i="24"/>
  <c r="F25" i="30"/>
  <c r="F25" i="21"/>
  <c r="F25" i="24"/>
  <c r="F25" i="20"/>
  <c r="F25" i="23"/>
  <c r="F25" i="29"/>
  <c r="F25" i="28"/>
  <c r="F25" i="18"/>
  <c r="F25" i="27"/>
  <c r="F25" i="26"/>
  <c r="F40" i="30"/>
  <c r="F40" i="18"/>
  <c r="F40" i="21"/>
  <c r="F40" i="20"/>
  <c r="F20" i="30"/>
  <c r="F20" i="29"/>
  <c r="F20" i="28"/>
  <c r="F20" i="27"/>
  <c r="F20" i="18"/>
  <c r="F20" i="21"/>
  <c r="F20" i="26"/>
  <c r="F20" i="24"/>
  <c r="F20" i="20"/>
  <c r="F20" i="23"/>
  <c r="K62" i="30"/>
  <c r="F6" i="30"/>
  <c r="F6" i="29"/>
  <c r="F6" i="21"/>
  <c r="F6" i="27"/>
  <c r="F6" i="26"/>
  <c r="F6" i="18"/>
  <c r="F6" i="24"/>
  <c r="F6" i="28"/>
  <c r="F6" i="23"/>
  <c r="F6" i="20"/>
  <c r="F31" i="30"/>
  <c r="F31" i="21"/>
  <c r="F31" i="18"/>
  <c r="F31" i="20"/>
  <c r="F31" i="28"/>
  <c r="F31" i="29"/>
  <c r="F31" i="27"/>
  <c r="F31" i="24"/>
  <c r="F31" i="26"/>
  <c r="F31" i="23"/>
  <c r="F57" i="30"/>
  <c r="F57" i="29"/>
  <c r="F57" i="28"/>
  <c r="F57" i="21"/>
  <c r="F57" i="27"/>
  <c r="F57" i="20"/>
  <c r="F57" i="26"/>
  <c r="F57" i="18"/>
  <c r="F57" i="24"/>
  <c r="F57" i="23"/>
  <c r="F14" i="30"/>
  <c r="F14" i="26"/>
  <c r="F14" i="21"/>
  <c r="F14" i="20"/>
  <c r="F14" i="27"/>
  <c r="F14" i="18"/>
  <c r="F14" i="29"/>
  <c r="F14" i="24"/>
  <c r="F14" i="28"/>
  <c r="F14" i="23"/>
  <c r="F10" i="30"/>
  <c r="F10" i="18"/>
  <c r="F10" i="24"/>
  <c r="F10" i="23"/>
  <c r="F10" i="21"/>
  <c r="F10" i="29"/>
  <c r="F10" i="20"/>
  <c r="F10" i="26"/>
  <c r="F10" i="27"/>
  <c r="F10" i="28"/>
  <c r="M37" i="6"/>
  <c r="F54" i="30"/>
  <c r="F54" i="21"/>
  <c r="F54" i="20"/>
  <c r="F54" i="29"/>
  <c r="F54" i="18"/>
  <c r="F54" i="28"/>
  <c r="F54" i="24"/>
  <c r="F54" i="27"/>
  <c r="F54" i="23"/>
  <c r="F54" i="26"/>
  <c r="F35" i="30"/>
  <c r="F35" i="18"/>
  <c r="F35" i="28"/>
  <c r="F35" i="29"/>
  <c r="F35" i="27"/>
  <c r="F35" i="26"/>
  <c r="F35" i="21"/>
  <c r="F35" i="20"/>
  <c r="F35" i="24"/>
  <c r="F35" i="23"/>
  <c r="F5" i="30"/>
  <c r="F5" i="29"/>
  <c r="F5" i="28"/>
  <c r="F5" i="21"/>
  <c r="F5" i="27"/>
  <c r="F5" i="24"/>
  <c r="F5" i="20"/>
  <c r="F5" i="26"/>
  <c r="F5" i="23"/>
  <c r="F5" i="18"/>
  <c r="F42" i="30"/>
  <c r="F42" i="20"/>
  <c r="F42" i="18"/>
  <c r="F42" i="29"/>
  <c r="F42" i="28"/>
  <c r="F42" i="26"/>
  <c r="F42" i="24"/>
  <c r="F42" i="23"/>
  <c r="F42" i="21"/>
  <c r="F42" i="27"/>
  <c r="F27" i="30"/>
  <c r="F27" i="28"/>
  <c r="F27" i="20"/>
  <c r="F27" i="29"/>
  <c r="F27" i="27"/>
  <c r="F27" i="26"/>
  <c r="F27" i="18"/>
  <c r="F27" i="24"/>
  <c r="F27" i="21"/>
  <c r="F27" i="23"/>
  <c r="F33" i="30"/>
  <c r="F33" i="29"/>
  <c r="F33" i="28"/>
  <c r="F33" i="27"/>
  <c r="F33" i="26"/>
  <c r="F33" i="24"/>
  <c r="F33" i="23"/>
  <c r="F33" i="21"/>
  <c r="F33" i="18"/>
  <c r="F33" i="20"/>
  <c r="G64" i="28"/>
  <c r="G64" i="29"/>
  <c r="G71" i="29"/>
  <c r="G71" i="28"/>
  <c r="F59" i="28"/>
  <c r="F59" i="29"/>
  <c r="F59" i="27"/>
  <c r="F59" i="26"/>
  <c r="F21" i="28"/>
  <c r="F21" i="29"/>
  <c r="F21" i="27"/>
  <c r="F21" i="26"/>
  <c r="F2" i="29"/>
  <c r="F2" i="28"/>
  <c r="F2" i="27"/>
  <c r="F2" i="26"/>
  <c r="F64" i="28"/>
  <c r="F64" i="29"/>
  <c r="F64" i="27"/>
  <c r="F64" i="26"/>
  <c r="F26" i="29"/>
  <c r="F26" i="28"/>
  <c r="F26" i="27"/>
  <c r="F26" i="26"/>
  <c r="F43" i="28"/>
  <c r="F43" i="29"/>
  <c r="F43" i="27"/>
  <c r="F43" i="26"/>
  <c r="F36" i="28"/>
  <c r="F36" i="29"/>
  <c r="F36" i="27"/>
  <c r="F36" i="26"/>
  <c r="F17" i="29"/>
  <c r="F17" i="28"/>
  <c r="F17" i="27"/>
  <c r="F17" i="26"/>
  <c r="F17" i="21"/>
  <c r="F17" i="18"/>
  <c r="F17" i="20"/>
  <c r="F17" i="23"/>
  <c r="F17" i="24"/>
  <c r="G62" i="29"/>
  <c r="G62" i="28"/>
  <c r="G63" i="29"/>
  <c r="G63" i="28"/>
  <c r="F48" i="28"/>
  <c r="F48" i="29"/>
  <c r="F48" i="27"/>
  <c r="F48" i="26"/>
  <c r="F48" i="23"/>
  <c r="F48" i="21"/>
  <c r="F48" i="20"/>
  <c r="F48" i="24"/>
  <c r="F48" i="18"/>
  <c r="K62" i="29"/>
  <c r="K62" i="28"/>
  <c r="G70" i="29"/>
  <c r="G70" i="28"/>
  <c r="F30" i="28"/>
  <c r="F30" i="29"/>
  <c r="F30" i="27"/>
  <c r="F30" i="26"/>
  <c r="G68" i="29"/>
  <c r="G68" i="28"/>
  <c r="F75" i="28"/>
  <c r="F75" i="20"/>
  <c r="F75" i="27"/>
  <c r="F75" i="23"/>
  <c r="F75" i="29"/>
  <c r="F75" i="26"/>
  <c r="F75" i="21"/>
  <c r="F75" i="24"/>
  <c r="F75" i="18"/>
  <c r="F32" i="29"/>
  <c r="F32" i="28"/>
  <c r="F32" i="27"/>
  <c r="F32" i="26"/>
  <c r="F58" i="29"/>
  <c r="F58" i="28"/>
  <c r="F58" i="27"/>
  <c r="F58" i="26"/>
  <c r="G65" i="29"/>
  <c r="G65" i="28"/>
  <c r="F38" i="29"/>
  <c r="F38" i="28"/>
  <c r="F38" i="27"/>
  <c r="F38" i="26"/>
  <c r="F9" i="29"/>
  <c r="F9" i="28"/>
  <c r="F9" i="27"/>
  <c r="F9" i="26"/>
  <c r="G61" i="28"/>
  <c r="G61" i="29"/>
  <c r="B63" i="29"/>
  <c r="B63" i="28"/>
  <c r="B63" i="27"/>
  <c r="B63" i="26"/>
  <c r="F69" i="28"/>
  <c r="F69" i="29"/>
  <c r="F69" i="27"/>
  <c r="F69" i="26"/>
  <c r="G67" i="29"/>
  <c r="G67" i="28"/>
  <c r="F50" i="29"/>
  <c r="F50" i="28"/>
  <c r="F50" i="27"/>
  <c r="F50" i="26"/>
  <c r="F49" i="29"/>
  <c r="F49" i="28"/>
  <c r="F49" i="27"/>
  <c r="F49" i="26"/>
  <c r="G69" i="28"/>
  <c r="G69" i="29"/>
  <c r="G72" i="28"/>
  <c r="G72" i="29"/>
  <c r="F28" i="29"/>
  <c r="F28" i="28"/>
  <c r="F28" i="27"/>
  <c r="F28" i="26"/>
  <c r="F74" i="18"/>
  <c r="F74" i="20"/>
  <c r="F74" i="27"/>
  <c r="F74" i="29"/>
  <c r="F74" i="28"/>
  <c r="F74" i="24"/>
  <c r="F74" i="23"/>
  <c r="F74" i="26"/>
  <c r="F74" i="21"/>
  <c r="G63" i="27"/>
  <c r="G63" i="26"/>
  <c r="G63" i="24"/>
  <c r="G63" i="23"/>
  <c r="G63" i="21"/>
  <c r="G63" i="20"/>
  <c r="G63" i="18"/>
  <c r="G65" i="27"/>
  <c r="G65" i="26"/>
  <c r="G62" i="27"/>
  <c r="G62" i="26"/>
  <c r="G70" i="27"/>
  <c r="G70" i="26"/>
  <c r="G64" i="27"/>
  <c r="G64" i="26"/>
  <c r="G67" i="27"/>
  <c r="G67" i="26"/>
  <c r="G71" i="27"/>
  <c r="G71" i="26"/>
  <c r="G68" i="27"/>
  <c r="G68" i="26"/>
  <c r="G69" i="27"/>
  <c r="G69" i="26"/>
  <c r="G61" i="27"/>
  <c r="G61" i="26"/>
  <c r="G72" i="27"/>
  <c r="G72" i="26"/>
  <c r="D11" i="25"/>
  <c r="H10" i="25"/>
  <c r="I10" i="25" s="1"/>
  <c r="G65" i="24"/>
  <c r="G65" i="23"/>
  <c r="F64" i="24"/>
  <c r="F64" i="23"/>
  <c r="F64" i="18"/>
  <c r="F64" i="20"/>
  <c r="F64" i="21"/>
  <c r="F58" i="18"/>
  <c r="F58" i="24"/>
  <c r="F58" i="23"/>
  <c r="F58" i="21"/>
  <c r="F58" i="20"/>
  <c r="G72" i="24"/>
  <c r="G72" i="23"/>
  <c r="F50" i="24"/>
  <c r="F50" i="23"/>
  <c r="F2" i="24"/>
  <c r="F2" i="23"/>
  <c r="F49" i="24"/>
  <c r="F49" i="23"/>
  <c r="F49" i="21"/>
  <c r="F49" i="20"/>
  <c r="F49" i="18"/>
  <c r="F69" i="24"/>
  <c r="F69" i="23"/>
  <c r="F69" i="21"/>
  <c r="F69" i="20"/>
  <c r="F69" i="18"/>
  <c r="B63" i="24"/>
  <c r="B63" i="23"/>
  <c r="G68" i="24"/>
  <c r="G68" i="23"/>
  <c r="G62" i="24"/>
  <c r="G62" i="23"/>
  <c r="F43" i="24"/>
  <c r="F43" i="23"/>
  <c r="F43" i="18"/>
  <c r="F43" i="21"/>
  <c r="F43" i="20"/>
  <c r="G61" i="24"/>
  <c r="G61" i="23"/>
  <c r="F9" i="24"/>
  <c r="F9" i="23"/>
  <c r="F32" i="24"/>
  <c r="F32" i="23"/>
  <c r="G69" i="24"/>
  <c r="G69" i="23"/>
  <c r="F28" i="24"/>
  <c r="F28" i="23"/>
  <c r="G70" i="24"/>
  <c r="G70" i="23"/>
  <c r="F59" i="24"/>
  <c r="F59" i="23"/>
  <c r="F36" i="18"/>
  <c r="F36" i="24"/>
  <c r="F36" i="23"/>
  <c r="F36" i="20"/>
  <c r="F36" i="21"/>
  <c r="G71" i="24"/>
  <c r="G71" i="23"/>
  <c r="K62" i="23"/>
  <c r="F30" i="24"/>
  <c r="F30" i="23"/>
  <c r="F30" i="21"/>
  <c r="F30" i="20"/>
  <c r="F30" i="18"/>
  <c r="F26" i="24"/>
  <c r="F26" i="23"/>
  <c r="F26" i="21"/>
  <c r="F26" i="20"/>
  <c r="F26" i="18"/>
  <c r="G67" i="24"/>
  <c r="G67" i="23"/>
  <c r="G64" i="24"/>
  <c r="G64" i="23"/>
  <c r="F38" i="24"/>
  <c r="F38" i="23"/>
  <c r="F38" i="21"/>
  <c r="F38" i="20"/>
  <c r="F38" i="18"/>
  <c r="F21" i="24"/>
  <c r="F21" i="23"/>
  <c r="F21" i="18"/>
  <c r="F21" i="20"/>
  <c r="F21" i="21"/>
  <c r="G61" i="21"/>
  <c r="G61" i="20"/>
  <c r="G61" i="18"/>
  <c r="F9" i="21"/>
  <c r="F9" i="20"/>
  <c r="F9" i="18"/>
  <c r="F50" i="21"/>
  <c r="F50" i="20"/>
  <c r="F50" i="18"/>
  <c r="G70" i="21"/>
  <c r="G70" i="20"/>
  <c r="G70" i="18"/>
  <c r="F59" i="21"/>
  <c r="F59" i="20"/>
  <c r="F59" i="18"/>
  <c r="G67" i="21"/>
  <c r="G67" i="20"/>
  <c r="G67" i="18"/>
  <c r="F2" i="21"/>
  <c r="F2" i="20"/>
  <c r="F2" i="18"/>
  <c r="G65" i="21"/>
  <c r="G65" i="20"/>
  <c r="G65" i="18"/>
  <c r="G69" i="21"/>
  <c r="G69" i="20"/>
  <c r="G69" i="18"/>
  <c r="F28" i="21"/>
  <c r="F28" i="20"/>
  <c r="F28" i="18"/>
  <c r="B63" i="21"/>
  <c r="A64" i="3"/>
  <c r="B64" i="30" s="1"/>
  <c r="B63" i="8"/>
  <c r="B63" i="18"/>
  <c r="G68" i="21"/>
  <c r="G68" i="20"/>
  <c r="G68" i="18"/>
  <c r="G71" i="21"/>
  <c r="G71" i="20"/>
  <c r="G71" i="18"/>
  <c r="G62" i="21"/>
  <c r="G62" i="20"/>
  <c r="G62" i="18"/>
  <c r="G72" i="21"/>
  <c r="G72" i="20"/>
  <c r="G72" i="18"/>
  <c r="D7" i="5"/>
  <c r="H6" i="5"/>
  <c r="I6" i="5" s="1"/>
  <c r="G64" i="21"/>
  <c r="G64" i="20"/>
  <c r="G64" i="18"/>
  <c r="F32" i="21"/>
  <c r="F32" i="20"/>
  <c r="F32" i="18"/>
  <c r="K63" i="30" l="1"/>
  <c r="B64" i="28"/>
  <c r="B64" i="29"/>
  <c r="B64" i="27"/>
  <c r="B64" i="26"/>
  <c r="K63" i="29"/>
  <c r="K63" i="28"/>
  <c r="D12" i="25"/>
  <c r="H11" i="25"/>
  <c r="I11" i="25" s="1"/>
  <c r="K63" i="23"/>
  <c r="B64" i="24"/>
  <c r="B64" i="23"/>
  <c r="D8" i="5"/>
  <c r="H7" i="5"/>
  <c r="I7" i="5" s="1"/>
  <c r="B64" i="21"/>
  <c r="A65" i="3"/>
  <c r="B65" i="30" s="1"/>
  <c r="B64" i="8"/>
  <c r="B64" i="18"/>
  <c r="K64" i="30" l="1"/>
  <c r="K64" i="28"/>
  <c r="K64" i="29"/>
  <c r="B65" i="28"/>
  <c r="B65" i="29"/>
  <c r="B65" i="27"/>
  <c r="B65" i="26"/>
  <c r="D13" i="25"/>
  <c r="H12" i="25"/>
  <c r="I12" i="25" s="1"/>
  <c r="K64" i="23"/>
  <c r="B65" i="24"/>
  <c r="B65" i="23"/>
  <c r="B65" i="21"/>
  <c r="B65" i="8"/>
  <c r="A66" i="3"/>
  <c r="B66" i="30" s="1"/>
  <c r="B65" i="18"/>
  <c r="D9" i="5"/>
  <c r="H8" i="5"/>
  <c r="I8" i="5" s="1"/>
  <c r="K65" i="30" l="1"/>
  <c r="B66" i="29"/>
  <c r="B66" i="28"/>
  <c r="B66" i="27"/>
  <c r="B66" i="26"/>
  <c r="K65" i="28"/>
  <c r="K65" i="29"/>
  <c r="D14" i="25"/>
  <c r="H13" i="25"/>
  <c r="I13" i="25" s="1"/>
  <c r="B66" i="24"/>
  <c r="B66" i="23"/>
  <c r="K65" i="23"/>
  <c r="D10" i="5"/>
  <c r="H9" i="5"/>
  <c r="I9" i="5" s="1"/>
  <c r="B66" i="21"/>
  <c r="A67" i="3"/>
  <c r="B67" i="30" s="1"/>
  <c r="B66" i="8"/>
  <c r="B66" i="18"/>
  <c r="K66" i="30" l="1"/>
  <c r="K66" i="29"/>
  <c r="K66" i="28"/>
  <c r="B67" i="29"/>
  <c r="B67" i="28"/>
  <c r="B67" i="27"/>
  <c r="B67" i="26"/>
  <c r="D15" i="25"/>
  <c r="H14" i="25"/>
  <c r="I14" i="25" s="1"/>
  <c r="K66" i="23"/>
  <c r="B67" i="24"/>
  <c r="B67" i="23"/>
  <c r="B67" i="21"/>
  <c r="A68" i="3"/>
  <c r="B68" i="30" s="1"/>
  <c r="B67" i="8"/>
  <c r="B67" i="18"/>
  <c r="D11" i="5"/>
  <c r="H10" i="5"/>
  <c r="I10" i="5" s="1"/>
  <c r="K67" i="30" l="1"/>
  <c r="B68" i="28"/>
  <c r="B68" i="29"/>
  <c r="B68" i="27"/>
  <c r="B68" i="26"/>
  <c r="K67" i="29"/>
  <c r="K67" i="28"/>
  <c r="D16" i="25"/>
  <c r="H15" i="25"/>
  <c r="I15" i="25" s="1"/>
  <c r="B68" i="24"/>
  <c r="B68" i="23"/>
  <c r="K67" i="23"/>
  <c r="D12" i="5"/>
  <c r="H11" i="5"/>
  <c r="I11" i="5" s="1"/>
  <c r="B68" i="21"/>
  <c r="B68" i="8"/>
  <c r="A69" i="3"/>
  <c r="B69" i="30" s="1"/>
  <c r="B68" i="18"/>
  <c r="K68" i="30" l="1"/>
  <c r="B69" i="29"/>
  <c r="B69" i="28"/>
  <c r="B69" i="27"/>
  <c r="B69" i="26"/>
  <c r="K68" i="28"/>
  <c r="K68" i="29"/>
  <c r="D17" i="25"/>
  <c r="H16" i="25"/>
  <c r="I16" i="25" s="1"/>
  <c r="B69" i="24"/>
  <c r="B69" i="23"/>
  <c r="K68" i="23"/>
  <c r="B69" i="21"/>
  <c r="B69" i="8"/>
  <c r="A70" i="3"/>
  <c r="B70" i="30" s="1"/>
  <c r="B69" i="18"/>
  <c r="D13" i="5"/>
  <c r="H12" i="5"/>
  <c r="I12" i="5" s="1"/>
  <c r="K69" i="30" l="1"/>
  <c r="K69" i="28"/>
  <c r="K69" i="29"/>
  <c r="B70" i="29"/>
  <c r="B70" i="28"/>
  <c r="B70" i="27"/>
  <c r="B70" i="26"/>
  <c r="D18" i="25"/>
  <c r="H17" i="25"/>
  <c r="I17" i="25" s="1"/>
  <c r="B70" i="24"/>
  <c r="B70" i="23"/>
  <c r="K69" i="23"/>
  <c r="D14" i="5"/>
  <c r="H13" i="5"/>
  <c r="I13" i="5" s="1"/>
  <c r="B70" i="21"/>
  <c r="B70" i="8"/>
  <c r="A71" i="3"/>
  <c r="B71" i="30" s="1"/>
  <c r="B70" i="18"/>
  <c r="K70" i="30" l="1"/>
  <c r="B71" i="28"/>
  <c r="B71" i="29"/>
  <c r="B71" i="27"/>
  <c r="B71" i="26"/>
  <c r="K70" i="28"/>
  <c r="K70" i="29"/>
  <c r="D19" i="25"/>
  <c r="H18" i="25"/>
  <c r="I18" i="25" s="1"/>
  <c r="B71" i="24"/>
  <c r="B71" i="23"/>
  <c r="K70" i="23"/>
  <c r="B71" i="21"/>
  <c r="B71" i="8"/>
  <c r="B71" i="18"/>
  <c r="D15" i="5"/>
  <c r="H14" i="5"/>
  <c r="I14" i="5" s="1"/>
  <c r="K71" i="30" l="1"/>
  <c r="K71" i="29"/>
  <c r="K71" i="28"/>
  <c r="D20" i="25"/>
  <c r="H19" i="25"/>
  <c r="I19" i="25" s="1"/>
  <c r="K71" i="23"/>
  <c r="D16" i="5"/>
  <c r="H15" i="5"/>
  <c r="I15" i="5" s="1"/>
  <c r="D21" i="25" l="1"/>
  <c r="H20" i="25"/>
  <c r="I20" i="25" s="1"/>
  <c r="D17" i="5"/>
  <c r="H16" i="5"/>
  <c r="I16" i="5" s="1"/>
  <c r="D22" i="25" l="1"/>
  <c r="H21" i="25"/>
  <c r="I21" i="25" s="1"/>
  <c r="D18" i="5"/>
  <c r="H17" i="5"/>
  <c r="I17" i="5" s="1"/>
  <c r="D23" i="25" l="1"/>
  <c r="H22" i="25"/>
  <c r="I22" i="25" s="1"/>
  <c r="D19" i="5"/>
  <c r="H18" i="5"/>
  <c r="I18" i="5" s="1"/>
  <c r="D24" i="25" l="1"/>
  <c r="H23" i="25"/>
  <c r="I23" i="25" s="1"/>
  <c r="D20" i="5"/>
  <c r="H19" i="5"/>
  <c r="I19" i="5" s="1"/>
  <c r="D25" i="25" l="1"/>
  <c r="H24" i="25"/>
  <c r="I24" i="25" s="1"/>
  <c r="D21" i="5"/>
  <c r="H20" i="5"/>
  <c r="I20" i="5" s="1"/>
  <c r="D26" i="25" l="1"/>
  <c r="H25" i="25"/>
  <c r="I25" i="25" s="1"/>
  <c r="D22" i="5"/>
  <c r="H21" i="5"/>
  <c r="I21" i="5" s="1"/>
  <c r="D27" i="25" l="1"/>
  <c r="H26" i="25"/>
  <c r="I26" i="25" s="1"/>
  <c r="D23" i="5"/>
  <c r="H22" i="5"/>
  <c r="I22" i="5" s="1"/>
  <c r="D28" i="25" l="1"/>
  <c r="H27" i="25"/>
  <c r="I27" i="25" s="1"/>
  <c r="D24" i="5"/>
  <c r="H23" i="5"/>
  <c r="I23" i="5" s="1"/>
  <c r="D29" i="25" l="1"/>
  <c r="H28" i="25"/>
  <c r="I28" i="25" s="1"/>
  <c r="D25" i="5"/>
  <c r="H24" i="5"/>
  <c r="I24" i="5" s="1"/>
  <c r="D30" i="25" l="1"/>
  <c r="H29" i="25"/>
  <c r="I29" i="25" s="1"/>
  <c r="D26" i="5"/>
  <c r="H25" i="5"/>
  <c r="I25" i="5" s="1"/>
  <c r="D31" i="25" l="1"/>
  <c r="H30" i="25"/>
  <c r="I30" i="25" s="1"/>
  <c r="D27" i="5"/>
  <c r="H26" i="5"/>
  <c r="I26" i="5" s="1"/>
  <c r="D32" i="25" l="1"/>
  <c r="H31" i="25"/>
  <c r="I31" i="25" s="1"/>
  <c r="D28" i="5"/>
  <c r="H27" i="5"/>
  <c r="I27" i="5" s="1"/>
  <c r="D33" i="25" l="1"/>
  <c r="H32" i="25"/>
  <c r="I32" i="25" s="1"/>
  <c r="D29" i="5"/>
  <c r="H28" i="5"/>
  <c r="I28" i="5" s="1"/>
  <c r="D34" i="25" l="1"/>
  <c r="D35" i="25" s="1"/>
  <c r="D36" i="25" s="1"/>
  <c r="D37" i="25" s="1"/>
  <c r="D38" i="25" s="1"/>
  <c r="D39" i="25" s="1"/>
  <c r="D40" i="25" s="1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D52" i="25" s="1"/>
  <c r="D53" i="25" s="1"/>
  <c r="D54" i="25" s="1"/>
  <c r="D55" i="25" s="1"/>
  <c r="D56" i="25" s="1"/>
  <c r="D57" i="25" s="1"/>
  <c r="D58" i="25" s="1"/>
  <c r="D59" i="25" s="1"/>
  <c r="D60" i="25" s="1"/>
  <c r="D61" i="25" s="1"/>
  <c r="D62" i="25" s="1"/>
  <c r="D63" i="25" s="1"/>
  <c r="D64" i="25" s="1"/>
  <c r="D65" i="25" s="1"/>
  <c r="D66" i="25" s="1"/>
  <c r="D67" i="25" s="1"/>
  <c r="D68" i="25" s="1"/>
  <c r="D69" i="25" s="1"/>
  <c r="D70" i="25" s="1"/>
  <c r="D71" i="25" s="1"/>
  <c r="D72" i="25" s="1"/>
  <c r="D73" i="25" s="1"/>
  <c r="D74" i="25" s="1"/>
  <c r="D75" i="25" s="1"/>
  <c r="D76" i="25" s="1"/>
  <c r="H33" i="25"/>
  <c r="I33" i="25" s="1"/>
  <c r="D30" i="5"/>
  <c r="H29" i="5"/>
  <c r="I29" i="5" s="1"/>
  <c r="E76" i="25" l="1"/>
  <c r="J74" i="8" s="1"/>
  <c r="D77" i="25"/>
  <c r="H34" i="25"/>
  <c r="I34" i="25" s="1"/>
  <c r="D31" i="5"/>
  <c r="H30" i="5"/>
  <c r="I30" i="5" s="1"/>
  <c r="E77" i="25" l="1"/>
  <c r="J75" i="8" s="1"/>
  <c r="D78" i="25"/>
  <c r="E78" i="25" s="1"/>
  <c r="J76" i="8" s="1"/>
  <c r="I76" i="29" s="1"/>
  <c r="I75" i="29"/>
  <c r="I75" i="28"/>
  <c r="I74" i="28"/>
  <c r="I74" i="29"/>
  <c r="H35" i="25"/>
  <c r="I35" i="25" s="1"/>
  <c r="D32" i="5"/>
  <c r="H31" i="5"/>
  <c r="I31" i="5" s="1"/>
  <c r="E36" i="25" l="1"/>
  <c r="J34" i="8" s="1"/>
  <c r="H36" i="25"/>
  <c r="I36" i="25" s="1"/>
  <c r="D33" i="5"/>
  <c r="H32" i="5"/>
  <c r="I32" i="5" s="1"/>
  <c r="I34" i="28" l="1"/>
  <c r="I34" i="29"/>
  <c r="E37" i="25"/>
  <c r="J35" i="8" s="1"/>
  <c r="H37" i="25"/>
  <c r="I37" i="25" s="1"/>
  <c r="E4" i="25"/>
  <c r="J2" i="8" s="1"/>
  <c r="E5" i="25"/>
  <c r="J3" i="8" s="1"/>
  <c r="E6" i="25"/>
  <c r="J4" i="8" s="1"/>
  <c r="E7" i="25"/>
  <c r="J5" i="8" s="1"/>
  <c r="E8" i="25"/>
  <c r="J6" i="8" s="1"/>
  <c r="E9" i="25"/>
  <c r="J7" i="8" s="1"/>
  <c r="E10" i="25"/>
  <c r="J8" i="8" s="1"/>
  <c r="E11" i="25"/>
  <c r="J9" i="8" s="1"/>
  <c r="E12" i="25"/>
  <c r="J10" i="8" s="1"/>
  <c r="E13" i="25"/>
  <c r="J11" i="8" s="1"/>
  <c r="E14" i="25"/>
  <c r="J12" i="8" s="1"/>
  <c r="E15" i="25"/>
  <c r="J13" i="8" s="1"/>
  <c r="E16" i="25"/>
  <c r="J14" i="8" s="1"/>
  <c r="E17" i="25"/>
  <c r="J15" i="8" s="1"/>
  <c r="E18" i="25"/>
  <c r="J16" i="8" s="1"/>
  <c r="E19" i="25"/>
  <c r="J17" i="8" s="1"/>
  <c r="E20" i="25"/>
  <c r="J18" i="8" s="1"/>
  <c r="E21" i="25"/>
  <c r="J19" i="8" s="1"/>
  <c r="E22" i="25"/>
  <c r="J20" i="8" s="1"/>
  <c r="E23" i="25"/>
  <c r="J21" i="8" s="1"/>
  <c r="E24" i="25"/>
  <c r="J22" i="8" s="1"/>
  <c r="E25" i="25"/>
  <c r="J23" i="8" s="1"/>
  <c r="E26" i="25"/>
  <c r="J24" i="8" s="1"/>
  <c r="E27" i="25"/>
  <c r="J25" i="8" s="1"/>
  <c r="E28" i="25"/>
  <c r="J26" i="8" s="1"/>
  <c r="E29" i="25"/>
  <c r="J27" i="8" s="1"/>
  <c r="E30" i="25"/>
  <c r="J28" i="8" s="1"/>
  <c r="E31" i="25"/>
  <c r="J29" i="8" s="1"/>
  <c r="E32" i="25"/>
  <c r="J30" i="8" s="1"/>
  <c r="E33" i="25"/>
  <c r="J31" i="8" s="1"/>
  <c r="E34" i="25"/>
  <c r="J32" i="8" s="1"/>
  <c r="E35" i="25"/>
  <c r="J33" i="8" s="1"/>
  <c r="D34" i="5"/>
  <c r="H33" i="5"/>
  <c r="I33" i="5" s="1"/>
  <c r="I5" i="28" l="1"/>
  <c r="I5" i="29"/>
  <c r="I8" i="28"/>
  <c r="I8" i="29"/>
  <c r="I19" i="29"/>
  <c r="I19" i="28"/>
  <c r="I27" i="29"/>
  <c r="I27" i="28"/>
  <c r="I7" i="29"/>
  <c r="I7" i="28"/>
  <c r="I2" i="29"/>
  <c r="I2" i="28"/>
  <c r="I24" i="28"/>
  <c r="I24" i="29"/>
  <c r="I10" i="28"/>
  <c r="I10" i="29"/>
  <c r="I22" i="29"/>
  <c r="I22" i="28"/>
  <c r="I3" i="29"/>
  <c r="I3" i="28"/>
  <c r="I32" i="28"/>
  <c r="I32" i="29"/>
  <c r="I35" i="29"/>
  <c r="I35" i="28"/>
  <c r="I11" i="29"/>
  <c r="I11" i="28"/>
  <c r="I23" i="29"/>
  <c r="I23" i="28"/>
  <c r="I20" i="29"/>
  <c r="I20" i="28"/>
  <c r="I18" i="28"/>
  <c r="I18" i="29"/>
  <c r="I15" i="29"/>
  <c r="I15" i="28"/>
  <c r="I25" i="28"/>
  <c r="I25" i="29"/>
  <c r="I4" i="29"/>
  <c r="I4" i="28"/>
  <c r="I17" i="28"/>
  <c r="I17" i="29"/>
  <c r="I30" i="29"/>
  <c r="I30" i="28"/>
  <c r="I14" i="29"/>
  <c r="I14" i="28"/>
  <c r="I26" i="28"/>
  <c r="I26" i="29"/>
  <c r="I6" i="29"/>
  <c r="I6" i="28"/>
  <c r="I33" i="28"/>
  <c r="I33" i="29"/>
  <c r="I31" i="29"/>
  <c r="I31" i="28"/>
  <c r="I29" i="28"/>
  <c r="I29" i="29"/>
  <c r="I13" i="28"/>
  <c r="I13" i="29"/>
  <c r="I9" i="28"/>
  <c r="I9" i="29"/>
  <c r="I21" i="28"/>
  <c r="I21" i="29"/>
  <c r="I16" i="28"/>
  <c r="I16" i="29"/>
  <c r="I28" i="29"/>
  <c r="I28" i="28"/>
  <c r="I12" i="29"/>
  <c r="I12" i="28"/>
  <c r="E38" i="25"/>
  <c r="J36" i="8" s="1"/>
  <c r="H38" i="25"/>
  <c r="I38" i="25" s="1"/>
  <c r="D35" i="5"/>
  <c r="H34" i="5"/>
  <c r="I34" i="5" s="1"/>
  <c r="I36" i="29" l="1"/>
  <c r="I36" i="28"/>
  <c r="E39" i="25"/>
  <c r="J37" i="8" s="1"/>
  <c r="H39" i="25"/>
  <c r="I39" i="25" s="1"/>
  <c r="D36" i="5"/>
  <c r="H35" i="5"/>
  <c r="I35" i="5" s="1"/>
  <c r="I37" i="28" l="1"/>
  <c r="I37" i="29"/>
  <c r="E40" i="25"/>
  <c r="J38" i="8" s="1"/>
  <c r="H40" i="25"/>
  <c r="I40" i="25" s="1"/>
  <c r="D37" i="5"/>
  <c r="H34" i="8" s="1"/>
  <c r="H36" i="5"/>
  <c r="I36" i="5" s="1"/>
  <c r="I38" i="29" l="1"/>
  <c r="I38" i="28"/>
  <c r="E41" i="25"/>
  <c r="J39" i="8" s="1"/>
  <c r="H41" i="25"/>
  <c r="I41" i="25" s="1"/>
  <c r="E36" i="5"/>
  <c r="I34" i="8"/>
  <c r="D38" i="5"/>
  <c r="H2" i="8"/>
  <c r="H35" i="8"/>
  <c r="H37" i="5"/>
  <c r="I37" i="5" s="1"/>
  <c r="E4" i="5"/>
  <c r="E37" i="5"/>
  <c r="E5" i="5"/>
  <c r="H3" i="8"/>
  <c r="H4" i="8"/>
  <c r="E6" i="5"/>
  <c r="H5" i="8"/>
  <c r="E7" i="5"/>
  <c r="E8" i="5"/>
  <c r="H6" i="8"/>
  <c r="H7" i="8"/>
  <c r="E9" i="5"/>
  <c r="E10" i="5"/>
  <c r="H8" i="8"/>
  <c r="H9" i="8"/>
  <c r="E11" i="5"/>
  <c r="H10" i="8"/>
  <c r="E12" i="5"/>
  <c r="H11" i="8"/>
  <c r="E13" i="5"/>
  <c r="H12" i="8"/>
  <c r="E14" i="5"/>
  <c r="H13" i="8"/>
  <c r="E15" i="5"/>
  <c r="H14" i="8"/>
  <c r="E16" i="5"/>
  <c r="H15" i="8"/>
  <c r="E17" i="5"/>
  <c r="H16" i="8"/>
  <c r="E18" i="5"/>
  <c r="H17" i="8"/>
  <c r="E19" i="5"/>
  <c r="H18" i="8"/>
  <c r="E20" i="5"/>
  <c r="H19" i="8"/>
  <c r="E21" i="5"/>
  <c r="E22" i="5"/>
  <c r="H20" i="8"/>
  <c r="E23" i="5"/>
  <c r="H21" i="8"/>
  <c r="H22" i="8"/>
  <c r="E24" i="5"/>
  <c r="E25" i="5"/>
  <c r="H23" i="8"/>
  <c r="E26" i="5"/>
  <c r="H24" i="8"/>
  <c r="H25" i="8"/>
  <c r="E27" i="5"/>
  <c r="H26" i="8"/>
  <c r="E28" i="5"/>
  <c r="H27" i="8"/>
  <c r="E29" i="5"/>
  <c r="E30" i="5"/>
  <c r="H28" i="8"/>
  <c r="H29" i="8"/>
  <c r="E31" i="5"/>
  <c r="H30" i="8"/>
  <c r="E32" i="5"/>
  <c r="H31" i="8"/>
  <c r="E33" i="5"/>
  <c r="E34" i="5"/>
  <c r="H32" i="8"/>
  <c r="H33" i="8"/>
  <c r="E35" i="5"/>
  <c r="I39" i="29" l="1"/>
  <c r="I39" i="28"/>
  <c r="E42" i="25"/>
  <c r="J40" i="8" s="1"/>
  <c r="H42" i="25"/>
  <c r="I42" i="25" s="1"/>
  <c r="I2" i="8"/>
  <c r="I23" i="8"/>
  <c r="I3" i="8"/>
  <c r="H36" i="8"/>
  <c r="D39" i="5"/>
  <c r="H38" i="5"/>
  <c r="I38" i="5" s="1"/>
  <c r="E38" i="5"/>
  <c r="I4" i="8"/>
  <c r="I31" i="8"/>
  <c r="I27" i="8"/>
  <c r="I19" i="8"/>
  <c r="I15" i="8"/>
  <c r="I11" i="8"/>
  <c r="I7" i="8"/>
  <c r="I6" i="8"/>
  <c r="I16" i="8"/>
  <c r="I30" i="8"/>
  <c r="I26" i="8"/>
  <c r="I22" i="8"/>
  <c r="I18" i="8"/>
  <c r="I14" i="8"/>
  <c r="I10" i="8"/>
  <c r="I21" i="8"/>
  <c r="I12" i="8"/>
  <c r="I33" i="8"/>
  <c r="I29" i="8"/>
  <c r="I25" i="8"/>
  <c r="I17" i="8"/>
  <c r="I13" i="8"/>
  <c r="I9" i="8"/>
  <c r="I5" i="8"/>
  <c r="I32" i="8"/>
  <c r="I28" i="8"/>
  <c r="I24" i="8"/>
  <c r="I20" i="8"/>
  <c r="I8" i="8"/>
  <c r="I35" i="8"/>
  <c r="I40" i="28" l="1"/>
  <c r="I40" i="29"/>
  <c r="E43" i="25"/>
  <c r="J41" i="8" s="1"/>
  <c r="H43" i="25"/>
  <c r="I43" i="25" s="1"/>
  <c r="D40" i="5"/>
  <c r="H37" i="8"/>
  <c r="H39" i="5"/>
  <c r="I39" i="5" s="1"/>
  <c r="E39" i="5"/>
  <c r="I36" i="8"/>
  <c r="I41" i="28" l="1"/>
  <c r="I41" i="29"/>
  <c r="E44" i="25"/>
  <c r="J42" i="8" s="1"/>
  <c r="H44" i="25"/>
  <c r="I44" i="25" s="1"/>
  <c r="H38" i="8"/>
  <c r="D41" i="5"/>
  <c r="H40" i="5"/>
  <c r="I40" i="5" s="1"/>
  <c r="E40" i="5"/>
  <c r="I37" i="8"/>
  <c r="I42" i="28" l="1"/>
  <c r="I42" i="29"/>
  <c r="E45" i="25"/>
  <c r="J43" i="8" s="1"/>
  <c r="H45" i="25"/>
  <c r="I45" i="25" s="1"/>
  <c r="D42" i="5"/>
  <c r="H39" i="8"/>
  <c r="E41" i="5"/>
  <c r="H41" i="5"/>
  <c r="I41" i="5" s="1"/>
  <c r="I38" i="8"/>
  <c r="I43" i="29" l="1"/>
  <c r="I43" i="28"/>
  <c r="E46" i="25"/>
  <c r="J44" i="8" s="1"/>
  <c r="H46" i="25"/>
  <c r="I46" i="25" s="1"/>
  <c r="H40" i="8"/>
  <c r="D43" i="5"/>
  <c r="H42" i="5"/>
  <c r="I42" i="5" s="1"/>
  <c r="E42" i="5"/>
  <c r="I39" i="8"/>
  <c r="I44" i="29" l="1"/>
  <c r="I44" i="28"/>
  <c r="E47" i="25"/>
  <c r="J45" i="8" s="1"/>
  <c r="H47" i="25"/>
  <c r="I47" i="25" s="1"/>
  <c r="D44" i="5"/>
  <c r="H41" i="8"/>
  <c r="H43" i="5"/>
  <c r="I43" i="5" s="1"/>
  <c r="E43" i="5"/>
  <c r="I40" i="8"/>
  <c r="I45" i="28" l="1"/>
  <c r="I45" i="29"/>
  <c r="E48" i="25"/>
  <c r="J46" i="8" s="1"/>
  <c r="H48" i="25"/>
  <c r="I48" i="25" s="1"/>
  <c r="I41" i="8"/>
  <c r="H42" i="8"/>
  <c r="D45" i="5"/>
  <c r="H44" i="5"/>
  <c r="I44" i="5" s="1"/>
  <c r="E44" i="5"/>
  <c r="I46" i="29" l="1"/>
  <c r="I46" i="28"/>
  <c r="E49" i="25"/>
  <c r="J47" i="8" s="1"/>
  <c r="H49" i="25"/>
  <c r="I49" i="25" s="1"/>
  <c r="I42" i="8"/>
  <c r="D46" i="5"/>
  <c r="H43" i="8"/>
  <c r="H45" i="5"/>
  <c r="I45" i="5" s="1"/>
  <c r="E45" i="5"/>
  <c r="I47" i="29" l="1"/>
  <c r="I47" i="28"/>
  <c r="E50" i="25"/>
  <c r="J48" i="8" s="1"/>
  <c r="H50" i="25"/>
  <c r="I50" i="25" s="1"/>
  <c r="I43" i="8"/>
  <c r="H44" i="8"/>
  <c r="D47" i="5"/>
  <c r="H46" i="5"/>
  <c r="I46" i="5" s="1"/>
  <c r="E46" i="5"/>
  <c r="I48" i="28" l="1"/>
  <c r="I48" i="29"/>
  <c r="E51" i="25"/>
  <c r="J49" i="8" s="1"/>
  <c r="H51" i="25"/>
  <c r="I51" i="25" s="1"/>
  <c r="D48" i="5"/>
  <c r="H45" i="8"/>
  <c r="H47" i="5"/>
  <c r="I47" i="5" s="1"/>
  <c r="E47" i="5"/>
  <c r="I44" i="8"/>
  <c r="I49" i="28" l="1"/>
  <c r="I49" i="29"/>
  <c r="J49" i="24"/>
  <c r="J75" i="24"/>
  <c r="J74" i="24"/>
  <c r="J34" i="24"/>
  <c r="J18" i="24"/>
  <c r="J5" i="24"/>
  <c r="J7" i="24"/>
  <c r="J22" i="24"/>
  <c r="J11" i="24"/>
  <c r="J15" i="24"/>
  <c r="J30" i="24"/>
  <c r="J33" i="24"/>
  <c r="J9" i="24"/>
  <c r="J12" i="24"/>
  <c r="J17" i="24"/>
  <c r="J8" i="24"/>
  <c r="J2" i="24"/>
  <c r="J3" i="24"/>
  <c r="J23" i="24"/>
  <c r="J25" i="24"/>
  <c r="J14" i="24"/>
  <c r="J31" i="24"/>
  <c r="J21" i="24"/>
  <c r="J6" i="24"/>
  <c r="J19" i="24"/>
  <c r="J24" i="24"/>
  <c r="J32" i="24"/>
  <c r="J20" i="24"/>
  <c r="J4" i="24"/>
  <c r="J26" i="24"/>
  <c r="J29" i="24"/>
  <c r="J16" i="24"/>
  <c r="J28" i="24"/>
  <c r="J27" i="24"/>
  <c r="J10" i="24"/>
  <c r="J35" i="24"/>
  <c r="J13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E52" i="25"/>
  <c r="J50" i="8" s="1"/>
  <c r="H52" i="25"/>
  <c r="I52" i="25" s="1"/>
  <c r="I45" i="8"/>
  <c r="H46" i="8"/>
  <c r="D49" i="5"/>
  <c r="H48" i="5"/>
  <c r="I48" i="5" s="1"/>
  <c r="E48" i="5"/>
  <c r="I50" i="28" l="1"/>
  <c r="I50" i="29"/>
  <c r="J50" i="24"/>
  <c r="E53" i="25"/>
  <c r="J51" i="8" s="1"/>
  <c r="H53" i="25"/>
  <c r="I53" i="25" s="1"/>
  <c r="D50" i="5"/>
  <c r="H47" i="8"/>
  <c r="H49" i="5"/>
  <c r="I49" i="5" s="1"/>
  <c r="E49" i="5"/>
  <c r="I46" i="8"/>
  <c r="I51" i="29" l="1"/>
  <c r="I51" i="28"/>
  <c r="J51" i="24"/>
  <c r="E54" i="25"/>
  <c r="J52" i="8" s="1"/>
  <c r="H54" i="25"/>
  <c r="I54" i="25" s="1"/>
  <c r="I47" i="8"/>
  <c r="H48" i="8"/>
  <c r="D51" i="5"/>
  <c r="E50" i="5"/>
  <c r="H50" i="5"/>
  <c r="I50" i="5" s="1"/>
  <c r="I52" i="29" l="1"/>
  <c r="I52" i="28"/>
  <c r="J52" i="24"/>
  <c r="E55" i="25"/>
  <c r="J53" i="8" s="1"/>
  <c r="H55" i="25"/>
  <c r="I55" i="25" s="1"/>
  <c r="I48" i="8"/>
  <c r="D52" i="5"/>
  <c r="H49" i="8"/>
  <c r="H51" i="5"/>
  <c r="I51" i="5" s="1"/>
  <c r="E51" i="5"/>
  <c r="H48" i="24" l="1"/>
  <c r="I48" i="24" s="1"/>
  <c r="I53" i="28"/>
  <c r="I53" i="29"/>
  <c r="J53" i="24"/>
  <c r="E56" i="25"/>
  <c r="J54" i="8" s="1"/>
  <c r="H56" i="25"/>
  <c r="I56" i="25" s="1"/>
  <c r="H49" i="24"/>
  <c r="I49" i="24" s="1"/>
  <c r="H34" i="24"/>
  <c r="I34" i="24" s="1"/>
  <c r="H21" i="24"/>
  <c r="I21" i="24" s="1"/>
  <c r="H9" i="24"/>
  <c r="I9" i="24" s="1"/>
  <c r="H28" i="24"/>
  <c r="I28" i="24" s="1"/>
  <c r="H2" i="24"/>
  <c r="I2" i="24" s="1"/>
  <c r="H23" i="24"/>
  <c r="I23" i="24" s="1"/>
  <c r="H15" i="24"/>
  <c r="I15" i="24" s="1"/>
  <c r="H31" i="24"/>
  <c r="I31" i="24" s="1"/>
  <c r="H26" i="24"/>
  <c r="I26" i="24" s="1"/>
  <c r="H10" i="24"/>
  <c r="I10" i="24" s="1"/>
  <c r="H29" i="24"/>
  <c r="I29" i="24" s="1"/>
  <c r="H5" i="24"/>
  <c r="I5" i="24" s="1"/>
  <c r="H24" i="24"/>
  <c r="I24" i="24" s="1"/>
  <c r="H16" i="24"/>
  <c r="I16" i="24" s="1"/>
  <c r="H3" i="24"/>
  <c r="I3" i="24" s="1"/>
  <c r="H11" i="24"/>
  <c r="I11" i="24" s="1"/>
  <c r="H6" i="24"/>
  <c r="I6" i="24" s="1"/>
  <c r="H22" i="24"/>
  <c r="I22" i="24" s="1"/>
  <c r="H14" i="24"/>
  <c r="I14" i="24" s="1"/>
  <c r="H17" i="24"/>
  <c r="I17" i="24" s="1"/>
  <c r="H35" i="24"/>
  <c r="I35" i="24" s="1"/>
  <c r="H20" i="24"/>
  <c r="I20" i="24" s="1"/>
  <c r="H12" i="24"/>
  <c r="I12" i="24" s="1"/>
  <c r="H27" i="24"/>
  <c r="I27" i="24" s="1"/>
  <c r="H7" i="24"/>
  <c r="I7" i="24" s="1"/>
  <c r="H25" i="24"/>
  <c r="I25" i="24" s="1"/>
  <c r="H18" i="24"/>
  <c r="I18" i="24" s="1"/>
  <c r="H13" i="24"/>
  <c r="I13" i="24" s="1"/>
  <c r="H32" i="24"/>
  <c r="I32" i="24" s="1"/>
  <c r="H8" i="24"/>
  <c r="I8" i="24" s="1"/>
  <c r="H4" i="24"/>
  <c r="I4" i="24" s="1"/>
  <c r="H19" i="24"/>
  <c r="I19" i="24" s="1"/>
  <c r="H33" i="24"/>
  <c r="I33" i="24" s="1"/>
  <c r="H30" i="24"/>
  <c r="I30" i="24" s="1"/>
  <c r="H36" i="24"/>
  <c r="I36" i="24" s="1"/>
  <c r="H37" i="24"/>
  <c r="I37" i="24" s="1"/>
  <c r="H38" i="24"/>
  <c r="I38" i="24" s="1"/>
  <c r="H39" i="24"/>
  <c r="I39" i="24" s="1"/>
  <c r="H40" i="24"/>
  <c r="I40" i="24" s="1"/>
  <c r="H41" i="24"/>
  <c r="I41" i="24" s="1"/>
  <c r="H42" i="24"/>
  <c r="I42" i="24" s="1"/>
  <c r="H43" i="24"/>
  <c r="I43" i="24" s="1"/>
  <c r="H44" i="24"/>
  <c r="I44" i="24" s="1"/>
  <c r="H45" i="24"/>
  <c r="I45" i="24" s="1"/>
  <c r="H46" i="24"/>
  <c r="I46" i="24" s="1"/>
  <c r="H47" i="24"/>
  <c r="I47" i="24" s="1"/>
  <c r="H50" i="8"/>
  <c r="D53" i="5"/>
  <c r="H52" i="5"/>
  <c r="I52" i="5" s="1"/>
  <c r="E52" i="5"/>
  <c r="I49" i="8"/>
  <c r="I54" i="29" l="1"/>
  <c r="I54" i="28"/>
  <c r="J54" i="24"/>
  <c r="E57" i="25"/>
  <c r="J55" i="8" s="1"/>
  <c r="H57" i="25"/>
  <c r="I57" i="25" s="1"/>
  <c r="H50" i="24"/>
  <c r="I50" i="24" s="1"/>
  <c r="I50" i="8"/>
  <c r="D54" i="5"/>
  <c r="H51" i="8"/>
  <c r="H53" i="5"/>
  <c r="I53" i="5" s="1"/>
  <c r="E53" i="5"/>
  <c r="I55" i="29" l="1"/>
  <c r="I55" i="28"/>
  <c r="J55" i="24"/>
  <c r="E58" i="25"/>
  <c r="J56" i="8" s="1"/>
  <c r="H58" i="25"/>
  <c r="I58" i="25" s="1"/>
  <c r="H51" i="24"/>
  <c r="I51" i="24" s="1"/>
  <c r="I51" i="8"/>
  <c r="H52" i="8"/>
  <c r="D55" i="5"/>
  <c r="H54" i="5"/>
  <c r="I54" i="5" s="1"/>
  <c r="E54" i="5"/>
  <c r="I56" i="29" l="1"/>
  <c r="I56" i="28"/>
  <c r="J56" i="24"/>
  <c r="E59" i="25"/>
  <c r="J57" i="8" s="1"/>
  <c r="H59" i="25"/>
  <c r="I59" i="25" s="1"/>
  <c r="H52" i="24"/>
  <c r="I52" i="24" s="1"/>
  <c r="I52" i="8"/>
  <c r="D56" i="5"/>
  <c r="H53" i="8"/>
  <c r="E55" i="5"/>
  <c r="H55" i="5"/>
  <c r="I55" i="5" s="1"/>
  <c r="I57" i="29" l="1"/>
  <c r="I57" i="28"/>
  <c r="J57" i="24"/>
  <c r="E60" i="25"/>
  <c r="J58" i="8" s="1"/>
  <c r="H60" i="25"/>
  <c r="I60" i="25" s="1"/>
  <c r="H53" i="24"/>
  <c r="I53" i="24" s="1"/>
  <c r="I53" i="8"/>
  <c r="D57" i="5"/>
  <c r="H54" i="8"/>
  <c r="H56" i="5"/>
  <c r="I56" i="5" s="1"/>
  <c r="E56" i="5"/>
  <c r="I58" i="28" l="1"/>
  <c r="I58" i="29"/>
  <c r="J58" i="24"/>
  <c r="E61" i="25"/>
  <c r="J59" i="8" s="1"/>
  <c r="L61" i="25"/>
  <c r="H61" i="25"/>
  <c r="I61" i="25" s="1"/>
  <c r="H54" i="24"/>
  <c r="I54" i="24" s="1"/>
  <c r="I54" i="8"/>
  <c r="D58" i="5"/>
  <c r="H55" i="8"/>
  <c r="H57" i="5"/>
  <c r="I57" i="5" s="1"/>
  <c r="E57" i="5"/>
  <c r="H55" i="21" l="1"/>
  <c r="H34" i="21"/>
  <c r="H13" i="21"/>
  <c r="H14" i="21"/>
  <c r="H30" i="21"/>
  <c r="H28" i="21"/>
  <c r="H21" i="21"/>
  <c r="H9" i="21"/>
  <c r="H32" i="21"/>
  <c r="H33" i="21"/>
  <c r="H29" i="21"/>
  <c r="H17" i="21"/>
  <c r="H27" i="21"/>
  <c r="H2" i="21"/>
  <c r="H23" i="21"/>
  <c r="H4" i="21"/>
  <c r="H16" i="21"/>
  <c r="H7" i="21"/>
  <c r="H3" i="21"/>
  <c r="H19" i="21"/>
  <c r="H20" i="21"/>
  <c r="H26" i="21"/>
  <c r="H31" i="21"/>
  <c r="H15" i="21"/>
  <c r="H5" i="21"/>
  <c r="H12" i="21"/>
  <c r="H35" i="21"/>
  <c r="H24" i="21"/>
  <c r="H6" i="21"/>
  <c r="H8" i="21"/>
  <c r="H25" i="21"/>
  <c r="H11" i="21"/>
  <c r="H10" i="21"/>
  <c r="H22" i="21"/>
  <c r="H18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I59" i="29"/>
  <c r="I59" i="28"/>
  <c r="J59" i="24"/>
  <c r="E62" i="25"/>
  <c r="J60" i="8" s="1"/>
  <c r="L62" i="25"/>
  <c r="H62" i="25"/>
  <c r="I62" i="25" s="1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H55" i="24"/>
  <c r="I55" i="24" s="1"/>
  <c r="I55" i="8"/>
  <c r="D59" i="5"/>
  <c r="H56" i="8"/>
  <c r="E58" i="5"/>
  <c r="H58" i="5"/>
  <c r="I58" i="5" s="1"/>
  <c r="H56" i="21" l="1"/>
  <c r="I60" i="29"/>
  <c r="I60" i="28"/>
  <c r="J60" i="24"/>
  <c r="L63" i="25"/>
  <c r="H63" i="25"/>
  <c r="I63" i="25" s="1"/>
  <c r="E63" i="25"/>
  <c r="J61" i="8" s="1"/>
  <c r="H56" i="24"/>
  <c r="I56" i="24" s="1"/>
  <c r="D60" i="5"/>
  <c r="H59" i="5"/>
  <c r="I59" i="5" s="1"/>
  <c r="H57" i="8"/>
  <c r="E59" i="5"/>
  <c r="I56" i="8"/>
  <c r="H57" i="21" l="1"/>
  <c r="I61" i="28"/>
  <c r="I61" i="29"/>
  <c r="J61" i="24"/>
  <c r="L64" i="25"/>
  <c r="H64" i="25"/>
  <c r="I64" i="25" s="1"/>
  <c r="E64" i="25"/>
  <c r="J62" i="8" s="1"/>
  <c r="H57" i="24"/>
  <c r="I57" i="24" s="1"/>
  <c r="I57" i="8"/>
  <c r="D61" i="5"/>
  <c r="H58" i="8"/>
  <c r="H60" i="5"/>
  <c r="I60" i="5" s="1"/>
  <c r="E60" i="5"/>
  <c r="H58" i="21" l="1"/>
  <c r="I62" i="29"/>
  <c r="I62" i="28"/>
  <c r="J62" i="24"/>
  <c r="L65" i="25"/>
  <c r="H65" i="25"/>
  <c r="I65" i="25" s="1"/>
  <c r="E65" i="25"/>
  <c r="J63" i="8" s="1"/>
  <c r="H58" i="24"/>
  <c r="I58" i="24" s="1"/>
  <c r="I58" i="8"/>
  <c r="D62" i="5"/>
  <c r="H59" i="8"/>
  <c r="H61" i="5"/>
  <c r="I61" i="5" s="1"/>
  <c r="E61" i="5"/>
  <c r="H59" i="21" l="1"/>
  <c r="I63" i="29"/>
  <c r="I63" i="28"/>
  <c r="J63" i="24"/>
  <c r="H66" i="25"/>
  <c r="I66" i="25" s="1"/>
  <c r="E66" i="25"/>
  <c r="J64" i="8" s="1"/>
  <c r="L66" i="25"/>
  <c r="H59" i="24"/>
  <c r="I59" i="24" s="1"/>
  <c r="I59" i="8"/>
  <c r="D63" i="5"/>
  <c r="H60" i="8"/>
  <c r="H62" i="5"/>
  <c r="I62" i="5" s="1"/>
  <c r="L4" i="5"/>
  <c r="L62" i="5"/>
  <c r="E62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H60" i="21" l="1"/>
  <c r="H60" i="27"/>
  <c r="H34" i="27"/>
  <c r="H11" i="27"/>
  <c r="H19" i="27"/>
  <c r="H29" i="27"/>
  <c r="H26" i="27"/>
  <c r="H2" i="27"/>
  <c r="H6" i="27"/>
  <c r="H21" i="27"/>
  <c r="H5" i="27"/>
  <c r="H24" i="27"/>
  <c r="H3" i="27"/>
  <c r="H35" i="27"/>
  <c r="H16" i="27"/>
  <c r="H18" i="27"/>
  <c r="H20" i="27"/>
  <c r="H28" i="27"/>
  <c r="H27" i="27"/>
  <c r="H33" i="27"/>
  <c r="H31" i="27"/>
  <c r="H9" i="27"/>
  <c r="H14" i="27"/>
  <c r="H17" i="27"/>
  <c r="H30" i="27"/>
  <c r="H10" i="27"/>
  <c r="H13" i="27"/>
  <c r="H12" i="27"/>
  <c r="H7" i="27"/>
  <c r="H25" i="27"/>
  <c r="H22" i="27"/>
  <c r="H15" i="27"/>
  <c r="H4" i="27"/>
  <c r="H32" i="27"/>
  <c r="H23" i="27"/>
  <c r="H8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I64" i="29"/>
  <c r="I64" i="28"/>
  <c r="J64" i="24"/>
  <c r="H59" i="27"/>
  <c r="H67" i="25"/>
  <c r="I67" i="25" s="1"/>
  <c r="E67" i="25"/>
  <c r="J65" i="8" s="1"/>
  <c r="L67" i="25"/>
  <c r="H60" i="24"/>
  <c r="I60" i="24" s="1"/>
  <c r="D64" i="5"/>
  <c r="H61" i="8"/>
  <c r="L63" i="5"/>
  <c r="H63" i="5"/>
  <c r="I63" i="5" s="1"/>
  <c r="E63" i="5"/>
  <c r="I60" i="8"/>
  <c r="H61" i="21" l="1"/>
  <c r="H61" i="27"/>
  <c r="I65" i="29"/>
  <c r="I65" i="28"/>
  <c r="J65" i="24"/>
  <c r="H68" i="25"/>
  <c r="I68" i="25" s="1"/>
  <c r="E68" i="25"/>
  <c r="J66" i="8" s="1"/>
  <c r="L68" i="25"/>
  <c r="H61" i="24"/>
  <c r="I61" i="24" s="1"/>
  <c r="I61" i="8"/>
  <c r="D65" i="5"/>
  <c r="H62" i="8"/>
  <c r="E64" i="5"/>
  <c r="H64" i="5"/>
  <c r="I64" i="5" s="1"/>
  <c r="L64" i="5"/>
  <c r="H62" i="21" l="1"/>
  <c r="H62" i="27"/>
  <c r="I66" i="28"/>
  <c r="I66" i="29"/>
  <c r="J66" i="24"/>
  <c r="E69" i="25"/>
  <c r="J67" i="8" s="1"/>
  <c r="L69" i="25"/>
  <c r="H69" i="25"/>
  <c r="I69" i="25" s="1"/>
  <c r="H62" i="24"/>
  <c r="I62" i="24" s="1"/>
  <c r="D66" i="5"/>
  <c r="H63" i="8"/>
  <c r="H65" i="5"/>
  <c r="I65" i="5" s="1"/>
  <c r="L65" i="5"/>
  <c r="E65" i="5"/>
  <c r="I62" i="8"/>
  <c r="H63" i="21" l="1"/>
  <c r="H63" i="27"/>
  <c r="I67" i="29"/>
  <c r="I67" i="28"/>
  <c r="J67" i="24"/>
  <c r="E70" i="25"/>
  <c r="J68" i="8" s="1"/>
  <c r="L70" i="25"/>
  <c r="H70" i="25"/>
  <c r="I70" i="25" s="1"/>
  <c r="H63" i="24"/>
  <c r="I63" i="24" s="1"/>
  <c r="I63" i="8"/>
  <c r="D67" i="5"/>
  <c r="H64" i="8"/>
  <c r="L66" i="5"/>
  <c r="E66" i="5"/>
  <c r="H66" i="5"/>
  <c r="I66" i="5" s="1"/>
  <c r="H64" i="21" l="1"/>
  <c r="H64" i="27"/>
  <c r="I68" i="29"/>
  <c r="I68" i="28"/>
  <c r="J68" i="24"/>
  <c r="L71" i="25"/>
  <c r="H71" i="25"/>
  <c r="I71" i="25" s="1"/>
  <c r="E71" i="25"/>
  <c r="J69" i="8" s="1"/>
  <c r="H64" i="24"/>
  <c r="I64" i="24" s="1"/>
  <c r="I64" i="8"/>
  <c r="H65" i="8"/>
  <c r="D68" i="5"/>
  <c r="L67" i="5"/>
  <c r="H67" i="5"/>
  <c r="I67" i="5" s="1"/>
  <c r="E67" i="5"/>
  <c r="H65" i="21" l="1"/>
  <c r="H65" i="27"/>
  <c r="I69" i="28"/>
  <c r="I69" i="29"/>
  <c r="J69" i="24"/>
  <c r="L72" i="25"/>
  <c r="H72" i="25"/>
  <c r="I72" i="25" s="1"/>
  <c r="E72" i="25"/>
  <c r="J70" i="8" s="1"/>
  <c r="H65" i="24"/>
  <c r="I65" i="24" s="1"/>
  <c r="I65" i="21"/>
  <c r="I65" i="8"/>
  <c r="I34" i="21"/>
  <c r="I2" i="21"/>
  <c r="I19" i="21"/>
  <c r="I6" i="21"/>
  <c r="I22" i="21"/>
  <c r="I21" i="21"/>
  <c r="I25" i="21"/>
  <c r="I5" i="21"/>
  <c r="I20" i="21"/>
  <c r="I8" i="21"/>
  <c r="I27" i="21"/>
  <c r="I7" i="21"/>
  <c r="I26" i="21"/>
  <c r="I10" i="21"/>
  <c r="I29" i="21"/>
  <c r="I9" i="21"/>
  <c r="I24" i="21"/>
  <c r="I15" i="21"/>
  <c r="I12" i="21"/>
  <c r="I3" i="21"/>
  <c r="I31" i="21"/>
  <c r="I11" i="21"/>
  <c r="I30" i="21"/>
  <c r="I14" i="21"/>
  <c r="I33" i="21"/>
  <c r="I13" i="21"/>
  <c r="I28" i="21"/>
  <c r="I35" i="21"/>
  <c r="I18" i="21"/>
  <c r="I17" i="21"/>
  <c r="I23" i="21"/>
  <c r="I4" i="21"/>
  <c r="I16" i="21"/>
  <c r="I32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H66" i="8"/>
  <c r="D69" i="5"/>
  <c r="H68" i="5"/>
  <c r="I68" i="5" s="1"/>
  <c r="L68" i="5"/>
  <c r="E68" i="5"/>
  <c r="I64" i="21"/>
  <c r="H66" i="21" l="1"/>
  <c r="I70" i="29"/>
  <c r="I70" i="28"/>
  <c r="J70" i="24"/>
  <c r="H66" i="27"/>
  <c r="L73" i="25"/>
  <c r="H73" i="25"/>
  <c r="I73" i="25" s="1"/>
  <c r="E73" i="25"/>
  <c r="J71" i="8" s="1"/>
  <c r="H66" i="24"/>
  <c r="I66" i="24" s="1"/>
  <c r="D70" i="5"/>
  <c r="H67" i="8"/>
  <c r="H69" i="5"/>
  <c r="I69" i="5" s="1"/>
  <c r="L69" i="5"/>
  <c r="E69" i="5"/>
  <c r="I66" i="21"/>
  <c r="I66" i="8"/>
  <c r="H67" i="21" l="1"/>
  <c r="I71" i="29"/>
  <c r="I71" i="28"/>
  <c r="J71" i="24"/>
  <c r="H67" i="27"/>
  <c r="H67" i="26"/>
  <c r="H34" i="26"/>
  <c r="H32" i="26"/>
  <c r="H11" i="26"/>
  <c r="H8" i="26"/>
  <c r="H23" i="26"/>
  <c r="H2" i="26"/>
  <c r="H6" i="26"/>
  <c r="H21" i="26"/>
  <c r="H5" i="26"/>
  <c r="H24" i="26"/>
  <c r="H3" i="26"/>
  <c r="H35" i="26"/>
  <c r="H16" i="26"/>
  <c r="H18" i="26"/>
  <c r="H10" i="26"/>
  <c r="H12" i="26"/>
  <c r="H29" i="26"/>
  <c r="H33" i="26"/>
  <c r="H31" i="26"/>
  <c r="H9" i="26"/>
  <c r="H14" i="26"/>
  <c r="H17" i="26"/>
  <c r="H30" i="26"/>
  <c r="H19" i="26"/>
  <c r="H13" i="26"/>
  <c r="H7" i="26"/>
  <c r="H25" i="26"/>
  <c r="H22" i="26"/>
  <c r="H15" i="26"/>
  <c r="H4" i="26"/>
  <c r="H20" i="26"/>
  <c r="H27" i="26"/>
  <c r="H26" i="26"/>
  <c r="H28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E75" i="25"/>
  <c r="J73" i="8" s="1"/>
  <c r="I71" i="23" s="1"/>
  <c r="E74" i="25"/>
  <c r="J72" i="8" s="1"/>
  <c r="H67" i="24"/>
  <c r="I67" i="24" s="1"/>
  <c r="I67" i="21"/>
  <c r="I67" i="8"/>
  <c r="H68" i="8"/>
  <c r="D71" i="5"/>
  <c r="L70" i="5"/>
  <c r="E70" i="5"/>
  <c r="H70" i="5"/>
  <c r="I70" i="5" s="1"/>
  <c r="H68" i="21" l="1"/>
  <c r="I72" i="29"/>
  <c r="I72" i="28"/>
  <c r="J72" i="24"/>
  <c r="I72" i="23"/>
  <c r="H68" i="27"/>
  <c r="H68" i="26"/>
  <c r="I73" i="29"/>
  <c r="I73" i="28"/>
  <c r="J73" i="24"/>
  <c r="I73" i="23"/>
  <c r="I75" i="23"/>
  <c r="I74" i="23"/>
  <c r="I34" i="23"/>
  <c r="I13" i="23"/>
  <c r="I5" i="23"/>
  <c r="I7" i="23"/>
  <c r="I22" i="23"/>
  <c r="I11" i="23"/>
  <c r="I15" i="23"/>
  <c r="I30" i="23"/>
  <c r="I33" i="23"/>
  <c r="I9" i="23"/>
  <c r="I12" i="23"/>
  <c r="I28" i="23"/>
  <c r="I21" i="23"/>
  <c r="I6" i="23"/>
  <c r="I8" i="23"/>
  <c r="I2" i="23"/>
  <c r="I3" i="23"/>
  <c r="I23" i="23"/>
  <c r="I25" i="23"/>
  <c r="I14" i="23"/>
  <c r="I31" i="23"/>
  <c r="I18" i="23"/>
  <c r="I29" i="23"/>
  <c r="I35" i="23"/>
  <c r="I19" i="23"/>
  <c r="I24" i="23"/>
  <c r="I32" i="23"/>
  <c r="I20" i="23"/>
  <c r="I4" i="23"/>
  <c r="I26" i="23"/>
  <c r="I16" i="23"/>
  <c r="I27" i="23"/>
  <c r="I10" i="23"/>
  <c r="I17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H68" i="24"/>
  <c r="I68" i="24" s="1"/>
  <c r="I68" i="21"/>
  <c r="H68" i="20"/>
  <c r="I68" i="8"/>
  <c r="H34" i="20"/>
  <c r="H4" i="20"/>
  <c r="H15" i="20"/>
  <c r="H11" i="20"/>
  <c r="H16" i="20"/>
  <c r="H18" i="20"/>
  <c r="H12" i="20"/>
  <c r="H32" i="20"/>
  <c r="H8" i="20"/>
  <c r="H35" i="20"/>
  <c r="H2" i="20"/>
  <c r="H17" i="20"/>
  <c r="H23" i="20"/>
  <c r="H6" i="20"/>
  <c r="H22" i="20"/>
  <c r="H20" i="20"/>
  <c r="H19" i="20"/>
  <c r="H21" i="20"/>
  <c r="H25" i="20"/>
  <c r="H5" i="20"/>
  <c r="H7" i="20"/>
  <c r="H26" i="20"/>
  <c r="H10" i="20"/>
  <c r="H24" i="20"/>
  <c r="H13" i="20"/>
  <c r="H29" i="20"/>
  <c r="H9" i="20"/>
  <c r="H3" i="20"/>
  <c r="H31" i="20"/>
  <c r="H27" i="20"/>
  <c r="H30" i="20"/>
  <c r="H14" i="20"/>
  <c r="H28" i="20"/>
  <c r="H33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D72" i="5"/>
  <c r="H69" i="8"/>
  <c r="E71" i="5"/>
  <c r="L71" i="5"/>
  <c r="H71" i="5"/>
  <c r="I71" i="5" s="1"/>
  <c r="H67" i="20"/>
  <c r="H69" i="21" l="1"/>
  <c r="H69" i="27"/>
  <c r="H69" i="26"/>
  <c r="H69" i="24"/>
  <c r="I69" i="24" s="1"/>
  <c r="H70" i="8"/>
  <c r="D73" i="5"/>
  <c r="E72" i="5"/>
  <c r="L72" i="5"/>
  <c r="H72" i="5"/>
  <c r="I72" i="5" s="1"/>
  <c r="I69" i="21"/>
  <c r="H69" i="20"/>
  <c r="I69" i="8"/>
  <c r="H70" i="21" l="1"/>
  <c r="H70" i="27"/>
  <c r="H70" i="26"/>
  <c r="H69" i="18"/>
  <c r="H70" i="24"/>
  <c r="I70" i="24" s="1"/>
  <c r="H71" i="8"/>
  <c r="D74" i="5"/>
  <c r="E73" i="5"/>
  <c r="L73" i="5"/>
  <c r="H73" i="5"/>
  <c r="I73" i="5" s="1"/>
  <c r="I70" i="21"/>
  <c r="H70" i="20"/>
  <c r="I70" i="8"/>
  <c r="H70" i="18"/>
  <c r="H34" i="18"/>
  <c r="H3" i="18"/>
  <c r="H27" i="18"/>
  <c r="H7" i="18"/>
  <c r="H10" i="18"/>
  <c r="H29" i="18"/>
  <c r="H9" i="18"/>
  <c r="H24" i="18"/>
  <c r="H30" i="18"/>
  <c r="H33" i="18"/>
  <c r="H28" i="18"/>
  <c r="H35" i="18"/>
  <c r="H23" i="18"/>
  <c r="H31" i="18"/>
  <c r="H11" i="18"/>
  <c r="H14" i="18"/>
  <c r="H13" i="18"/>
  <c r="H4" i="18"/>
  <c r="H15" i="18"/>
  <c r="H12" i="18"/>
  <c r="H2" i="18"/>
  <c r="H16" i="18"/>
  <c r="H18" i="18"/>
  <c r="H17" i="18"/>
  <c r="H32" i="18"/>
  <c r="H8" i="18"/>
  <c r="H5" i="18"/>
  <c r="H19" i="18"/>
  <c r="H6" i="18"/>
  <c r="H22" i="18"/>
  <c r="H21" i="18"/>
  <c r="H25" i="18"/>
  <c r="H20" i="18"/>
  <c r="H26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D75" i="5" l="1"/>
  <c r="H74" i="5"/>
  <c r="I74" i="5" s="1"/>
  <c r="H71" i="21"/>
  <c r="H71" i="27"/>
  <c r="H71" i="26"/>
  <c r="E75" i="5"/>
  <c r="H73" i="8"/>
  <c r="H71" i="24"/>
  <c r="I71" i="24" s="1"/>
  <c r="H72" i="8"/>
  <c r="E74" i="5"/>
  <c r="I71" i="21"/>
  <c r="H71" i="20"/>
  <c r="I71" i="8"/>
  <c r="H71" i="18"/>
  <c r="H72" i="21" l="1"/>
  <c r="H73" i="21"/>
  <c r="O73" i="30"/>
  <c r="O53" i="30"/>
  <c r="O38" i="30"/>
  <c r="O34" i="30"/>
  <c r="O52" i="30"/>
  <c r="O35" i="30"/>
  <c r="O57" i="30"/>
  <c r="O20" i="30"/>
  <c r="O41" i="30"/>
  <c r="O26" i="30"/>
  <c r="O15" i="30"/>
  <c r="O22" i="30"/>
  <c r="O55" i="30"/>
  <c r="O40" i="30"/>
  <c r="O23" i="30"/>
  <c r="O45" i="30"/>
  <c r="O72" i="30"/>
  <c r="O29" i="30"/>
  <c r="O16" i="30"/>
  <c r="O59" i="30"/>
  <c r="O43" i="30"/>
  <c r="O54" i="30"/>
  <c r="O49" i="30"/>
  <c r="O33" i="30"/>
  <c r="O39" i="30"/>
  <c r="O58" i="30"/>
  <c r="O25" i="30"/>
  <c r="O17" i="30"/>
  <c r="O28" i="30"/>
  <c r="O51" i="30"/>
  <c r="O60" i="30"/>
  <c r="O31" i="30"/>
  <c r="O42" i="30"/>
  <c r="O37" i="30"/>
  <c r="O21" i="30"/>
  <c r="O56" i="30"/>
  <c r="O30" i="30"/>
  <c r="O36" i="30"/>
  <c r="O44" i="30"/>
  <c r="O27" i="30"/>
  <c r="O50" i="30"/>
  <c r="O46" i="30"/>
  <c r="O48" i="30"/>
  <c r="O19" i="30"/>
  <c r="O18" i="30"/>
  <c r="O24" i="30"/>
  <c r="O47" i="30"/>
  <c r="O32" i="30"/>
  <c r="O61" i="30"/>
  <c r="O62" i="30"/>
  <c r="O63" i="30"/>
  <c r="O64" i="30"/>
  <c r="O65" i="30"/>
  <c r="O66" i="30"/>
  <c r="O67" i="30"/>
  <c r="O68" i="30"/>
  <c r="O69" i="30"/>
  <c r="O70" i="30"/>
  <c r="O71" i="30"/>
  <c r="D76" i="5"/>
  <c r="H75" i="5"/>
  <c r="I75" i="5" s="1"/>
  <c r="H73" i="27"/>
  <c r="H73" i="26"/>
  <c r="O73" i="28"/>
  <c r="O73" i="29"/>
  <c r="O18" i="28"/>
  <c r="O17" i="29"/>
  <c r="O57" i="29"/>
  <c r="O56" i="28"/>
  <c r="O23" i="29"/>
  <c r="O22" i="29"/>
  <c r="O37" i="28"/>
  <c r="O52" i="28"/>
  <c r="O19" i="28"/>
  <c r="O38" i="28"/>
  <c r="O30" i="29"/>
  <c r="O45" i="28"/>
  <c r="O33" i="28"/>
  <c r="O57" i="28"/>
  <c r="O49" i="28"/>
  <c r="O23" i="28"/>
  <c r="O44" i="28"/>
  <c r="O31" i="28"/>
  <c r="O15" i="29"/>
  <c r="O42" i="28"/>
  <c r="O16" i="29"/>
  <c r="O43" i="29"/>
  <c r="O48" i="29"/>
  <c r="O30" i="28"/>
  <c r="O45" i="29"/>
  <c r="O33" i="29"/>
  <c r="O42" i="29"/>
  <c r="O40" i="29"/>
  <c r="O49" i="29"/>
  <c r="O21" i="29"/>
  <c r="O36" i="29"/>
  <c r="O34" i="29"/>
  <c r="O48" i="28"/>
  <c r="O41" i="28"/>
  <c r="O40" i="28"/>
  <c r="O21" i="28"/>
  <c r="O36" i="28"/>
  <c r="O15" i="28"/>
  <c r="O29" i="28"/>
  <c r="O60" i="29"/>
  <c r="O59" i="28"/>
  <c r="O41" i="29"/>
  <c r="O50" i="29"/>
  <c r="O60" i="28"/>
  <c r="O59" i="29"/>
  <c r="O26" i="28"/>
  <c r="O54" i="28"/>
  <c r="O55" i="29"/>
  <c r="O32" i="29"/>
  <c r="O29" i="29"/>
  <c r="O26" i="29"/>
  <c r="O24" i="29"/>
  <c r="O20" i="29"/>
  <c r="O51" i="29"/>
  <c r="O50" i="28"/>
  <c r="O32" i="28"/>
  <c r="O25" i="29"/>
  <c r="O24" i="28"/>
  <c r="O54" i="29"/>
  <c r="O20" i="28"/>
  <c r="O44" i="29"/>
  <c r="O43" i="28"/>
  <c r="O25" i="28"/>
  <c r="O55" i="28"/>
  <c r="O51" i="28"/>
  <c r="O47" i="29"/>
  <c r="O72" i="28"/>
  <c r="O16" i="28"/>
  <c r="O53" i="29"/>
  <c r="O35" i="29"/>
  <c r="O31" i="29"/>
  <c r="O52" i="29"/>
  <c r="O34" i="28"/>
  <c r="O72" i="29"/>
  <c r="O39" i="29"/>
  <c r="O38" i="29"/>
  <c r="O53" i="28"/>
  <c r="O35" i="28"/>
  <c r="O37" i="29"/>
  <c r="O46" i="29"/>
  <c r="O28" i="29"/>
  <c r="O27" i="28"/>
  <c r="O58" i="29"/>
  <c r="O56" i="29"/>
  <c r="O19" i="29"/>
  <c r="O18" i="29"/>
  <c r="O17" i="28"/>
  <c r="O47" i="28"/>
  <c r="O28" i="28"/>
  <c r="O27" i="29"/>
  <c r="O58" i="28"/>
  <c r="O39" i="28"/>
  <c r="O22" i="28"/>
  <c r="O46" i="28"/>
  <c r="O61" i="28"/>
  <c r="O61" i="29"/>
  <c r="O62" i="29"/>
  <c r="O62" i="28"/>
  <c r="O63" i="29"/>
  <c r="O63" i="28"/>
  <c r="O64" i="29"/>
  <c r="O64" i="28"/>
  <c r="O65" i="28"/>
  <c r="O65" i="29"/>
  <c r="O66" i="29"/>
  <c r="O66" i="28"/>
  <c r="O67" i="29"/>
  <c r="O67" i="28"/>
  <c r="O68" i="28"/>
  <c r="O68" i="29"/>
  <c r="O69" i="29"/>
  <c r="O69" i="28"/>
  <c r="O70" i="29"/>
  <c r="O70" i="28"/>
  <c r="O71" i="28"/>
  <c r="O71" i="29"/>
  <c r="H71" i="23"/>
  <c r="H72" i="27"/>
  <c r="H72" i="26"/>
  <c r="H72" i="24"/>
  <c r="I72" i="24" s="1"/>
  <c r="H72" i="23"/>
  <c r="H73" i="24"/>
  <c r="I73" i="24" s="1"/>
  <c r="H73" i="20"/>
  <c r="H73" i="18"/>
  <c r="I73" i="8"/>
  <c r="H73" i="23"/>
  <c r="I73" i="21"/>
  <c r="O73" i="23"/>
  <c r="O36" i="23"/>
  <c r="O49" i="23"/>
  <c r="O17" i="23"/>
  <c r="O55" i="23"/>
  <c r="O38" i="23"/>
  <c r="O53" i="23"/>
  <c r="O21" i="23"/>
  <c r="O59" i="23"/>
  <c r="O27" i="23"/>
  <c r="O50" i="23"/>
  <c r="O18" i="23"/>
  <c r="O40" i="23"/>
  <c r="O31" i="23"/>
  <c r="O35" i="23"/>
  <c r="O15" i="23"/>
  <c r="O60" i="23"/>
  <c r="O23" i="23"/>
  <c r="O41" i="23"/>
  <c r="O48" i="23"/>
  <c r="O28" i="23"/>
  <c r="O47" i="23"/>
  <c r="O72" i="23"/>
  <c r="O30" i="23"/>
  <c r="O45" i="23"/>
  <c r="O51" i="23"/>
  <c r="O19" i="23"/>
  <c r="O42" i="23"/>
  <c r="O32" i="23"/>
  <c r="O16" i="23"/>
  <c r="O52" i="23"/>
  <c r="O33" i="23"/>
  <c r="O29" i="23"/>
  <c r="O58" i="23"/>
  <c r="O20" i="23"/>
  <c r="O39" i="23"/>
  <c r="O54" i="23"/>
  <c r="O22" i="23"/>
  <c r="O37" i="23"/>
  <c r="O43" i="23"/>
  <c r="O34" i="23"/>
  <c r="O56" i="23"/>
  <c r="O24" i="23"/>
  <c r="O46" i="23"/>
  <c r="O26" i="23"/>
  <c r="O44" i="23"/>
  <c r="O57" i="23"/>
  <c r="O25" i="23"/>
  <c r="O61" i="23"/>
  <c r="O62" i="23"/>
  <c r="O63" i="23"/>
  <c r="O64" i="23"/>
  <c r="O65" i="23"/>
  <c r="O66" i="23"/>
  <c r="O67" i="23"/>
  <c r="O68" i="23"/>
  <c r="O69" i="23"/>
  <c r="O70" i="23"/>
  <c r="O71" i="23"/>
  <c r="H34" i="23"/>
  <c r="H21" i="23"/>
  <c r="H9" i="23"/>
  <c r="H28" i="23"/>
  <c r="H2" i="23"/>
  <c r="H23" i="23"/>
  <c r="H15" i="23"/>
  <c r="H31" i="23"/>
  <c r="H26" i="23"/>
  <c r="H10" i="23"/>
  <c r="H14" i="23"/>
  <c r="H29" i="23"/>
  <c r="H5" i="23"/>
  <c r="H24" i="23"/>
  <c r="H16" i="23"/>
  <c r="H3" i="23"/>
  <c r="H11" i="23"/>
  <c r="H6" i="23"/>
  <c r="H22" i="23"/>
  <c r="H17" i="23"/>
  <c r="H35" i="23"/>
  <c r="H20" i="23"/>
  <c r="H12" i="23"/>
  <c r="H27" i="23"/>
  <c r="H7" i="23"/>
  <c r="H25" i="23"/>
  <c r="H18" i="23"/>
  <c r="H13" i="23"/>
  <c r="H32" i="23"/>
  <c r="H8" i="23"/>
  <c r="H4" i="23"/>
  <c r="H19" i="23"/>
  <c r="H33" i="23"/>
  <c r="H30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I72" i="21"/>
  <c r="H72" i="20"/>
  <c r="I72" i="8"/>
  <c r="H72" i="18"/>
  <c r="H76" i="5" l="1"/>
  <c r="I76" i="5" s="1"/>
  <c r="H74" i="8"/>
  <c r="E76" i="5"/>
  <c r="D77" i="5"/>
  <c r="H77" i="5" l="1"/>
  <c r="I77" i="5" s="1"/>
  <c r="D78" i="5"/>
  <c r="E77" i="5"/>
  <c r="H75" i="8"/>
  <c r="H74" i="21"/>
  <c r="I74" i="21" s="1"/>
  <c r="H71" i="28"/>
  <c r="H74" i="28"/>
  <c r="H18" i="28"/>
  <c r="H31" i="28"/>
  <c r="H8" i="28"/>
  <c r="H42" i="28"/>
  <c r="H54" i="28"/>
  <c r="H66" i="28"/>
  <c r="H74" i="24"/>
  <c r="I74" i="24" s="1"/>
  <c r="H6" i="28"/>
  <c r="H9" i="28"/>
  <c r="H26" i="28"/>
  <c r="H43" i="28"/>
  <c r="H55" i="28"/>
  <c r="H67" i="28"/>
  <c r="H74" i="18"/>
  <c r="H21" i="28"/>
  <c r="H14" i="28"/>
  <c r="H23" i="28"/>
  <c r="H44" i="28"/>
  <c r="H56" i="28"/>
  <c r="H68" i="28"/>
  <c r="H5" i="28"/>
  <c r="H17" i="28"/>
  <c r="H13" i="28"/>
  <c r="H45" i="28"/>
  <c r="H57" i="28"/>
  <c r="H69" i="28"/>
  <c r="H74" i="20"/>
  <c r="H3" i="28"/>
  <c r="H30" i="28"/>
  <c r="H28" i="28"/>
  <c r="H46" i="28"/>
  <c r="H58" i="28"/>
  <c r="H70" i="28"/>
  <c r="H74" i="23"/>
  <c r="H35" i="28"/>
  <c r="H19" i="28"/>
  <c r="H12" i="28"/>
  <c r="H47" i="28"/>
  <c r="H59" i="28"/>
  <c r="H73" i="28"/>
  <c r="H74" i="27"/>
  <c r="H29" i="28"/>
  <c r="H22" i="28"/>
  <c r="H36" i="28"/>
  <c r="H48" i="28"/>
  <c r="H60" i="28"/>
  <c r="H74" i="26"/>
  <c r="H27" i="28"/>
  <c r="H4" i="28"/>
  <c r="H37" i="28"/>
  <c r="H49" i="28"/>
  <c r="H61" i="28"/>
  <c r="H72" i="28"/>
  <c r="H34" i="28"/>
  <c r="H20" i="28"/>
  <c r="H7" i="28"/>
  <c r="H38" i="28"/>
  <c r="H50" i="28"/>
  <c r="H62" i="28"/>
  <c r="H2" i="28"/>
  <c r="H10" i="28"/>
  <c r="H25" i="28"/>
  <c r="H39" i="28"/>
  <c r="H51" i="28"/>
  <c r="H63" i="28"/>
  <c r="H24" i="28"/>
  <c r="H11" i="28"/>
  <c r="H15" i="28"/>
  <c r="H40" i="28"/>
  <c r="H52" i="28"/>
  <c r="H64" i="28"/>
  <c r="I74" i="8"/>
  <c r="H16" i="28"/>
  <c r="H33" i="28"/>
  <c r="H32" i="28"/>
  <c r="H41" i="28"/>
  <c r="H53" i="28"/>
  <c r="H65" i="28"/>
  <c r="H75" i="21" l="1"/>
  <c r="I75" i="21" s="1"/>
  <c r="H75" i="18"/>
  <c r="H2" i="29"/>
  <c r="H11" i="29"/>
  <c r="H32" i="29"/>
  <c r="H46" i="29"/>
  <c r="H58" i="29"/>
  <c r="H70" i="29"/>
  <c r="H75" i="26"/>
  <c r="H24" i="29"/>
  <c r="H12" i="29"/>
  <c r="H8" i="29"/>
  <c r="H47" i="29"/>
  <c r="H59" i="29"/>
  <c r="H71" i="29"/>
  <c r="H75" i="28"/>
  <c r="H16" i="29"/>
  <c r="H10" i="29"/>
  <c r="H36" i="29"/>
  <c r="H48" i="29"/>
  <c r="H60" i="29"/>
  <c r="H72" i="29"/>
  <c r="H75" i="24"/>
  <c r="I75" i="24" s="1"/>
  <c r="H18" i="29"/>
  <c r="H4" i="29"/>
  <c r="H37" i="29"/>
  <c r="H61" i="29"/>
  <c r="H74" i="29"/>
  <c r="H34" i="29"/>
  <c r="H7" i="29"/>
  <c r="H62" i="29"/>
  <c r="H6" i="29"/>
  <c r="H51" i="29"/>
  <c r="H22" i="29"/>
  <c r="H9" i="29"/>
  <c r="H3" i="29"/>
  <c r="H20" i="29"/>
  <c r="H68" i="29"/>
  <c r="H49" i="29"/>
  <c r="H29" i="29"/>
  <c r="H73" i="29"/>
  <c r="H63" i="29"/>
  <c r="H21" i="29"/>
  <c r="H64" i="29"/>
  <c r="H65" i="29"/>
  <c r="H23" i="29"/>
  <c r="H43" i="29"/>
  <c r="H57" i="29"/>
  <c r="H50" i="29"/>
  <c r="H25" i="29"/>
  <c r="H31" i="29"/>
  <c r="H53" i="29"/>
  <c r="H66" i="29"/>
  <c r="H55" i="29"/>
  <c r="H39" i="29"/>
  <c r="H52" i="29"/>
  <c r="H15" i="29"/>
  <c r="H42" i="29"/>
  <c r="H67" i="29"/>
  <c r="H56" i="29"/>
  <c r="H38" i="29"/>
  <c r="H40" i="29"/>
  <c r="H41" i="29"/>
  <c r="H14" i="29"/>
  <c r="H28" i="29"/>
  <c r="H33" i="29"/>
  <c r="H75" i="29"/>
  <c r="H54" i="29"/>
  <c r="H30" i="29"/>
  <c r="H13" i="29"/>
  <c r="H5" i="29"/>
  <c r="H75" i="20"/>
  <c r="I75" i="8"/>
  <c r="H35" i="29"/>
  <c r="H17" i="29"/>
  <c r="H44" i="29"/>
  <c r="H75" i="27"/>
  <c r="H75" i="23"/>
  <c r="H26" i="29"/>
  <c r="H19" i="29"/>
  <c r="H27" i="29"/>
  <c r="H45" i="29"/>
  <c r="H69" i="29"/>
  <c r="E78" i="5"/>
  <c r="H76" i="8"/>
  <c r="H78" i="5"/>
  <c r="I78" i="5" s="1"/>
  <c r="H76" i="21" l="1"/>
  <c r="I76" i="21" s="1"/>
  <c r="H76" i="26"/>
  <c r="H76" i="18"/>
  <c r="H76" i="30"/>
  <c r="H76" i="29"/>
  <c r="I76" i="8"/>
  <c r="H34" i="30"/>
  <c r="H18" i="30"/>
  <c r="H22" i="30"/>
  <c r="H15" i="30"/>
  <c r="H27" i="30"/>
  <c r="H16" i="30"/>
  <c r="H13" i="30"/>
  <c r="H5" i="30"/>
  <c r="H28" i="30"/>
  <c r="H21" i="30"/>
  <c r="H9" i="30"/>
  <c r="H32" i="30"/>
  <c r="H33" i="30"/>
  <c r="H11" i="30"/>
  <c r="H2" i="30"/>
  <c r="H29" i="30"/>
  <c r="H7" i="30"/>
  <c r="H3" i="30"/>
  <c r="H19" i="30"/>
  <c r="H20" i="30"/>
  <c r="H26" i="30"/>
  <c r="H23" i="30"/>
  <c r="H12" i="30"/>
  <c r="H35" i="30"/>
  <c r="H24" i="30"/>
  <c r="H6" i="30"/>
  <c r="H8" i="30"/>
  <c r="H14" i="30"/>
  <c r="H25" i="30"/>
  <c r="H31" i="30"/>
  <c r="H17" i="30"/>
  <c r="H10" i="30"/>
  <c r="H4" i="30"/>
  <c r="H30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I75" i="30"/>
  <c r="I76" i="30" l="1"/>
  <c r="I34" i="30"/>
  <c r="I33" i="30"/>
  <c r="I12" i="30"/>
  <c r="I25" i="30"/>
  <c r="I3" i="30"/>
  <c r="I28" i="30"/>
  <c r="I22" i="30"/>
  <c r="I2" i="30"/>
  <c r="I9" i="30"/>
  <c r="I8" i="30"/>
  <c r="I26" i="30"/>
  <c r="I14" i="30"/>
  <c r="I13" i="30"/>
  <c r="I7" i="30"/>
  <c r="I19" i="30"/>
  <c r="I27" i="30"/>
  <c r="I6" i="30"/>
  <c r="I35" i="30"/>
  <c r="I24" i="30"/>
  <c r="I18" i="30"/>
  <c r="I32" i="30"/>
  <c r="I17" i="30"/>
  <c r="I16" i="30"/>
  <c r="I20" i="30"/>
  <c r="I15" i="30"/>
  <c r="I10" i="30"/>
  <c r="I21" i="30"/>
  <c r="I4" i="30"/>
  <c r="I5" i="30"/>
  <c r="I11" i="30"/>
  <c r="I30" i="30"/>
  <c r="I29" i="30"/>
  <c r="I31" i="30"/>
  <c r="I23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</calcChain>
</file>

<file path=xl/sharedStrings.xml><?xml version="1.0" encoding="utf-8"?>
<sst xmlns="http://schemas.openxmlformats.org/spreadsheetml/2006/main" count="218" uniqueCount="99">
  <si>
    <t>Year</t>
  </si>
  <si>
    <t>Title:</t>
  </si>
  <si>
    <t>Personal Consumption Expenditures: Chain-type Price Index</t>
  </si>
  <si>
    <t>Source:</t>
  </si>
  <si>
    <t>U.S. Department of Commerce: Bureau of Economic Analysis</t>
  </si>
  <si>
    <t>Release:</t>
  </si>
  <si>
    <t>Gross Domestic Product</t>
  </si>
  <si>
    <t>Frequency:</t>
  </si>
  <si>
    <t>Quarterly</t>
  </si>
  <si>
    <t>Units:</t>
  </si>
  <si>
    <t>Notes:</t>
  </si>
  <si>
    <t>A Guide to the National Income and Product Accounts of the United</t>
  </si>
  <si>
    <t>Index</t>
  </si>
  <si>
    <t>pce84</t>
  </si>
  <si>
    <t>pce</t>
  </si>
  <si>
    <t>pce2</t>
  </si>
  <si>
    <r>
      <t>Series Id:    </t>
    </r>
    <r>
      <rPr>
        <sz val="10"/>
        <color indexed="8"/>
        <rFont val="Arial Unicode MS"/>
        <family val="2"/>
      </rPr>
      <t>CUUR0000SA0,CUUS0000SA0</t>
    </r>
  </si>
  <si>
    <t>Not Seasonally Adjusted</t>
  </si>
  <si>
    <r>
      <t>Area:         </t>
    </r>
    <r>
      <rPr>
        <sz val="10"/>
        <color indexed="8"/>
        <rFont val="Arial Unicode MS"/>
        <family val="2"/>
      </rPr>
      <t>U.S. city average</t>
    </r>
  </si>
  <si>
    <r>
      <t>Item:         </t>
    </r>
    <r>
      <rPr>
        <sz val="10"/>
        <color indexed="8"/>
        <rFont val="Arial Unicode MS"/>
        <family val="2"/>
      </rPr>
      <t>All items</t>
    </r>
  </si>
  <si>
    <r>
      <t>Base Period:  </t>
    </r>
    <r>
      <rPr>
        <sz val="10"/>
        <color indexed="8"/>
        <rFont val="Arial Unicode MS"/>
        <family val="2"/>
      </rPr>
      <t>1982-84=100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</si>
  <si>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</si>
  <si>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</si>
  <si>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</si>
  <si>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</si>
  <si>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</si>
  <si>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</si>
  <si>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</si>
  <si>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</si>
  <si>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</si>
  <si>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</si>
  <si>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</si>
  <si>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</si>
  <si>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</si>
  <si>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</si>
  <si>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</si>
  <si>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>cpiu</t>
  </si>
  <si>
    <t>cpiu2</t>
  </si>
  <si>
    <t>cpiu84</t>
  </si>
  <si>
    <t>cpiu67</t>
  </si>
  <si>
    <t>cpiu-rs67</t>
  </si>
  <si>
    <t>ratio</t>
  </si>
  <si>
    <t>cpiu-rs78</t>
  </si>
  <si>
    <t>cpiu78</t>
  </si>
  <si>
    <t>cpiux</t>
  </si>
  <si>
    <t>cpi-u-rs</t>
  </si>
  <si>
    <t>cpi-u-rs2</t>
  </si>
  <si>
    <t>cpi-u-rs84</t>
  </si>
  <si>
    <t>check</t>
  </si>
  <si>
    <t>cpi-u-rs-adj .8%</t>
  </si>
  <si>
    <t>base=1980</t>
  </si>
  <si>
    <t>% chg</t>
  </si>
  <si>
    <t>observation_date</t>
  </si>
  <si>
    <t>Series ID: PCECTPI</t>
  </si>
  <si>
    <t>Link: http://alfred.stlouisfed.org/series?seid=PCECTPI</t>
  </si>
  <si>
    <t>Help: http://alfred.stlouisfed.org/help</t>
  </si>
  <si>
    <t>ALFRED (ArchivaL Federal Reserve Economic Data)</t>
  </si>
  <si>
    <t>Economic Research Division</t>
  </si>
  <si>
    <t>Federal Reserve Bank of St. Louis</t>
  </si>
  <si>
    <t>Output Format: Observations by Vintage Date, All Observations</t>
  </si>
  <si>
    <t>Real-Time</t>
  </si>
  <si>
    <t xml:space="preserve"> Period</t>
  </si>
  <si>
    <t>Start</t>
  </si>
  <si>
    <t>End</t>
  </si>
  <si>
    <t>Current</t>
  </si>
  <si>
    <t>Seasonal Adjustment:</t>
  </si>
  <si>
    <t>Seasonally Adjusted</t>
  </si>
  <si>
    <t>States (NIPA) - (http://www.bea.gov/national/pdf/nipaguid.pdf)</t>
  </si>
  <si>
    <t>Vintage Dates Specified:</t>
  </si>
  <si>
    <t>http://alfred.stlouisfed.org/series/downloaddata?seid=PCECTPI&amp;cid=21</t>
  </si>
  <si>
    <t>Year &amp; Month</t>
  </si>
  <si>
    <t>CPI</t>
  </si>
  <si>
    <t>cpi-u-rs adj</t>
  </si>
  <si>
    <t>From: http://numbrary.com/sources/8e7dbdcd8a7a-cuur000-cpi-all-items or http://data.bls.gov/timeseries/CUUR0000SA0?include_graphs=false&amp;output_type=column&amp;years_option=all_years</t>
  </si>
  <si>
    <t>BEFORE 77 ADJ USING 1.1</t>
  </si>
  <si>
    <t>File Created: 2014-10-16 1:31 PM CDT</t>
  </si>
  <si>
    <t>Index 2009=100</t>
  </si>
  <si>
    <t>BEA Account Code: DPCERG3</t>
  </si>
  <si>
    <t/>
  </si>
  <si>
    <t>CPI-U</t>
  </si>
  <si>
    <t>Consumer Price Index - All Urban Consumers</t>
  </si>
  <si>
    <t>Original Data Value</t>
  </si>
  <si>
    <t>Series Id:</t>
  </si>
  <si>
    <t>CUUR0000SA0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</si>
  <si>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</si>
  <si>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</si>
  <si>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</si>
  <si>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</si>
  <si>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</si>
  <si>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</si>
  <si>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</si>
  <si>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PCECTPI_20150925</t>
  </si>
  <si>
    <t>1960 to 2017</t>
  </si>
  <si>
    <t>Base=2012</t>
  </si>
  <si>
    <t>N_cpi-u-rs adj</t>
  </si>
  <si>
    <t>cpi-u-rs-adj .5%</t>
  </si>
  <si>
    <t>cpi-u-rs adj03</t>
  </si>
  <si>
    <t>PCECTPI_20210930</t>
  </si>
  <si>
    <t>Series Reported at https://www.bls.gov/cpi/research-series/r-cpi-u-rs-home.htm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</si>
</sst>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0000"/>
    <numFmt numFmtId="166" formatCode="yyyy\-mm\-dd"/>
    <numFmt numFmtId="167" formatCode="_(* #,##0.000_);_(* \(#,##0.000\);_(* &quot;-&quot;??_);_(@_)"/>
    <numFmt numFmtId="168" formatCode="0.0"/>
    <numFmt numFmtId="169" formatCode="#0.000"/>
  </numFmts>
  <fonts count="18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b/>
      <sz val="10"/>
      <color indexed="26"/>
      <name val="Verdana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color rgb="FF2B2A29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0" fontId="10" fillId="0" borderId="0"/>
    <xf numFmtId="0" fontId="17" fillId="0" borderId="0"/>
  </cellStyleXfs>
  <cellXfs count="56">
    <xf numFmtId="0" fontId="0" fillId="0" borderId="0" xfId="0"/>
    <xf numFmtId="0" fontId="1" fillId="0" borderId="0" xfId="1" applyAlignment="1" applyProtection="1"/>
    <xf numFmtId="2" fontId="0" fillId="0" borderId="0" xfId="0" applyNumberFormat="1"/>
    <xf numFmtId="0" fontId="5" fillId="2" borderId="2" xfId="0" applyFont="1" applyFill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4" fillId="2" borderId="5" xfId="0" applyFont="1" applyFill="1" applyBorder="1" applyAlignment="1">
      <alignment horizontal="left" vertical="top"/>
    </xf>
    <xf numFmtId="0" fontId="0" fillId="0" borderId="6" xfId="0" applyBorder="1"/>
    <xf numFmtId="0" fontId="5" fillId="2" borderId="5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164" fontId="0" fillId="0" borderId="0" xfId="0" applyNumberFormat="1"/>
    <xf numFmtId="165" fontId="0" fillId="0" borderId="0" xfId="0" applyNumberFormat="1"/>
    <xf numFmtId="0" fontId="7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166" fontId="0" fillId="0" borderId="0" xfId="0" applyNumberFormat="1" applyAlignment="1" applyProtection="1">
      <alignment horizontal="left"/>
      <protection locked="0"/>
    </xf>
    <xf numFmtId="17" fontId="0" fillId="0" borderId="0" xfId="0" applyNumberFormat="1"/>
    <xf numFmtId="0" fontId="8" fillId="0" borderId="0" xfId="0" applyFont="1"/>
    <xf numFmtId="166" fontId="0" fillId="0" borderId="0" xfId="0" applyNumberForma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  <xf numFmtId="2" fontId="10" fillId="0" borderId="0" xfId="0" applyNumberFormat="1" applyFont="1"/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/>
    <xf numFmtId="0" fontId="13" fillId="0" borderId="0" xfId="0" applyFont="1" applyAlignment="1">
      <alignment horizontal="left" vertical="top" wrapText="1"/>
    </xf>
    <xf numFmtId="0" fontId="13" fillId="0" borderId="10" xfId="0" applyFont="1" applyBorder="1" applyAlignment="1">
      <alignment horizontal="center" wrapText="1"/>
    </xf>
    <xf numFmtId="167" fontId="0" fillId="0" borderId="0" xfId="2" applyNumberFormat="1" applyFont="1" applyFill="1" applyBorder="1" applyAlignment="1" applyProtection="1"/>
    <xf numFmtId="167" fontId="0" fillId="0" borderId="0" xfId="2" applyNumberFormat="1" applyFont="1"/>
    <xf numFmtId="168" fontId="0" fillId="0" borderId="0" xfId="0" applyNumberFormat="1"/>
    <xf numFmtId="168" fontId="16" fillId="0" borderId="0" xfId="0" applyNumberFormat="1" applyFont="1"/>
    <xf numFmtId="168" fontId="16" fillId="0" borderId="0" xfId="3" applyNumberFormat="1" applyFont="1"/>
    <xf numFmtId="168" fontId="10" fillId="0" borderId="0" xfId="0" applyNumberFormat="1" applyFont="1"/>
    <xf numFmtId="0" fontId="10" fillId="0" borderId="0" xfId="0" applyFont="1" applyAlignment="1">
      <alignment vertical="center" wrapText="1"/>
    </xf>
    <xf numFmtId="0" fontId="14" fillId="0" borderId="0" xfId="4" applyFont="1"/>
    <xf numFmtId="169" fontId="14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9" fontId="14" fillId="0" borderId="0" xfId="4" applyNumberFormat="1" applyFont="1" applyAlignment="1">
      <alignment horizontal="right"/>
    </xf>
    <xf numFmtId="0" fontId="10" fillId="0" borderId="0" xfId="3"/>
    <xf numFmtId="166" fontId="10" fillId="0" borderId="0" xfId="3" applyNumberFormat="1"/>
    <xf numFmtId="164" fontId="10" fillId="0" borderId="0" xfId="3" applyNumberFormat="1"/>
    <xf numFmtId="0" fontId="14" fillId="0" borderId="0" xfId="0" applyFont="1" applyAlignment="1">
      <alignment horizontal="left" vertical="top" wrapText="1"/>
    </xf>
    <xf numFmtId="0" fontId="0" fillId="0" borderId="0" xfId="0"/>
    <xf numFmtId="0" fontId="14" fillId="0" borderId="0" xfId="0" applyFont="1" applyAlignment="1">
      <alignment horizontal="left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top" wrapText="1"/>
    </xf>
  </cellXfs>
  <cellStyles count="5">
    <cellStyle name="Comma" xfId="2" builtinId="3"/>
    <cellStyle name="Hyperlink" xfId="1" builtinId="8"/>
    <cellStyle name="Normal" xfId="0" builtinId="0"/>
    <cellStyle name="Normal 2" xfId="3" xr:uid="{00000000-0005-0000-0000-000031000000}"/>
    <cellStyle name="Normal 3" xfId="4" xr:uid="{7AC17804-D776-4CC3-8A71-0F4DEEB49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lfred.stlouisfed.org/series/downloaddata?seid=PCECTPI&amp;cid=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82"/>
  <sheetViews>
    <sheetView topLeftCell="A37" zoomScaleNormal="100" workbookViewId="0">
      <selection activeCell="G75" sqref="G75"/>
    </sheetView>
  </sheetViews>
  <sheetFormatPr defaultRowHeight="12.75"/>
  <sheetData>
    <row r="2" spans="3:14" ht="45.75" customHeight="1"/>
    <row r="3" spans="3:14" ht="15" customHeight="1"/>
    <row r="6" spans="3:14">
      <c r="C6" s="22" t="s">
        <v>98</v>
      </c>
    </row>
    <row r="7" spans="3:14">
      <c r="C7">
        <v>1947</v>
      </c>
      <c r="D7">
        <v>37.5</v>
      </c>
      <c r="E7" s="38"/>
      <c r="F7" s="37"/>
      <c r="G7" s="36"/>
    </row>
    <row r="8" spans="3:14">
      <c r="C8">
        <v>1948</v>
      </c>
      <c r="D8">
        <v>40.5</v>
      </c>
      <c r="E8" s="38"/>
      <c r="F8" s="37"/>
      <c r="G8" s="36"/>
      <c r="N8" s="31"/>
    </row>
    <row r="9" spans="3:14">
      <c r="C9">
        <v>1949</v>
      </c>
      <c r="D9">
        <v>40</v>
      </c>
      <c r="E9" s="38"/>
      <c r="F9" s="37"/>
      <c r="G9" s="36"/>
    </row>
    <row r="10" spans="3:14">
      <c r="C10">
        <v>1950</v>
      </c>
      <c r="D10">
        <v>40.5</v>
      </c>
      <c r="E10" s="38"/>
      <c r="F10" s="37"/>
      <c r="G10" s="36"/>
    </row>
    <row r="11" spans="3:14">
      <c r="C11">
        <v>1951</v>
      </c>
      <c r="D11">
        <v>43.7</v>
      </c>
      <c r="E11" s="38"/>
      <c r="F11" s="37"/>
      <c r="G11" s="36"/>
    </row>
    <row r="12" spans="3:14">
      <c r="C12">
        <v>1952</v>
      </c>
      <c r="D12">
        <v>44.5</v>
      </c>
      <c r="E12" s="38"/>
      <c r="F12" s="37"/>
      <c r="G12" s="36"/>
    </row>
    <row r="13" spans="3:14">
      <c r="C13">
        <v>1953</v>
      </c>
      <c r="D13">
        <v>44.8</v>
      </c>
      <c r="E13" s="38"/>
      <c r="F13" s="37"/>
      <c r="G13" s="36"/>
    </row>
    <row r="14" spans="3:14">
      <c r="C14">
        <v>1954</v>
      </c>
      <c r="D14">
        <v>45.2</v>
      </c>
      <c r="E14" s="38"/>
      <c r="F14" s="37"/>
      <c r="G14" s="36"/>
    </row>
    <row r="15" spans="3:14">
      <c r="C15">
        <v>1955</v>
      </c>
      <c r="D15">
        <v>45</v>
      </c>
      <c r="E15" s="38"/>
      <c r="F15" s="37"/>
      <c r="G15" s="36"/>
    </row>
    <row r="16" spans="3:14">
      <c r="C16">
        <v>1956</v>
      </c>
      <c r="D16">
        <v>45.7</v>
      </c>
      <c r="E16" s="38"/>
      <c r="F16" s="37"/>
      <c r="G16" s="36"/>
    </row>
    <row r="17" spans="3:7">
      <c r="C17">
        <v>1957</v>
      </c>
      <c r="D17">
        <v>47.2</v>
      </c>
      <c r="E17" s="38"/>
      <c r="F17" s="37"/>
      <c r="G17" s="36"/>
    </row>
    <row r="18" spans="3:7">
      <c r="C18">
        <v>1958</v>
      </c>
      <c r="D18">
        <v>48.5</v>
      </c>
      <c r="E18" s="38"/>
      <c r="F18" s="37"/>
      <c r="G18" s="36"/>
    </row>
    <row r="19" spans="3:7">
      <c r="C19">
        <v>1959</v>
      </c>
      <c r="D19">
        <v>48.9</v>
      </c>
      <c r="E19" s="38"/>
      <c r="F19" s="37"/>
      <c r="G19" s="36"/>
    </row>
    <row r="20" spans="3:7">
      <c r="C20">
        <v>1960</v>
      </c>
      <c r="D20">
        <v>49.7</v>
      </c>
      <c r="E20" s="38"/>
      <c r="F20" s="37"/>
      <c r="G20" s="36"/>
    </row>
    <row r="21" spans="3:7">
      <c r="C21">
        <v>1961</v>
      </c>
      <c r="D21">
        <v>50.2</v>
      </c>
      <c r="E21" s="38"/>
      <c r="F21" s="37"/>
      <c r="G21" s="36"/>
    </row>
    <row r="22" spans="3:7">
      <c r="C22">
        <v>1962</v>
      </c>
      <c r="D22">
        <v>50.7</v>
      </c>
      <c r="E22" s="38"/>
      <c r="F22" s="37"/>
      <c r="G22" s="36"/>
    </row>
    <row r="23" spans="3:7">
      <c r="C23">
        <v>1963</v>
      </c>
      <c r="D23">
        <v>51.4</v>
      </c>
      <c r="E23" s="38"/>
      <c r="F23" s="37"/>
      <c r="G23" s="36"/>
    </row>
    <row r="24" spans="3:7">
      <c r="C24">
        <v>1964</v>
      </c>
      <c r="D24">
        <v>52.1</v>
      </c>
      <c r="E24" s="38"/>
      <c r="F24" s="37"/>
      <c r="G24" s="36"/>
    </row>
    <row r="25" spans="3:7">
      <c r="C25">
        <v>1965</v>
      </c>
      <c r="D25">
        <v>52.9</v>
      </c>
      <c r="E25" s="38"/>
      <c r="F25" s="37"/>
      <c r="G25" s="36"/>
    </row>
    <row r="26" spans="3:7">
      <c r="C26">
        <v>1966</v>
      </c>
      <c r="D26">
        <v>54.4</v>
      </c>
      <c r="E26" s="38"/>
      <c r="F26" s="37"/>
      <c r="G26" s="36"/>
    </row>
    <row r="27" spans="3:7">
      <c r="C27">
        <v>1967</v>
      </c>
      <c r="D27">
        <v>56.1</v>
      </c>
      <c r="E27" s="38"/>
      <c r="F27" s="37"/>
      <c r="G27" s="36"/>
    </row>
    <row r="28" spans="3:7">
      <c r="C28">
        <v>1968</v>
      </c>
      <c r="D28">
        <v>58.3</v>
      </c>
      <c r="E28" s="38"/>
      <c r="F28" s="37"/>
      <c r="G28" s="36"/>
    </row>
    <row r="29" spans="3:7">
      <c r="C29">
        <v>1969</v>
      </c>
      <c r="D29">
        <v>60.9</v>
      </c>
      <c r="E29" s="38"/>
      <c r="F29" s="37"/>
      <c r="G29" s="36"/>
    </row>
    <row r="30" spans="3:7">
      <c r="C30">
        <v>1970</v>
      </c>
      <c r="D30">
        <v>63.9</v>
      </c>
      <c r="E30" s="38"/>
      <c r="F30" s="37"/>
      <c r="G30" s="36"/>
    </row>
    <row r="31" spans="3:7">
      <c r="C31">
        <v>1971</v>
      </c>
      <c r="D31">
        <v>66.7</v>
      </c>
      <c r="E31" s="38"/>
      <c r="F31" s="37"/>
      <c r="G31" s="36"/>
    </row>
    <row r="32" spans="3:7">
      <c r="C32">
        <v>1972</v>
      </c>
      <c r="D32">
        <v>68.7</v>
      </c>
      <c r="E32" s="38"/>
      <c r="F32" s="37"/>
      <c r="G32" s="36"/>
    </row>
    <row r="33" spans="3:11">
      <c r="C33">
        <v>1973</v>
      </c>
      <c r="D33">
        <v>73</v>
      </c>
      <c r="E33" s="38"/>
      <c r="F33" s="37"/>
      <c r="G33" s="36"/>
    </row>
    <row r="34" spans="3:11">
      <c r="C34">
        <v>1974</v>
      </c>
      <c r="D34">
        <v>80.3</v>
      </c>
      <c r="E34" s="38"/>
      <c r="F34" s="37"/>
      <c r="G34" s="36"/>
    </row>
    <row r="35" spans="3:11">
      <c r="C35">
        <v>1975</v>
      </c>
      <c r="D35">
        <v>86.9</v>
      </c>
      <c r="E35" s="38"/>
      <c r="F35" s="37"/>
      <c r="G35" s="36"/>
    </row>
    <row r="36" spans="3:11">
      <c r="C36">
        <v>1976</v>
      </c>
      <c r="D36">
        <v>91.9</v>
      </c>
      <c r="E36" s="38"/>
      <c r="F36" s="37"/>
      <c r="G36" s="36"/>
    </row>
    <row r="37" spans="3:11">
      <c r="C37">
        <v>1977</v>
      </c>
      <c r="D37">
        <v>97.7</v>
      </c>
      <c r="E37" s="38"/>
      <c r="F37" s="37"/>
      <c r="G37" s="36"/>
    </row>
    <row r="38" spans="3:11">
      <c r="C38">
        <v>1978</v>
      </c>
      <c r="D38">
        <v>104.4</v>
      </c>
      <c r="E38" s="38"/>
      <c r="F38" s="37"/>
      <c r="G38" s="36"/>
    </row>
    <row r="39" spans="3:11">
      <c r="C39">
        <v>1979</v>
      </c>
      <c r="D39" s="36">
        <v>114.3</v>
      </c>
      <c r="E39" s="38"/>
      <c r="F39" s="37"/>
      <c r="G39" s="36"/>
    </row>
    <row r="40" spans="3:11">
      <c r="C40">
        <v>1980</v>
      </c>
      <c r="D40" s="36">
        <v>127.1</v>
      </c>
      <c r="E40" s="38"/>
      <c r="F40" s="37"/>
      <c r="G40" s="36"/>
      <c r="K40" s="30"/>
    </row>
    <row r="41" spans="3:11">
      <c r="C41">
        <v>1981</v>
      </c>
      <c r="D41" s="36">
        <v>139.1</v>
      </c>
      <c r="E41" s="38"/>
      <c r="F41" s="37"/>
      <c r="G41" s="36"/>
      <c r="K41" s="30"/>
    </row>
    <row r="42" spans="3:11">
      <c r="C42">
        <v>1982</v>
      </c>
      <c r="D42" s="36">
        <v>147.5</v>
      </c>
      <c r="E42" s="38"/>
      <c r="F42" s="37"/>
      <c r="G42" s="36"/>
      <c r="K42" s="30"/>
    </row>
    <row r="43" spans="3:11">
      <c r="C43">
        <v>1983</v>
      </c>
      <c r="D43" s="36">
        <v>153.80000000000001</v>
      </c>
      <c r="E43" s="38"/>
      <c r="F43" s="37"/>
      <c r="G43" s="36"/>
      <c r="K43" s="30"/>
    </row>
    <row r="44" spans="3:11">
      <c r="C44">
        <v>1984</v>
      </c>
      <c r="D44" s="36">
        <v>160.19999999999999</v>
      </c>
      <c r="E44" s="38"/>
      <c r="F44" s="37"/>
      <c r="G44" s="36"/>
      <c r="K44" s="30"/>
    </row>
    <row r="45" spans="3:11">
      <c r="C45">
        <v>1985</v>
      </c>
      <c r="D45" s="36">
        <v>165.6</v>
      </c>
      <c r="E45" s="38"/>
      <c r="F45" s="37"/>
      <c r="G45" s="36"/>
      <c r="K45" s="30"/>
    </row>
    <row r="46" spans="3:11">
      <c r="C46">
        <v>1986</v>
      </c>
      <c r="D46" s="36">
        <v>168.4</v>
      </c>
      <c r="E46" s="38"/>
      <c r="F46" s="37"/>
      <c r="G46" s="36"/>
      <c r="K46" s="30"/>
    </row>
    <row r="47" spans="3:11">
      <c r="C47">
        <v>1987</v>
      </c>
      <c r="D47" s="36">
        <v>174.1</v>
      </c>
      <c r="E47" s="38"/>
      <c r="F47" s="37"/>
      <c r="G47" s="36"/>
      <c r="K47" s="30"/>
    </row>
    <row r="48" spans="3:11">
      <c r="C48">
        <v>1988</v>
      </c>
      <c r="D48" s="36">
        <v>180.5</v>
      </c>
      <c r="E48" s="38"/>
      <c r="F48" s="37"/>
      <c r="G48" s="36"/>
      <c r="K48" s="30"/>
    </row>
    <row r="49" spans="3:11">
      <c r="C49">
        <v>1989</v>
      </c>
      <c r="D49" s="36">
        <v>188.3</v>
      </c>
      <c r="E49" s="38"/>
      <c r="F49" s="37"/>
      <c r="G49" s="36"/>
      <c r="K49" s="30"/>
    </row>
    <row r="50" spans="3:11">
      <c r="C50">
        <v>1990</v>
      </c>
      <c r="D50" s="36">
        <v>197.6</v>
      </c>
      <c r="E50" s="38"/>
      <c r="F50" s="37"/>
      <c r="G50" s="36"/>
      <c r="K50" s="30"/>
    </row>
    <row r="51" spans="3:11">
      <c r="C51">
        <v>1991</v>
      </c>
      <c r="D51" s="36">
        <v>204.8</v>
      </c>
      <c r="E51" s="38"/>
      <c r="F51" s="37"/>
      <c r="G51" s="36"/>
      <c r="K51" s="30"/>
    </row>
    <row r="52" spans="3:11">
      <c r="C52">
        <v>1992</v>
      </c>
      <c r="D52" s="36">
        <v>209.9</v>
      </c>
      <c r="E52" s="38"/>
      <c r="F52" s="37"/>
      <c r="G52" s="36"/>
      <c r="K52" s="30"/>
    </row>
    <row r="53" spans="3:11">
      <c r="C53">
        <v>1993</v>
      </c>
      <c r="D53" s="36">
        <v>215.2</v>
      </c>
      <c r="E53" s="38"/>
      <c r="F53" s="37"/>
      <c r="G53" s="36"/>
      <c r="K53" s="30"/>
    </row>
    <row r="54" spans="3:11">
      <c r="C54">
        <v>1994</v>
      </c>
      <c r="D54" s="36">
        <v>219.7</v>
      </c>
      <c r="E54" s="38"/>
      <c r="F54" s="37"/>
      <c r="G54" s="36"/>
      <c r="K54" s="30"/>
    </row>
    <row r="55" spans="3:11">
      <c r="C55">
        <v>1995</v>
      </c>
      <c r="D55" s="36">
        <v>225</v>
      </c>
      <c r="E55" s="38"/>
      <c r="F55" s="37"/>
      <c r="G55" s="36"/>
      <c r="K55" s="30"/>
    </row>
    <row r="56" spans="3:11">
      <c r="C56">
        <v>1996</v>
      </c>
      <c r="D56" s="36">
        <v>231</v>
      </c>
      <c r="E56" s="38"/>
      <c r="F56" s="37"/>
      <c r="G56" s="36"/>
      <c r="K56" s="30"/>
    </row>
    <row r="57" spans="3:11">
      <c r="C57">
        <v>1997</v>
      </c>
      <c r="D57" s="36">
        <v>236</v>
      </c>
      <c r="E57" s="38"/>
      <c r="F57" s="37"/>
      <c r="G57" s="36"/>
      <c r="K57" s="30"/>
    </row>
    <row r="58" spans="3:11">
      <c r="C58">
        <v>1998</v>
      </c>
      <c r="D58" s="36">
        <v>239.2</v>
      </c>
      <c r="E58" s="38"/>
      <c r="F58" s="37"/>
      <c r="G58" s="36"/>
      <c r="K58" s="30"/>
    </row>
    <row r="59" spans="3:11">
      <c r="C59">
        <v>1999</v>
      </c>
      <c r="D59" s="36">
        <v>244.2</v>
      </c>
      <c r="E59" s="38"/>
      <c r="F59" s="37"/>
      <c r="G59" s="36"/>
      <c r="K59" s="30"/>
    </row>
    <row r="60" spans="3:11">
      <c r="C60">
        <v>2000</v>
      </c>
      <c r="D60" s="36">
        <v>252.5</v>
      </c>
      <c r="E60" s="38"/>
      <c r="F60" s="37"/>
      <c r="G60" s="36"/>
      <c r="K60" s="30"/>
    </row>
    <row r="61" spans="3:11">
      <c r="C61">
        <v>2001</v>
      </c>
      <c r="D61" s="36">
        <v>259.7</v>
      </c>
      <c r="E61" s="38"/>
      <c r="F61" s="37"/>
      <c r="G61" s="36"/>
      <c r="K61" s="30"/>
    </row>
    <row r="62" spans="3:11">
      <c r="C62">
        <v>2002</v>
      </c>
      <c r="D62" s="36">
        <v>263.8</v>
      </c>
      <c r="E62" s="38"/>
      <c r="F62" s="37"/>
      <c r="G62" s="36"/>
      <c r="K62" s="30"/>
    </row>
    <row r="63" spans="3:11">
      <c r="C63">
        <v>2003</v>
      </c>
      <c r="D63" s="36">
        <v>269.8</v>
      </c>
      <c r="E63" s="38"/>
      <c r="F63" s="37"/>
      <c r="G63" s="36"/>
      <c r="K63" s="30"/>
    </row>
    <row r="64" spans="3:11">
      <c r="C64">
        <v>2004</v>
      </c>
      <c r="D64" s="36">
        <v>277</v>
      </c>
      <c r="E64" s="38"/>
      <c r="F64" s="37"/>
      <c r="G64" s="36"/>
      <c r="K64" s="30"/>
    </row>
    <row r="65" spans="3:15">
      <c r="C65">
        <v>2005</v>
      </c>
      <c r="D65" s="36">
        <v>286.39999999999998</v>
      </c>
      <c r="E65" s="38"/>
      <c r="F65" s="37"/>
      <c r="G65" s="36"/>
      <c r="K65" s="30"/>
    </row>
    <row r="66" spans="3:15">
      <c r="C66">
        <v>2006</v>
      </c>
      <c r="D66" s="36">
        <v>295.7</v>
      </c>
      <c r="E66" s="38"/>
      <c r="F66" s="37"/>
      <c r="G66" s="36"/>
      <c r="K66" s="30"/>
    </row>
    <row r="67" spans="3:15">
      <c r="C67">
        <v>2007</v>
      </c>
      <c r="D67" s="36">
        <v>304.10000000000002</v>
      </c>
      <c r="E67" s="38"/>
      <c r="F67" s="37"/>
      <c r="G67" s="36"/>
      <c r="K67" s="30"/>
    </row>
    <row r="68" spans="3:15">
      <c r="C68">
        <v>2008</v>
      </c>
      <c r="D68" s="36">
        <v>315.8</v>
      </c>
      <c r="E68" s="38"/>
      <c r="F68" s="37"/>
      <c r="G68" s="36"/>
      <c r="K68" s="30"/>
    </row>
    <row r="69" spans="3:15">
      <c r="C69">
        <v>2009</v>
      </c>
      <c r="D69" s="36">
        <v>314.7</v>
      </c>
      <c r="E69" s="38"/>
      <c r="F69" s="37"/>
      <c r="G69" s="36"/>
      <c r="K69" s="30"/>
    </row>
    <row r="70" spans="3:15">
      <c r="C70">
        <v>2010</v>
      </c>
      <c r="D70" s="36">
        <v>319.8</v>
      </c>
      <c r="E70" s="38"/>
      <c r="F70" s="37"/>
      <c r="G70" s="36"/>
      <c r="K70" s="30"/>
    </row>
    <row r="71" spans="3:15">
      <c r="C71">
        <v>2011</v>
      </c>
      <c r="D71" s="36">
        <v>330</v>
      </c>
      <c r="E71" s="38"/>
      <c r="F71" s="37"/>
      <c r="G71" s="36"/>
      <c r="K71" s="30"/>
    </row>
    <row r="72" spans="3:15">
      <c r="C72">
        <v>2012</v>
      </c>
      <c r="D72" s="36">
        <v>336.9</v>
      </c>
      <c r="E72" s="38"/>
      <c r="F72" s="37"/>
      <c r="G72" s="36"/>
      <c r="K72" s="30"/>
    </row>
    <row r="73" spans="3:15">
      <c r="C73">
        <v>2013</v>
      </c>
      <c r="D73" s="36">
        <v>342</v>
      </c>
      <c r="E73" s="38"/>
      <c r="F73" s="37"/>
      <c r="G73" s="36"/>
      <c r="K73" s="30"/>
    </row>
    <row r="74" spans="3:15">
      <c r="C74">
        <f>+C73+1</f>
        <v>2014</v>
      </c>
      <c r="D74" s="36">
        <v>347.7</v>
      </c>
      <c r="E74" s="38"/>
      <c r="F74" s="37"/>
      <c r="G74" s="36"/>
      <c r="K74" s="30"/>
      <c r="O74" s="1"/>
    </row>
    <row r="75" spans="3:15">
      <c r="C75">
        <f>+C74+1</f>
        <v>2015</v>
      </c>
      <c r="D75" s="36">
        <v>348.3</v>
      </c>
      <c r="E75" s="38"/>
      <c r="F75" s="37"/>
      <c r="G75" s="36"/>
      <c r="K75" s="30"/>
    </row>
    <row r="76" spans="3:15">
      <c r="C76">
        <f>+C75+1</f>
        <v>2016</v>
      </c>
      <c r="D76" s="39">
        <v>352.8</v>
      </c>
      <c r="E76" s="38"/>
      <c r="F76" s="37"/>
      <c r="G76" s="36"/>
    </row>
    <row r="77" spans="3:15">
      <c r="C77">
        <v>2017</v>
      </c>
      <c r="D77">
        <v>360.3</v>
      </c>
      <c r="E77" s="38"/>
    </row>
    <row r="78" spans="3:15">
      <c r="C78">
        <v>2018</v>
      </c>
      <c r="D78" s="31">
        <v>369.1</v>
      </c>
    </row>
    <row r="79" spans="3:15">
      <c r="C79">
        <v>2019</v>
      </c>
      <c r="D79">
        <v>375.8</v>
      </c>
    </row>
    <row r="80" spans="3:15">
      <c r="C80">
        <v>2020</v>
      </c>
      <c r="D80" s="31">
        <v>380.8</v>
      </c>
    </row>
    <row r="81" spans="3:4">
      <c r="C81">
        <v>2021</v>
      </c>
      <c r="D81" s="31">
        <v>399.2</v>
      </c>
    </row>
    <row r="82" spans="3:4">
      <c r="C82">
        <v>2022</v>
      </c>
      <c r="D82">
        <v>431.5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23"/>
  <sheetViews>
    <sheetView topLeftCell="A61" zoomScaleNormal="100" workbookViewId="0">
      <selection activeCell="E84" sqref="E84"/>
    </sheetView>
  </sheetViews>
  <sheetFormatPr defaultRowHeight="12.75"/>
  <sheetData>
    <row r="1" spans="1:28">
      <c r="AA1" s="15" t="s">
        <v>73</v>
      </c>
    </row>
    <row r="2" spans="1:28">
      <c r="AA2" t="s">
        <v>70</v>
      </c>
      <c r="AB2" t="s">
        <v>71</v>
      </c>
    </row>
    <row r="3" spans="1:28">
      <c r="A3" s="31" t="s">
        <v>0</v>
      </c>
      <c r="B3" s="31" t="s">
        <v>79</v>
      </c>
      <c r="H3" s="3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AA3" s="19">
        <v>4750</v>
      </c>
      <c r="AB3">
        <v>9.8000000000000007</v>
      </c>
    </row>
    <row r="4" spans="1:28">
      <c r="A4">
        <v>1947</v>
      </c>
      <c r="B4">
        <f>+U10</f>
        <v>22.3</v>
      </c>
      <c r="H4" s="6" t="s">
        <v>17</v>
      </c>
      <c r="W4" s="7"/>
      <c r="AA4" s="19">
        <v>4781</v>
      </c>
      <c r="AB4">
        <v>9.8000000000000007</v>
      </c>
    </row>
    <row r="5" spans="1:28">
      <c r="A5">
        <v>1948</v>
      </c>
      <c r="B5">
        <f t="shared" ref="B5:B61" si="0">+U11</f>
        <v>24.1</v>
      </c>
      <c r="H5" s="8" t="s">
        <v>18</v>
      </c>
      <c r="W5" s="7"/>
      <c r="AA5" s="19">
        <v>4809</v>
      </c>
      <c r="AB5">
        <v>9.8000000000000007</v>
      </c>
    </row>
    <row r="6" spans="1:28">
      <c r="A6">
        <v>1949</v>
      </c>
      <c r="B6">
        <f t="shared" si="0"/>
        <v>23.8</v>
      </c>
      <c r="H6" s="8" t="s">
        <v>19</v>
      </c>
      <c r="W6" s="7"/>
      <c r="AA6" s="19">
        <v>4840</v>
      </c>
      <c r="AB6">
        <v>9.8000000000000007</v>
      </c>
    </row>
    <row r="7" spans="1:28">
      <c r="A7">
        <v>1950</v>
      </c>
      <c r="B7">
        <f t="shared" si="0"/>
        <v>24.1</v>
      </c>
      <c r="H7" s="8" t="s">
        <v>20</v>
      </c>
      <c r="W7" s="7"/>
      <c r="AA7" s="19">
        <v>4870</v>
      </c>
      <c r="AB7">
        <v>9.6999999999999993</v>
      </c>
    </row>
    <row r="8" spans="1:28">
      <c r="A8">
        <v>1951</v>
      </c>
      <c r="B8">
        <f t="shared" si="0"/>
        <v>26</v>
      </c>
      <c r="H8" s="51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3"/>
      <c r="AA8" s="19">
        <v>4901</v>
      </c>
      <c r="AB8">
        <v>9.8000000000000007</v>
      </c>
    </row>
    <row r="9" spans="1:28">
      <c r="A9">
        <v>1952</v>
      </c>
      <c r="B9">
        <f t="shared" si="0"/>
        <v>26.5</v>
      </c>
      <c r="H9" s="9" t="s">
        <v>0</v>
      </c>
      <c r="I9" s="9" t="s">
        <v>21</v>
      </c>
      <c r="J9" s="9" t="s">
        <v>22</v>
      </c>
      <c r="K9" s="9" t="s">
        <v>23</v>
      </c>
      <c r="L9" s="9" t="s">
        <v>24</v>
      </c>
      <c r="M9" s="9" t="s">
        <v>25</v>
      </c>
      <c r="N9" s="9" t="s">
        <v>26</v>
      </c>
      <c r="O9" s="9" t="s">
        <v>27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32</v>
      </c>
      <c r="U9" s="9" t="s">
        <v>33</v>
      </c>
      <c r="V9" s="9" t="s">
        <v>34</v>
      </c>
      <c r="W9" s="9" t="s">
        <v>35</v>
      </c>
      <c r="AA9" s="19">
        <v>4931</v>
      </c>
      <c r="AB9">
        <v>9.9</v>
      </c>
    </row>
    <row r="10" spans="1:28">
      <c r="A10">
        <v>1953</v>
      </c>
      <c r="B10">
        <f t="shared" si="0"/>
        <v>26.7</v>
      </c>
      <c r="H10" s="10">
        <v>1947</v>
      </c>
      <c r="I10" s="11">
        <v>21.5</v>
      </c>
      <c r="J10" s="11">
        <v>21.5</v>
      </c>
      <c r="K10" s="11">
        <v>21.9</v>
      </c>
      <c r="L10" s="11">
        <v>21.9</v>
      </c>
      <c r="M10" s="11">
        <v>21.9</v>
      </c>
      <c r="N10" s="11">
        <v>22</v>
      </c>
      <c r="O10" s="11">
        <v>22.2</v>
      </c>
      <c r="P10" s="11">
        <v>22.5</v>
      </c>
      <c r="Q10" s="11">
        <v>23</v>
      </c>
      <c r="R10" s="11">
        <v>23</v>
      </c>
      <c r="S10" s="11">
        <v>23.1</v>
      </c>
      <c r="T10" s="11">
        <v>23.4</v>
      </c>
      <c r="U10" s="11">
        <v>22.3</v>
      </c>
      <c r="V10" s="11"/>
      <c r="W10" s="11"/>
      <c r="AA10" s="19">
        <v>4962</v>
      </c>
      <c r="AB10">
        <v>9.9</v>
      </c>
    </row>
    <row r="11" spans="1:28">
      <c r="A11">
        <v>1954</v>
      </c>
      <c r="B11">
        <f t="shared" si="0"/>
        <v>26.9</v>
      </c>
      <c r="H11" s="10">
        <v>1948</v>
      </c>
      <c r="I11" s="12">
        <v>23.7</v>
      </c>
      <c r="J11" s="12">
        <v>23.5</v>
      </c>
      <c r="K11" s="12">
        <v>23.4</v>
      </c>
      <c r="L11" s="12">
        <v>23.8</v>
      </c>
      <c r="M11" s="12">
        <v>23.9</v>
      </c>
      <c r="N11" s="12">
        <v>24.1</v>
      </c>
      <c r="O11" s="12">
        <v>24.4</v>
      </c>
      <c r="P11" s="12">
        <v>24.5</v>
      </c>
      <c r="Q11" s="12">
        <v>24.5</v>
      </c>
      <c r="R11" s="12">
        <v>24.4</v>
      </c>
      <c r="S11" s="12">
        <v>24.2</v>
      </c>
      <c r="T11" s="12">
        <v>24.1</v>
      </c>
      <c r="U11" s="12">
        <v>24.1</v>
      </c>
      <c r="V11" s="12"/>
      <c r="W11" s="12"/>
      <c r="AA11" s="19">
        <v>4993</v>
      </c>
      <c r="AB11">
        <v>10</v>
      </c>
    </row>
    <row r="12" spans="1:28">
      <c r="A12">
        <v>1955</v>
      </c>
      <c r="B12">
        <f t="shared" si="0"/>
        <v>26.8</v>
      </c>
      <c r="H12" s="10">
        <v>1949</v>
      </c>
      <c r="I12" s="11">
        <v>24</v>
      </c>
      <c r="J12" s="11">
        <v>23.8</v>
      </c>
      <c r="K12" s="11">
        <v>23.8</v>
      </c>
      <c r="L12" s="11">
        <v>23.9</v>
      </c>
      <c r="M12" s="11">
        <v>23.8</v>
      </c>
      <c r="N12" s="11">
        <v>23.9</v>
      </c>
      <c r="O12" s="11">
        <v>23.7</v>
      </c>
      <c r="P12" s="11">
        <v>23.8</v>
      </c>
      <c r="Q12" s="11">
        <v>23.9</v>
      </c>
      <c r="R12" s="11">
        <v>23.7</v>
      </c>
      <c r="S12" s="11">
        <v>23.8</v>
      </c>
      <c r="T12" s="11">
        <v>23.6</v>
      </c>
      <c r="U12" s="11">
        <v>23.8</v>
      </c>
      <c r="V12" s="11"/>
      <c r="W12" s="11"/>
      <c r="AA12" s="19">
        <v>5023</v>
      </c>
      <c r="AB12">
        <v>10</v>
      </c>
    </row>
    <row r="13" spans="1:28">
      <c r="A13">
        <v>1956</v>
      </c>
      <c r="B13">
        <f t="shared" si="0"/>
        <v>27.2</v>
      </c>
      <c r="H13" s="10">
        <v>1950</v>
      </c>
      <c r="I13" s="12">
        <v>23.5</v>
      </c>
      <c r="J13" s="12">
        <v>23.5</v>
      </c>
      <c r="K13" s="12">
        <v>23.6</v>
      </c>
      <c r="L13" s="12">
        <v>23.6</v>
      </c>
      <c r="M13" s="12">
        <v>23.7</v>
      </c>
      <c r="N13" s="12">
        <v>23.8</v>
      </c>
      <c r="O13" s="12">
        <v>24.1</v>
      </c>
      <c r="P13" s="12">
        <v>24.3</v>
      </c>
      <c r="Q13" s="12">
        <v>24.4</v>
      </c>
      <c r="R13" s="12">
        <v>24.6</v>
      </c>
      <c r="S13" s="12">
        <v>24.7</v>
      </c>
      <c r="T13" s="12">
        <v>25</v>
      </c>
      <c r="U13" s="12">
        <v>24.1</v>
      </c>
      <c r="V13" s="12"/>
      <c r="W13" s="12"/>
      <c r="AA13" s="19">
        <v>5054</v>
      </c>
      <c r="AB13">
        <v>10.1</v>
      </c>
    </row>
    <row r="14" spans="1:28">
      <c r="A14">
        <v>1957</v>
      </c>
      <c r="B14">
        <f t="shared" si="0"/>
        <v>28.1</v>
      </c>
      <c r="H14" s="10">
        <v>1951</v>
      </c>
      <c r="I14" s="11">
        <v>25.4</v>
      </c>
      <c r="J14" s="11">
        <v>25.7</v>
      </c>
      <c r="K14" s="11">
        <v>25.8</v>
      </c>
      <c r="L14" s="11">
        <v>25.8</v>
      </c>
      <c r="M14" s="11">
        <v>25.9</v>
      </c>
      <c r="N14" s="11">
        <v>25.9</v>
      </c>
      <c r="O14" s="11">
        <v>25.9</v>
      </c>
      <c r="P14" s="11">
        <v>25.9</v>
      </c>
      <c r="Q14" s="11">
        <v>26.1</v>
      </c>
      <c r="R14" s="11">
        <v>26.2</v>
      </c>
      <c r="S14" s="11">
        <v>26.4</v>
      </c>
      <c r="T14" s="11">
        <v>26.5</v>
      </c>
      <c r="U14" s="11">
        <v>26</v>
      </c>
      <c r="V14" s="11"/>
      <c r="W14" s="11"/>
      <c r="AA14" s="19">
        <v>5084</v>
      </c>
      <c r="AB14">
        <v>10</v>
      </c>
    </row>
    <row r="15" spans="1:28">
      <c r="A15">
        <v>1958</v>
      </c>
      <c r="B15">
        <f t="shared" si="0"/>
        <v>28.9</v>
      </c>
      <c r="H15" s="10">
        <v>1952</v>
      </c>
      <c r="I15" s="12">
        <v>26.5</v>
      </c>
      <c r="J15" s="12">
        <v>26.3</v>
      </c>
      <c r="K15" s="12">
        <v>26.3</v>
      </c>
      <c r="L15" s="12">
        <v>26.4</v>
      </c>
      <c r="M15" s="12">
        <v>26.4</v>
      </c>
      <c r="N15" s="12">
        <v>26.5</v>
      </c>
      <c r="O15" s="12">
        <v>26.7</v>
      </c>
      <c r="P15" s="12">
        <v>26.7</v>
      </c>
      <c r="Q15" s="12">
        <v>26.7</v>
      </c>
      <c r="R15" s="12">
        <v>26.7</v>
      </c>
      <c r="S15" s="12">
        <v>26.7</v>
      </c>
      <c r="T15" s="12">
        <v>26.7</v>
      </c>
      <c r="U15" s="12">
        <v>26.5</v>
      </c>
      <c r="V15" s="12"/>
      <c r="W15" s="12"/>
      <c r="AA15" s="19">
        <v>5115</v>
      </c>
      <c r="AB15">
        <v>10</v>
      </c>
    </row>
    <row r="16" spans="1:28">
      <c r="A16">
        <v>1959</v>
      </c>
      <c r="B16">
        <f t="shared" si="0"/>
        <v>29.1</v>
      </c>
      <c r="H16" s="10">
        <v>1953</v>
      </c>
      <c r="I16" s="11">
        <v>26.6</v>
      </c>
      <c r="J16" s="11">
        <v>26.5</v>
      </c>
      <c r="K16" s="11">
        <v>26.6</v>
      </c>
      <c r="L16" s="11">
        <v>26.6</v>
      </c>
      <c r="M16" s="11">
        <v>26.7</v>
      </c>
      <c r="N16" s="11">
        <v>26.8</v>
      </c>
      <c r="O16" s="11">
        <v>26.8</v>
      </c>
      <c r="P16" s="11">
        <v>26.9</v>
      </c>
      <c r="Q16" s="11">
        <v>26.9</v>
      </c>
      <c r="R16" s="11">
        <v>27</v>
      </c>
      <c r="S16" s="11">
        <v>26.9</v>
      </c>
      <c r="T16" s="11">
        <v>26.9</v>
      </c>
      <c r="U16" s="11">
        <v>26.7</v>
      </c>
      <c r="V16" s="11"/>
      <c r="W16" s="11"/>
      <c r="AA16" s="19">
        <v>5146</v>
      </c>
      <c r="AB16">
        <v>9.9</v>
      </c>
    </row>
    <row r="17" spans="1:28">
      <c r="A17">
        <v>1960</v>
      </c>
      <c r="B17">
        <f t="shared" si="0"/>
        <v>29.6</v>
      </c>
      <c r="H17" s="10">
        <v>1954</v>
      </c>
      <c r="I17" s="12">
        <v>26.9</v>
      </c>
      <c r="J17" s="12">
        <v>26.9</v>
      </c>
      <c r="K17" s="12">
        <v>26.9</v>
      </c>
      <c r="L17" s="12">
        <v>26.8</v>
      </c>
      <c r="M17" s="12">
        <v>26.9</v>
      </c>
      <c r="N17" s="12">
        <v>26.9</v>
      </c>
      <c r="O17" s="12">
        <v>26.9</v>
      </c>
      <c r="P17" s="12">
        <v>26.9</v>
      </c>
      <c r="Q17" s="12">
        <v>26.8</v>
      </c>
      <c r="R17" s="12">
        <v>26.8</v>
      </c>
      <c r="S17" s="12">
        <v>26.8</v>
      </c>
      <c r="T17" s="12">
        <v>26.7</v>
      </c>
      <c r="U17" s="12">
        <v>26.9</v>
      </c>
      <c r="V17" s="12"/>
      <c r="W17" s="12"/>
      <c r="AA17" s="19">
        <v>5174</v>
      </c>
      <c r="AB17">
        <v>9.9</v>
      </c>
    </row>
    <row r="18" spans="1:28">
      <c r="A18">
        <v>1961</v>
      </c>
      <c r="B18">
        <f t="shared" si="0"/>
        <v>29.9</v>
      </c>
      <c r="H18" s="10">
        <v>1955</v>
      </c>
      <c r="I18" s="11">
        <v>26.7</v>
      </c>
      <c r="J18" s="11">
        <v>26.7</v>
      </c>
      <c r="K18" s="11">
        <v>26.7</v>
      </c>
      <c r="L18" s="11">
        <v>26.7</v>
      </c>
      <c r="M18" s="11">
        <v>26.7</v>
      </c>
      <c r="N18" s="11">
        <v>26.7</v>
      </c>
      <c r="O18" s="11">
        <v>26.8</v>
      </c>
      <c r="P18" s="11">
        <v>26.8</v>
      </c>
      <c r="Q18" s="11">
        <v>26.9</v>
      </c>
      <c r="R18" s="11">
        <v>26.9</v>
      </c>
      <c r="S18" s="11">
        <v>26.9</v>
      </c>
      <c r="T18" s="11">
        <v>26.8</v>
      </c>
      <c r="U18" s="11">
        <v>26.8</v>
      </c>
      <c r="V18" s="11"/>
      <c r="W18" s="11"/>
      <c r="AA18" s="19">
        <v>5205</v>
      </c>
      <c r="AB18">
        <v>9.8000000000000007</v>
      </c>
    </row>
    <row r="19" spans="1:28">
      <c r="A19">
        <v>1962</v>
      </c>
      <c r="B19">
        <f t="shared" si="0"/>
        <v>30.2</v>
      </c>
      <c r="H19" s="10">
        <v>1956</v>
      </c>
      <c r="I19" s="12">
        <v>26.8</v>
      </c>
      <c r="J19" s="12">
        <v>26.8</v>
      </c>
      <c r="K19" s="12">
        <v>26.8</v>
      </c>
      <c r="L19" s="12">
        <v>26.9</v>
      </c>
      <c r="M19" s="12">
        <v>27</v>
      </c>
      <c r="N19" s="12">
        <v>27.2</v>
      </c>
      <c r="O19" s="12">
        <v>27.4</v>
      </c>
      <c r="P19" s="12">
        <v>27.3</v>
      </c>
      <c r="Q19" s="12">
        <v>27.4</v>
      </c>
      <c r="R19" s="12">
        <v>27.5</v>
      </c>
      <c r="S19" s="12">
        <v>27.5</v>
      </c>
      <c r="T19" s="12">
        <v>27.6</v>
      </c>
      <c r="U19" s="12">
        <v>27.2</v>
      </c>
      <c r="V19" s="12"/>
      <c r="W19" s="12"/>
      <c r="AA19" s="19">
        <v>5235</v>
      </c>
      <c r="AB19">
        <v>9.9</v>
      </c>
    </row>
    <row r="20" spans="1:28">
      <c r="A20">
        <v>1963</v>
      </c>
      <c r="B20">
        <f t="shared" si="0"/>
        <v>30.6</v>
      </c>
      <c r="H20" s="10">
        <v>1957</v>
      </c>
      <c r="I20" s="11">
        <v>27.6</v>
      </c>
      <c r="J20" s="11">
        <v>27.7</v>
      </c>
      <c r="K20" s="11">
        <v>27.8</v>
      </c>
      <c r="L20" s="11">
        <v>27.9</v>
      </c>
      <c r="M20" s="11">
        <v>28</v>
      </c>
      <c r="N20" s="11">
        <v>28.1</v>
      </c>
      <c r="O20" s="11">
        <v>28.3</v>
      </c>
      <c r="P20" s="11">
        <v>28.3</v>
      </c>
      <c r="Q20" s="11">
        <v>28.3</v>
      </c>
      <c r="R20" s="11">
        <v>28.3</v>
      </c>
      <c r="S20" s="11">
        <v>28.4</v>
      </c>
      <c r="T20" s="11">
        <v>28.4</v>
      </c>
      <c r="U20" s="11">
        <v>28.1</v>
      </c>
      <c r="V20" s="11"/>
      <c r="W20" s="11"/>
      <c r="AA20" s="19">
        <v>5266</v>
      </c>
      <c r="AB20">
        <v>9.9</v>
      </c>
    </row>
    <row r="21" spans="1:28">
      <c r="A21">
        <v>1964</v>
      </c>
      <c r="B21">
        <f t="shared" si="0"/>
        <v>31</v>
      </c>
      <c r="H21" s="10">
        <v>1958</v>
      </c>
      <c r="I21" s="12">
        <v>28.6</v>
      </c>
      <c r="J21" s="12">
        <v>28.6</v>
      </c>
      <c r="K21" s="12">
        <v>28.8</v>
      </c>
      <c r="L21" s="12">
        <v>28.9</v>
      </c>
      <c r="M21" s="12">
        <v>28.9</v>
      </c>
      <c r="N21" s="12">
        <v>28.9</v>
      </c>
      <c r="O21" s="12">
        <v>29</v>
      </c>
      <c r="P21" s="12">
        <v>28.9</v>
      </c>
      <c r="Q21" s="12">
        <v>28.9</v>
      </c>
      <c r="R21" s="12">
        <v>28.9</v>
      </c>
      <c r="S21" s="12">
        <v>29</v>
      </c>
      <c r="T21" s="12">
        <v>28.9</v>
      </c>
      <c r="U21" s="12">
        <v>28.9</v>
      </c>
      <c r="V21" s="12"/>
      <c r="W21" s="12"/>
      <c r="AA21" s="19">
        <v>5296</v>
      </c>
      <c r="AB21">
        <v>10</v>
      </c>
    </row>
    <row r="22" spans="1:28">
      <c r="A22">
        <v>1965</v>
      </c>
      <c r="B22">
        <f t="shared" si="0"/>
        <v>31.5</v>
      </c>
      <c r="H22" s="10">
        <v>1959</v>
      </c>
      <c r="I22" s="11">
        <v>29</v>
      </c>
      <c r="J22" s="11">
        <v>28.9</v>
      </c>
      <c r="K22" s="11">
        <v>28.9</v>
      </c>
      <c r="L22" s="11">
        <v>29</v>
      </c>
      <c r="M22" s="11">
        <v>29</v>
      </c>
      <c r="N22" s="11">
        <v>29.1</v>
      </c>
      <c r="O22" s="11">
        <v>29.2</v>
      </c>
      <c r="P22" s="11">
        <v>29.2</v>
      </c>
      <c r="Q22" s="11">
        <v>29.3</v>
      </c>
      <c r="R22" s="11">
        <v>29.4</v>
      </c>
      <c r="S22" s="11">
        <v>29.4</v>
      </c>
      <c r="T22" s="11">
        <v>29.4</v>
      </c>
      <c r="U22" s="11">
        <v>29.1</v>
      </c>
      <c r="V22" s="11"/>
      <c r="W22" s="11"/>
      <c r="AA22" s="19">
        <v>5327</v>
      </c>
      <c r="AB22">
        <v>10.199999999999999</v>
      </c>
    </row>
    <row r="23" spans="1:28">
      <c r="A23">
        <v>1966</v>
      </c>
      <c r="B23">
        <f t="shared" si="0"/>
        <v>32.4</v>
      </c>
      <c r="H23" s="10">
        <v>1960</v>
      </c>
      <c r="I23" s="12">
        <v>29.3</v>
      </c>
      <c r="J23" s="12">
        <v>29.4</v>
      </c>
      <c r="K23" s="12">
        <v>29.4</v>
      </c>
      <c r="L23" s="12">
        <v>29.5</v>
      </c>
      <c r="M23" s="12">
        <v>29.5</v>
      </c>
      <c r="N23" s="12">
        <v>29.6</v>
      </c>
      <c r="O23" s="12">
        <v>29.6</v>
      </c>
      <c r="P23" s="12">
        <v>29.6</v>
      </c>
      <c r="Q23" s="12">
        <v>29.6</v>
      </c>
      <c r="R23" s="12">
        <v>29.8</v>
      </c>
      <c r="S23" s="12">
        <v>29.8</v>
      </c>
      <c r="T23" s="12">
        <v>29.8</v>
      </c>
      <c r="U23" s="12">
        <v>29.6</v>
      </c>
      <c r="V23" s="12"/>
      <c r="W23" s="12"/>
      <c r="AA23" s="19">
        <v>5358</v>
      </c>
      <c r="AB23">
        <v>10.199999999999999</v>
      </c>
    </row>
    <row r="24" spans="1:28">
      <c r="A24">
        <v>1967</v>
      </c>
      <c r="B24">
        <f t="shared" si="0"/>
        <v>33.4</v>
      </c>
      <c r="H24" s="10">
        <v>1961</v>
      </c>
      <c r="I24" s="11">
        <v>29.8</v>
      </c>
      <c r="J24" s="11">
        <v>29.8</v>
      </c>
      <c r="K24" s="11">
        <v>29.8</v>
      </c>
      <c r="L24" s="11">
        <v>29.8</v>
      </c>
      <c r="M24" s="11">
        <v>29.8</v>
      </c>
      <c r="N24" s="11">
        <v>29.8</v>
      </c>
      <c r="O24" s="11">
        <v>30</v>
      </c>
      <c r="P24" s="11">
        <v>29.9</v>
      </c>
      <c r="Q24" s="11">
        <v>30</v>
      </c>
      <c r="R24" s="11">
        <v>30</v>
      </c>
      <c r="S24" s="11">
        <v>30</v>
      </c>
      <c r="T24" s="11">
        <v>30</v>
      </c>
      <c r="U24" s="11">
        <v>29.9</v>
      </c>
      <c r="V24" s="11"/>
      <c r="W24" s="11"/>
      <c r="AA24" s="19">
        <v>5388</v>
      </c>
      <c r="AB24">
        <v>10.1</v>
      </c>
    </row>
    <row r="25" spans="1:28">
      <c r="A25">
        <v>1968</v>
      </c>
      <c r="B25">
        <f t="shared" si="0"/>
        <v>34.799999999999997</v>
      </c>
      <c r="H25" s="10">
        <v>1962</v>
      </c>
      <c r="I25" s="12">
        <v>30</v>
      </c>
      <c r="J25" s="12">
        <v>30.1</v>
      </c>
      <c r="K25" s="12">
        <v>30.1</v>
      </c>
      <c r="L25" s="12">
        <v>30.2</v>
      </c>
      <c r="M25" s="12">
        <v>30.2</v>
      </c>
      <c r="N25" s="12">
        <v>30.2</v>
      </c>
      <c r="O25" s="12">
        <v>30.3</v>
      </c>
      <c r="P25" s="12">
        <v>30.3</v>
      </c>
      <c r="Q25" s="12">
        <v>30.4</v>
      </c>
      <c r="R25" s="12">
        <v>30.4</v>
      </c>
      <c r="S25" s="12">
        <v>30.4</v>
      </c>
      <c r="T25" s="12">
        <v>30.4</v>
      </c>
      <c r="U25" s="12">
        <v>30.2</v>
      </c>
      <c r="V25" s="12"/>
      <c r="W25" s="12"/>
      <c r="AA25" s="19">
        <v>5419</v>
      </c>
      <c r="AB25">
        <v>10.199999999999999</v>
      </c>
    </row>
    <row r="26" spans="1:28">
      <c r="A26">
        <v>1969</v>
      </c>
      <c r="B26">
        <f t="shared" si="0"/>
        <v>36.700000000000003</v>
      </c>
      <c r="H26" s="10">
        <v>1963</v>
      </c>
      <c r="I26" s="11">
        <v>30.4</v>
      </c>
      <c r="J26" s="11">
        <v>30.4</v>
      </c>
      <c r="K26" s="11">
        <v>30.5</v>
      </c>
      <c r="L26" s="11">
        <v>30.5</v>
      </c>
      <c r="M26" s="11">
        <v>30.5</v>
      </c>
      <c r="N26" s="11">
        <v>30.6</v>
      </c>
      <c r="O26" s="11">
        <v>30.7</v>
      </c>
      <c r="P26" s="11">
        <v>30.7</v>
      </c>
      <c r="Q26" s="11">
        <v>30.7</v>
      </c>
      <c r="R26" s="11">
        <v>30.8</v>
      </c>
      <c r="S26" s="11">
        <v>30.8</v>
      </c>
      <c r="T26" s="11">
        <v>30.9</v>
      </c>
      <c r="U26" s="11">
        <v>30.6</v>
      </c>
      <c r="V26" s="11"/>
      <c r="W26" s="11"/>
      <c r="AA26" s="19">
        <v>5449</v>
      </c>
      <c r="AB26">
        <v>10.1</v>
      </c>
    </row>
    <row r="27" spans="1:28">
      <c r="A27">
        <v>1970</v>
      </c>
      <c r="B27">
        <f t="shared" si="0"/>
        <v>38.799999999999997</v>
      </c>
      <c r="H27" s="10">
        <v>1964</v>
      </c>
      <c r="I27" s="12">
        <v>30.9</v>
      </c>
      <c r="J27" s="12">
        <v>30.9</v>
      </c>
      <c r="K27" s="12">
        <v>30.9</v>
      </c>
      <c r="L27" s="12">
        <v>30.9</v>
      </c>
      <c r="M27" s="12">
        <v>30.9</v>
      </c>
      <c r="N27" s="12">
        <v>31</v>
      </c>
      <c r="O27" s="12">
        <v>31.1</v>
      </c>
      <c r="P27" s="12">
        <v>31</v>
      </c>
      <c r="Q27" s="12">
        <v>31.1</v>
      </c>
      <c r="R27" s="12">
        <v>31.1</v>
      </c>
      <c r="S27" s="12">
        <v>31.2</v>
      </c>
      <c r="T27" s="12">
        <v>31.2</v>
      </c>
      <c r="U27" s="12">
        <v>31</v>
      </c>
      <c r="V27" s="12"/>
      <c r="W27" s="12"/>
      <c r="AA27" s="19">
        <v>5480</v>
      </c>
      <c r="AB27">
        <v>10.1</v>
      </c>
    </row>
    <row r="28" spans="1:28">
      <c r="A28">
        <v>1971</v>
      </c>
      <c r="B28">
        <f t="shared" si="0"/>
        <v>40.5</v>
      </c>
      <c r="H28" s="10">
        <v>1965</v>
      </c>
      <c r="I28" s="11">
        <v>31.2</v>
      </c>
      <c r="J28" s="11">
        <v>31.2</v>
      </c>
      <c r="K28" s="11">
        <v>31.3</v>
      </c>
      <c r="L28" s="11">
        <v>31.4</v>
      </c>
      <c r="M28" s="11">
        <v>31.4</v>
      </c>
      <c r="N28" s="11">
        <v>31.6</v>
      </c>
      <c r="O28" s="11">
        <v>31.6</v>
      </c>
      <c r="P28" s="11">
        <v>31.6</v>
      </c>
      <c r="Q28" s="11">
        <v>31.6</v>
      </c>
      <c r="R28" s="11">
        <v>31.7</v>
      </c>
      <c r="S28" s="11">
        <v>31.7</v>
      </c>
      <c r="T28" s="11">
        <v>31.8</v>
      </c>
      <c r="U28" s="11">
        <v>31.5</v>
      </c>
      <c r="V28" s="11"/>
      <c r="W28" s="11"/>
      <c r="AA28" s="19">
        <v>5511</v>
      </c>
      <c r="AB28">
        <v>10</v>
      </c>
    </row>
    <row r="29" spans="1:28">
      <c r="A29">
        <v>1972</v>
      </c>
      <c r="B29">
        <f t="shared" si="0"/>
        <v>41.8</v>
      </c>
      <c r="H29" s="10">
        <v>1966</v>
      </c>
      <c r="I29" s="12">
        <v>31.8</v>
      </c>
      <c r="J29" s="12">
        <v>32</v>
      </c>
      <c r="K29" s="12">
        <v>32.1</v>
      </c>
      <c r="L29" s="12">
        <v>32.299999999999997</v>
      </c>
      <c r="M29" s="12">
        <v>32.299999999999997</v>
      </c>
      <c r="N29" s="12">
        <v>32.4</v>
      </c>
      <c r="O29" s="12">
        <v>32.5</v>
      </c>
      <c r="P29" s="12">
        <v>32.700000000000003</v>
      </c>
      <c r="Q29" s="12">
        <v>32.700000000000003</v>
      </c>
      <c r="R29" s="12">
        <v>32.9</v>
      </c>
      <c r="S29" s="12">
        <v>32.9</v>
      </c>
      <c r="T29" s="12">
        <v>32.9</v>
      </c>
      <c r="U29" s="12">
        <v>32.4</v>
      </c>
      <c r="V29" s="12"/>
      <c r="W29" s="12"/>
      <c r="AA29" s="19">
        <v>5539</v>
      </c>
      <c r="AB29">
        <v>9.9</v>
      </c>
    </row>
    <row r="30" spans="1:28">
      <c r="A30">
        <v>1973</v>
      </c>
      <c r="B30">
        <f t="shared" si="0"/>
        <v>44.4</v>
      </c>
      <c r="H30" s="10">
        <v>1967</v>
      </c>
      <c r="I30" s="11">
        <v>32.9</v>
      </c>
      <c r="J30" s="11">
        <v>32.9</v>
      </c>
      <c r="K30" s="11">
        <v>33</v>
      </c>
      <c r="L30" s="11">
        <v>33.1</v>
      </c>
      <c r="M30" s="11">
        <v>33.200000000000003</v>
      </c>
      <c r="N30" s="11">
        <v>33.299999999999997</v>
      </c>
      <c r="O30" s="11">
        <v>33.4</v>
      </c>
      <c r="P30" s="11">
        <v>33.5</v>
      </c>
      <c r="Q30" s="11">
        <v>33.6</v>
      </c>
      <c r="R30" s="11">
        <v>33.700000000000003</v>
      </c>
      <c r="S30" s="11">
        <v>33.799999999999997</v>
      </c>
      <c r="T30" s="11">
        <v>33.9</v>
      </c>
      <c r="U30" s="11">
        <v>33.4</v>
      </c>
      <c r="V30" s="11"/>
      <c r="W30" s="11"/>
      <c r="AA30" s="19">
        <v>5570</v>
      </c>
      <c r="AB30">
        <v>10</v>
      </c>
    </row>
    <row r="31" spans="1:28">
      <c r="A31">
        <v>1974</v>
      </c>
      <c r="B31">
        <f t="shared" si="0"/>
        <v>49.3</v>
      </c>
      <c r="H31" s="10">
        <v>1968</v>
      </c>
      <c r="I31" s="12">
        <v>34.1</v>
      </c>
      <c r="J31" s="12">
        <v>34.200000000000003</v>
      </c>
      <c r="K31" s="12">
        <v>34.299999999999997</v>
      </c>
      <c r="L31" s="12">
        <v>34.4</v>
      </c>
      <c r="M31" s="12">
        <v>34.5</v>
      </c>
      <c r="N31" s="12">
        <v>34.700000000000003</v>
      </c>
      <c r="O31" s="12">
        <v>34.9</v>
      </c>
      <c r="P31" s="12">
        <v>35</v>
      </c>
      <c r="Q31" s="12">
        <v>35.1</v>
      </c>
      <c r="R31" s="12">
        <v>35.299999999999997</v>
      </c>
      <c r="S31" s="12">
        <v>35.4</v>
      </c>
      <c r="T31" s="12">
        <v>35.5</v>
      </c>
      <c r="U31" s="12">
        <v>34.799999999999997</v>
      </c>
      <c r="V31" s="12"/>
      <c r="W31" s="12"/>
      <c r="AA31" s="19">
        <v>5600</v>
      </c>
      <c r="AB31">
        <v>10.1</v>
      </c>
    </row>
    <row r="32" spans="1:28">
      <c r="A32">
        <v>1975</v>
      </c>
      <c r="B32">
        <f t="shared" si="0"/>
        <v>53.8</v>
      </c>
      <c r="H32" s="10">
        <v>1969</v>
      </c>
      <c r="I32" s="11">
        <v>35.6</v>
      </c>
      <c r="J32" s="11">
        <v>35.799999999999997</v>
      </c>
      <c r="K32" s="11">
        <v>36.1</v>
      </c>
      <c r="L32" s="11">
        <v>36.299999999999997</v>
      </c>
      <c r="M32" s="11">
        <v>36.4</v>
      </c>
      <c r="N32" s="11">
        <v>36.6</v>
      </c>
      <c r="O32" s="11">
        <v>36.799999999999997</v>
      </c>
      <c r="P32" s="11">
        <v>37</v>
      </c>
      <c r="Q32" s="11">
        <v>37.1</v>
      </c>
      <c r="R32" s="11">
        <v>37.299999999999997</v>
      </c>
      <c r="S32" s="11">
        <v>37.5</v>
      </c>
      <c r="T32" s="11">
        <v>37.700000000000003</v>
      </c>
      <c r="U32" s="11">
        <v>36.700000000000003</v>
      </c>
      <c r="V32" s="11"/>
      <c r="W32" s="11"/>
      <c r="AA32" s="19">
        <v>5631</v>
      </c>
      <c r="AB32">
        <v>10.1</v>
      </c>
    </row>
    <row r="33" spans="1:28">
      <c r="A33">
        <v>1976</v>
      </c>
      <c r="B33">
        <f t="shared" si="0"/>
        <v>56.9</v>
      </c>
      <c r="H33" s="10">
        <v>1970</v>
      </c>
      <c r="I33" s="12">
        <v>37.799999999999997</v>
      </c>
      <c r="J33" s="12">
        <v>38</v>
      </c>
      <c r="K33" s="12">
        <v>38.200000000000003</v>
      </c>
      <c r="L33" s="12">
        <v>38.5</v>
      </c>
      <c r="M33" s="12">
        <v>38.6</v>
      </c>
      <c r="N33" s="12">
        <v>38.799999999999997</v>
      </c>
      <c r="O33" s="12">
        <v>39</v>
      </c>
      <c r="P33" s="12">
        <v>39</v>
      </c>
      <c r="Q33" s="12">
        <v>39.200000000000003</v>
      </c>
      <c r="R33" s="12">
        <v>39.4</v>
      </c>
      <c r="S33" s="12">
        <v>39.6</v>
      </c>
      <c r="T33" s="12">
        <v>39.799999999999997</v>
      </c>
      <c r="U33" s="12">
        <v>38.799999999999997</v>
      </c>
      <c r="V33" s="12"/>
      <c r="W33" s="12"/>
      <c r="AA33" s="19">
        <v>5661</v>
      </c>
      <c r="AB33">
        <v>10.1</v>
      </c>
    </row>
    <row r="34" spans="1:28">
      <c r="A34">
        <v>1977</v>
      </c>
      <c r="B34">
        <f t="shared" si="0"/>
        <v>60.6</v>
      </c>
      <c r="H34" s="10">
        <v>1971</v>
      </c>
      <c r="I34" s="11">
        <v>39.799999999999997</v>
      </c>
      <c r="J34" s="11">
        <v>39.9</v>
      </c>
      <c r="K34" s="11">
        <v>40</v>
      </c>
      <c r="L34" s="11">
        <v>40.1</v>
      </c>
      <c r="M34" s="11">
        <v>40.299999999999997</v>
      </c>
      <c r="N34" s="11">
        <v>40.6</v>
      </c>
      <c r="O34" s="11">
        <v>40.700000000000003</v>
      </c>
      <c r="P34" s="11">
        <v>40.799999999999997</v>
      </c>
      <c r="Q34" s="11">
        <v>40.799999999999997</v>
      </c>
      <c r="R34" s="11">
        <v>40.9</v>
      </c>
      <c r="S34" s="11">
        <v>40.9</v>
      </c>
      <c r="T34" s="11">
        <v>41.1</v>
      </c>
      <c r="U34" s="11">
        <v>40.5</v>
      </c>
      <c r="V34" s="11"/>
      <c r="W34" s="11"/>
      <c r="AA34" s="19">
        <v>5692</v>
      </c>
      <c r="AB34">
        <v>10.1</v>
      </c>
    </row>
    <row r="35" spans="1:28">
      <c r="A35">
        <v>1978</v>
      </c>
      <c r="B35">
        <f t="shared" si="0"/>
        <v>65.2</v>
      </c>
      <c r="H35" s="10">
        <v>1972</v>
      </c>
      <c r="I35" s="12">
        <v>41.1</v>
      </c>
      <c r="J35" s="12">
        <v>41.3</v>
      </c>
      <c r="K35" s="12">
        <v>41.4</v>
      </c>
      <c r="L35" s="12">
        <v>41.5</v>
      </c>
      <c r="M35" s="12">
        <v>41.6</v>
      </c>
      <c r="N35" s="12">
        <v>41.7</v>
      </c>
      <c r="O35" s="12">
        <v>41.9</v>
      </c>
      <c r="P35" s="12">
        <v>42</v>
      </c>
      <c r="Q35" s="12">
        <v>42.1</v>
      </c>
      <c r="R35" s="12">
        <v>42.3</v>
      </c>
      <c r="S35" s="12">
        <v>42.4</v>
      </c>
      <c r="T35" s="12">
        <v>42.5</v>
      </c>
      <c r="U35" s="12">
        <v>41.8</v>
      </c>
      <c r="V35" s="12"/>
      <c r="W35" s="12"/>
      <c r="AA35" s="19">
        <v>5723</v>
      </c>
      <c r="AB35">
        <v>10.1</v>
      </c>
    </row>
    <row r="36" spans="1:28">
      <c r="A36">
        <v>1979</v>
      </c>
      <c r="B36">
        <f t="shared" si="0"/>
        <v>72.599999999999994</v>
      </c>
      <c r="H36" s="10">
        <v>1973</v>
      </c>
      <c r="I36" s="11">
        <v>42.6</v>
      </c>
      <c r="J36" s="11">
        <v>42.9</v>
      </c>
      <c r="K36" s="11">
        <v>43.3</v>
      </c>
      <c r="L36" s="11">
        <v>43.6</v>
      </c>
      <c r="M36" s="11">
        <v>43.9</v>
      </c>
      <c r="N36" s="11">
        <v>44.2</v>
      </c>
      <c r="O36" s="11">
        <v>44.3</v>
      </c>
      <c r="P36" s="11">
        <v>45.1</v>
      </c>
      <c r="Q36" s="11">
        <v>45.2</v>
      </c>
      <c r="R36" s="11">
        <v>45.6</v>
      </c>
      <c r="S36" s="11">
        <v>45.9</v>
      </c>
      <c r="T36" s="11">
        <v>46.2</v>
      </c>
      <c r="U36" s="11">
        <v>44.4</v>
      </c>
      <c r="V36" s="11"/>
      <c r="W36" s="11"/>
      <c r="AA36" s="19">
        <v>5753</v>
      </c>
      <c r="AB36">
        <v>10.199999999999999</v>
      </c>
    </row>
    <row r="37" spans="1:28">
      <c r="A37">
        <v>1980</v>
      </c>
      <c r="B37">
        <f t="shared" si="0"/>
        <v>82.4</v>
      </c>
      <c r="H37" s="10">
        <v>1974</v>
      </c>
      <c r="I37" s="12">
        <v>46.6</v>
      </c>
      <c r="J37" s="12">
        <v>47.2</v>
      </c>
      <c r="K37" s="12">
        <v>47.8</v>
      </c>
      <c r="L37" s="12">
        <v>48</v>
      </c>
      <c r="M37" s="12">
        <v>48.6</v>
      </c>
      <c r="N37" s="12">
        <v>49</v>
      </c>
      <c r="O37" s="12">
        <v>49.4</v>
      </c>
      <c r="P37" s="12">
        <v>50</v>
      </c>
      <c r="Q37" s="12">
        <v>50.6</v>
      </c>
      <c r="R37" s="12">
        <v>51.1</v>
      </c>
      <c r="S37" s="12">
        <v>51.5</v>
      </c>
      <c r="T37" s="12">
        <v>51.9</v>
      </c>
      <c r="U37" s="12">
        <v>49.3</v>
      </c>
      <c r="V37" s="12"/>
      <c r="W37" s="12"/>
      <c r="AA37" s="19">
        <v>5784</v>
      </c>
      <c r="AB37">
        <v>10.3</v>
      </c>
    </row>
    <row r="38" spans="1:28">
      <c r="A38">
        <v>1981</v>
      </c>
      <c r="B38">
        <f t="shared" si="0"/>
        <v>90.9</v>
      </c>
      <c r="H38" s="10">
        <v>1975</v>
      </c>
      <c r="I38" s="11">
        <v>52.1</v>
      </c>
      <c r="J38" s="11">
        <v>52.5</v>
      </c>
      <c r="K38" s="11">
        <v>52.7</v>
      </c>
      <c r="L38" s="11">
        <v>52.9</v>
      </c>
      <c r="M38" s="11">
        <v>53.2</v>
      </c>
      <c r="N38" s="11">
        <v>53.6</v>
      </c>
      <c r="O38" s="11">
        <v>54.2</v>
      </c>
      <c r="P38" s="11">
        <v>54.3</v>
      </c>
      <c r="Q38" s="11">
        <v>54.6</v>
      </c>
      <c r="R38" s="11">
        <v>54.9</v>
      </c>
      <c r="S38" s="11">
        <v>55.3</v>
      </c>
      <c r="T38" s="11">
        <v>55.5</v>
      </c>
      <c r="U38" s="11">
        <v>53.8</v>
      </c>
      <c r="V38" s="11"/>
      <c r="W38" s="11"/>
      <c r="AA38" s="19">
        <v>5814</v>
      </c>
      <c r="AB38">
        <v>10.3</v>
      </c>
    </row>
    <row r="39" spans="1:28">
      <c r="A39">
        <v>1982</v>
      </c>
      <c r="B39">
        <f t="shared" si="0"/>
        <v>96.5</v>
      </c>
      <c r="H39" s="10">
        <v>1976</v>
      </c>
      <c r="I39" s="12">
        <v>55.6</v>
      </c>
      <c r="J39" s="12">
        <v>55.8</v>
      </c>
      <c r="K39" s="12">
        <v>55.9</v>
      </c>
      <c r="L39" s="12">
        <v>56.1</v>
      </c>
      <c r="M39" s="12">
        <v>56.5</v>
      </c>
      <c r="N39" s="12">
        <v>56.8</v>
      </c>
      <c r="O39" s="12">
        <v>57.1</v>
      </c>
      <c r="P39" s="12">
        <v>57.4</v>
      </c>
      <c r="Q39" s="12">
        <v>57.6</v>
      </c>
      <c r="R39" s="12">
        <v>57.9</v>
      </c>
      <c r="S39" s="12">
        <v>58</v>
      </c>
      <c r="T39" s="12">
        <v>58.2</v>
      </c>
      <c r="U39" s="12">
        <v>56.9</v>
      </c>
      <c r="V39" s="12"/>
      <c r="W39" s="12"/>
      <c r="AA39" s="19">
        <v>5845</v>
      </c>
      <c r="AB39">
        <v>10.4</v>
      </c>
    </row>
    <row r="40" spans="1:28">
      <c r="A40">
        <v>1983</v>
      </c>
      <c r="B40">
        <f t="shared" si="0"/>
        <v>99.6</v>
      </c>
      <c r="H40" s="10">
        <v>1977</v>
      </c>
      <c r="I40" s="11">
        <v>58.5</v>
      </c>
      <c r="J40" s="11">
        <v>59.1</v>
      </c>
      <c r="K40" s="11">
        <v>59.5</v>
      </c>
      <c r="L40" s="11">
        <v>60</v>
      </c>
      <c r="M40" s="11">
        <v>60.3</v>
      </c>
      <c r="N40" s="11">
        <v>60.7</v>
      </c>
      <c r="O40" s="11">
        <v>61</v>
      </c>
      <c r="P40" s="11">
        <v>61.2</v>
      </c>
      <c r="Q40" s="11">
        <v>61.4</v>
      </c>
      <c r="R40" s="11">
        <v>61.6</v>
      </c>
      <c r="S40" s="11">
        <v>61.9</v>
      </c>
      <c r="T40" s="11">
        <v>62.1</v>
      </c>
      <c r="U40" s="11">
        <v>60.6</v>
      </c>
      <c r="V40" s="11"/>
      <c r="W40" s="11"/>
      <c r="AA40" s="19">
        <v>5876</v>
      </c>
      <c r="AB40">
        <v>10.4</v>
      </c>
    </row>
    <row r="41" spans="1:28">
      <c r="A41">
        <v>1984</v>
      </c>
      <c r="B41">
        <f t="shared" si="0"/>
        <v>103.9</v>
      </c>
      <c r="H41" s="10">
        <v>1978</v>
      </c>
      <c r="I41" s="12">
        <v>62.5</v>
      </c>
      <c r="J41" s="12">
        <v>62.9</v>
      </c>
      <c r="K41" s="12">
        <v>63.4</v>
      </c>
      <c r="L41" s="12">
        <v>63.9</v>
      </c>
      <c r="M41" s="12">
        <v>64.5</v>
      </c>
      <c r="N41" s="12">
        <v>65.2</v>
      </c>
      <c r="O41" s="12">
        <v>65.7</v>
      </c>
      <c r="P41" s="12">
        <v>66</v>
      </c>
      <c r="Q41" s="12">
        <v>66.5</v>
      </c>
      <c r="R41" s="12">
        <v>67.099999999999994</v>
      </c>
      <c r="S41" s="12">
        <v>67.400000000000006</v>
      </c>
      <c r="T41" s="12">
        <v>67.7</v>
      </c>
      <c r="U41" s="12">
        <v>65.2</v>
      </c>
      <c r="V41" s="12"/>
      <c r="W41" s="12"/>
      <c r="AA41" s="19">
        <v>5905</v>
      </c>
      <c r="AB41">
        <v>10.5</v>
      </c>
    </row>
    <row r="42" spans="1:28">
      <c r="A42">
        <v>1985</v>
      </c>
      <c r="B42">
        <f t="shared" si="0"/>
        <v>107.6</v>
      </c>
      <c r="H42" s="10">
        <v>1979</v>
      </c>
      <c r="I42" s="11">
        <v>68.3</v>
      </c>
      <c r="J42" s="11">
        <v>69.099999999999994</v>
      </c>
      <c r="K42" s="11">
        <v>69.8</v>
      </c>
      <c r="L42" s="11">
        <v>70.599999999999994</v>
      </c>
      <c r="M42" s="11">
        <v>71.5</v>
      </c>
      <c r="N42" s="11">
        <v>72.3</v>
      </c>
      <c r="O42" s="11">
        <v>73.099999999999994</v>
      </c>
      <c r="P42" s="11">
        <v>73.8</v>
      </c>
      <c r="Q42" s="11">
        <v>74.599999999999994</v>
      </c>
      <c r="R42" s="11">
        <v>75.2</v>
      </c>
      <c r="S42" s="11">
        <v>75.900000000000006</v>
      </c>
      <c r="T42" s="11">
        <v>76.7</v>
      </c>
      <c r="U42" s="11">
        <v>72.599999999999994</v>
      </c>
      <c r="V42" s="11"/>
      <c r="W42" s="11"/>
      <c r="AA42" s="19">
        <v>5936</v>
      </c>
      <c r="AB42">
        <v>10.6</v>
      </c>
    </row>
    <row r="43" spans="1:28">
      <c r="A43">
        <v>1986</v>
      </c>
      <c r="B43">
        <f t="shared" si="0"/>
        <v>109.6</v>
      </c>
      <c r="H43" s="10">
        <v>1980</v>
      </c>
      <c r="I43" s="12">
        <v>77.8</v>
      </c>
      <c r="J43" s="12">
        <v>78.900000000000006</v>
      </c>
      <c r="K43" s="12">
        <v>80.099999999999994</v>
      </c>
      <c r="L43" s="12">
        <v>81</v>
      </c>
      <c r="M43" s="12">
        <v>81.8</v>
      </c>
      <c r="N43" s="12">
        <v>82.7</v>
      </c>
      <c r="O43" s="12">
        <v>82.7</v>
      </c>
      <c r="P43" s="12">
        <v>83.3</v>
      </c>
      <c r="Q43" s="12">
        <v>84</v>
      </c>
      <c r="R43" s="12">
        <v>84.8</v>
      </c>
      <c r="S43" s="12">
        <v>85.5</v>
      </c>
      <c r="T43" s="12">
        <v>86.3</v>
      </c>
      <c r="U43" s="12">
        <v>82.4</v>
      </c>
      <c r="V43" s="12"/>
      <c r="W43" s="12"/>
      <c r="AA43" s="19">
        <v>5966</v>
      </c>
      <c r="AB43">
        <v>10.7</v>
      </c>
    </row>
    <row r="44" spans="1:28">
      <c r="A44">
        <v>1987</v>
      </c>
      <c r="B44">
        <f t="shared" si="0"/>
        <v>113.6</v>
      </c>
      <c r="H44" s="10">
        <v>1981</v>
      </c>
      <c r="I44" s="11">
        <v>87</v>
      </c>
      <c r="J44" s="11">
        <v>87.9</v>
      </c>
      <c r="K44" s="11">
        <v>88.5</v>
      </c>
      <c r="L44" s="11">
        <v>89.1</v>
      </c>
      <c r="M44" s="11">
        <v>89.8</v>
      </c>
      <c r="N44" s="11">
        <v>90.6</v>
      </c>
      <c r="O44" s="11">
        <v>91.6</v>
      </c>
      <c r="P44" s="11">
        <v>92.3</v>
      </c>
      <c r="Q44" s="11">
        <v>93.2</v>
      </c>
      <c r="R44" s="11">
        <v>93.4</v>
      </c>
      <c r="S44" s="11">
        <v>93.7</v>
      </c>
      <c r="T44" s="11">
        <v>94</v>
      </c>
      <c r="U44" s="11">
        <v>90.9</v>
      </c>
      <c r="V44" s="11"/>
      <c r="W44" s="11"/>
      <c r="AA44" s="19">
        <v>5997</v>
      </c>
      <c r="AB44">
        <v>10.8</v>
      </c>
    </row>
    <row r="45" spans="1:28">
      <c r="A45">
        <v>1988</v>
      </c>
      <c r="B45">
        <f t="shared" si="0"/>
        <v>118.3</v>
      </c>
      <c r="H45" s="10">
        <v>1982</v>
      </c>
      <c r="I45" s="12">
        <v>94.3</v>
      </c>
      <c r="J45" s="12">
        <v>94.6</v>
      </c>
      <c r="K45" s="12">
        <v>94.5</v>
      </c>
      <c r="L45" s="12">
        <v>94.9</v>
      </c>
      <c r="M45" s="12">
        <v>95.8</v>
      </c>
      <c r="N45" s="12">
        <v>97</v>
      </c>
      <c r="O45" s="12">
        <v>97.5</v>
      </c>
      <c r="P45" s="12">
        <v>97.7</v>
      </c>
      <c r="Q45" s="12">
        <v>97.9</v>
      </c>
      <c r="R45" s="12">
        <v>98.2</v>
      </c>
      <c r="S45" s="12">
        <v>98</v>
      </c>
      <c r="T45" s="12">
        <v>97.6</v>
      </c>
      <c r="U45" s="12">
        <v>96.5</v>
      </c>
      <c r="V45" s="12"/>
      <c r="W45" s="12"/>
      <c r="AA45" s="19">
        <v>6027</v>
      </c>
      <c r="AB45">
        <v>10.8</v>
      </c>
    </row>
    <row r="46" spans="1:28">
      <c r="A46">
        <v>1989</v>
      </c>
      <c r="B46">
        <f t="shared" si="0"/>
        <v>124</v>
      </c>
      <c r="H46" s="10">
        <v>1983</v>
      </c>
      <c r="I46" s="11">
        <v>97.8</v>
      </c>
      <c r="J46" s="11">
        <v>97.9</v>
      </c>
      <c r="K46" s="11">
        <v>97.9</v>
      </c>
      <c r="L46" s="11">
        <v>98.6</v>
      </c>
      <c r="M46" s="11">
        <v>99.2</v>
      </c>
      <c r="N46" s="11">
        <v>99.5</v>
      </c>
      <c r="O46" s="11">
        <v>99.9</v>
      </c>
      <c r="P46" s="11">
        <v>100.2</v>
      </c>
      <c r="Q46" s="11">
        <v>100.7</v>
      </c>
      <c r="R46" s="11">
        <v>101</v>
      </c>
      <c r="S46" s="11">
        <v>101.2</v>
      </c>
      <c r="T46" s="11">
        <v>101.3</v>
      </c>
      <c r="U46" s="11">
        <v>99.6</v>
      </c>
      <c r="V46" s="11"/>
      <c r="W46" s="11"/>
      <c r="AA46" s="19">
        <v>6058</v>
      </c>
      <c r="AB46">
        <v>10.9</v>
      </c>
    </row>
    <row r="47" spans="1:28">
      <c r="A47">
        <v>1990</v>
      </c>
      <c r="B47">
        <f t="shared" si="0"/>
        <v>130.69999999999999</v>
      </c>
      <c r="H47" s="10">
        <v>1984</v>
      </c>
      <c r="I47" s="12">
        <v>101.9</v>
      </c>
      <c r="J47" s="12">
        <v>102.4</v>
      </c>
      <c r="K47" s="12">
        <v>102.6</v>
      </c>
      <c r="L47" s="12">
        <v>103.1</v>
      </c>
      <c r="M47" s="12">
        <v>103.4</v>
      </c>
      <c r="N47" s="12">
        <v>103.7</v>
      </c>
      <c r="O47" s="12">
        <v>104.1</v>
      </c>
      <c r="P47" s="12">
        <v>104.5</v>
      </c>
      <c r="Q47" s="12">
        <v>105</v>
      </c>
      <c r="R47" s="12">
        <v>105.3</v>
      </c>
      <c r="S47" s="12">
        <v>105.3</v>
      </c>
      <c r="T47" s="12">
        <v>105.3</v>
      </c>
      <c r="U47" s="12">
        <v>103.9</v>
      </c>
      <c r="V47" s="12">
        <v>102.9</v>
      </c>
      <c r="W47" s="12">
        <v>104.9</v>
      </c>
      <c r="AA47" s="19">
        <v>6089</v>
      </c>
      <c r="AB47">
        <v>11.1</v>
      </c>
    </row>
    <row r="48" spans="1:28">
      <c r="A48">
        <v>1991</v>
      </c>
      <c r="B48">
        <f t="shared" si="0"/>
        <v>136.19999999999999</v>
      </c>
      <c r="H48" s="10">
        <v>1985</v>
      </c>
      <c r="I48" s="11">
        <v>105.5</v>
      </c>
      <c r="J48" s="11">
        <v>106</v>
      </c>
      <c r="K48" s="11">
        <v>106.4</v>
      </c>
      <c r="L48" s="11">
        <v>106.9</v>
      </c>
      <c r="M48" s="11">
        <v>107.3</v>
      </c>
      <c r="N48" s="11">
        <v>107.6</v>
      </c>
      <c r="O48" s="11">
        <v>107.8</v>
      </c>
      <c r="P48" s="11">
        <v>108</v>
      </c>
      <c r="Q48" s="11">
        <v>108.3</v>
      </c>
      <c r="R48" s="11">
        <v>108.7</v>
      </c>
      <c r="S48" s="11">
        <v>109</v>
      </c>
      <c r="T48" s="11">
        <v>109.3</v>
      </c>
      <c r="U48" s="11">
        <v>107.6</v>
      </c>
      <c r="V48" s="11">
        <v>106.6</v>
      </c>
      <c r="W48" s="11">
        <v>108.5</v>
      </c>
      <c r="AA48" s="19">
        <v>6119</v>
      </c>
      <c r="AB48">
        <v>11.3</v>
      </c>
    </row>
    <row r="49" spans="1:28">
      <c r="A49">
        <v>1992</v>
      </c>
      <c r="B49">
        <f t="shared" si="0"/>
        <v>140.30000000000001</v>
      </c>
      <c r="H49" s="10">
        <v>1986</v>
      </c>
      <c r="I49" s="12">
        <v>109.6</v>
      </c>
      <c r="J49" s="12">
        <v>109.3</v>
      </c>
      <c r="K49" s="12">
        <v>108.8</v>
      </c>
      <c r="L49" s="12">
        <v>108.6</v>
      </c>
      <c r="M49" s="12">
        <v>108.9</v>
      </c>
      <c r="N49" s="12">
        <v>109.5</v>
      </c>
      <c r="O49" s="12">
        <v>109.5</v>
      </c>
      <c r="P49" s="12">
        <v>109.7</v>
      </c>
      <c r="Q49" s="12">
        <v>110.2</v>
      </c>
      <c r="R49" s="12">
        <v>110.3</v>
      </c>
      <c r="S49" s="12">
        <v>110.4</v>
      </c>
      <c r="T49" s="12">
        <v>110.5</v>
      </c>
      <c r="U49" s="12">
        <v>109.6</v>
      </c>
      <c r="V49" s="12">
        <v>109.1</v>
      </c>
      <c r="W49" s="12">
        <v>110.1</v>
      </c>
      <c r="AA49" s="19">
        <v>6150</v>
      </c>
      <c r="AB49">
        <v>11.5</v>
      </c>
    </row>
    <row r="50" spans="1:28">
      <c r="A50">
        <v>1993</v>
      </c>
      <c r="B50">
        <f t="shared" si="0"/>
        <v>144.5</v>
      </c>
      <c r="H50" s="10">
        <v>1987</v>
      </c>
      <c r="I50" s="11">
        <v>111.2</v>
      </c>
      <c r="J50" s="11">
        <v>111.6</v>
      </c>
      <c r="K50" s="11">
        <v>112.1</v>
      </c>
      <c r="L50" s="11">
        <v>112.7</v>
      </c>
      <c r="M50" s="11">
        <v>113.1</v>
      </c>
      <c r="N50" s="11">
        <v>113.5</v>
      </c>
      <c r="O50" s="11">
        <v>113.8</v>
      </c>
      <c r="P50" s="11">
        <v>114.4</v>
      </c>
      <c r="Q50" s="11">
        <v>115</v>
      </c>
      <c r="R50" s="11">
        <v>115.3</v>
      </c>
      <c r="S50" s="11">
        <v>115.4</v>
      </c>
      <c r="T50" s="11">
        <v>115.4</v>
      </c>
      <c r="U50" s="11">
        <v>113.6</v>
      </c>
      <c r="V50" s="11">
        <v>112.4</v>
      </c>
      <c r="W50" s="11">
        <v>114.9</v>
      </c>
      <c r="AA50" s="19">
        <v>6180</v>
      </c>
      <c r="AB50">
        <v>11.6</v>
      </c>
    </row>
    <row r="51" spans="1:28">
      <c r="A51">
        <v>1994</v>
      </c>
      <c r="B51">
        <f t="shared" si="0"/>
        <v>148.19999999999999</v>
      </c>
      <c r="H51" s="10">
        <v>1988</v>
      </c>
      <c r="I51" s="12">
        <v>115.7</v>
      </c>
      <c r="J51" s="12">
        <v>116</v>
      </c>
      <c r="K51" s="12">
        <v>116.5</v>
      </c>
      <c r="L51" s="12">
        <v>117.1</v>
      </c>
      <c r="M51" s="12">
        <v>117.5</v>
      </c>
      <c r="N51" s="12">
        <v>118</v>
      </c>
      <c r="O51" s="12">
        <v>118.5</v>
      </c>
      <c r="P51" s="12">
        <v>119</v>
      </c>
      <c r="Q51" s="12">
        <v>119.8</v>
      </c>
      <c r="R51" s="12">
        <v>120.2</v>
      </c>
      <c r="S51" s="12">
        <v>120.3</v>
      </c>
      <c r="T51" s="12">
        <v>120.5</v>
      </c>
      <c r="U51" s="12">
        <v>118.3</v>
      </c>
      <c r="V51" s="12">
        <v>116.8</v>
      </c>
      <c r="W51" s="12">
        <v>119.7</v>
      </c>
      <c r="AA51" s="19">
        <v>6211</v>
      </c>
      <c r="AB51">
        <v>11.7</v>
      </c>
    </row>
    <row r="52" spans="1:28">
      <c r="A52">
        <v>1995</v>
      </c>
      <c r="B52">
        <f t="shared" si="0"/>
        <v>152.4</v>
      </c>
      <c r="H52" s="10">
        <v>1989</v>
      </c>
      <c r="I52" s="11">
        <v>121.1</v>
      </c>
      <c r="J52" s="11">
        <v>121.6</v>
      </c>
      <c r="K52" s="11">
        <v>122.3</v>
      </c>
      <c r="L52" s="11">
        <v>123.1</v>
      </c>
      <c r="M52" s="11">
        <v>123.8</v>
      </c>
      <c r="N52" s="11">
        <v>124.1</v>
      </c>
      <c r="O52" s="11">
        <v>124.4</v>
      </c>
      <c r="P52" s="11">
        <v>124.6</v>
      </c>
      <c r="Q52" s="11">
        <v>125</v>
      </c>
      <c r="R52" s="11">
        <v>125.6</v>
      </c>
      <c r="S52" s="11">
        <v>125.9</v>
      </c>
      <c r="T52" s="11">
        <v>126.1</v>
      </c>
      <c r="U52" s="11">
        <v>124</v>
      </c>
      <c r="V52" s="11">
        <v>122.7</v>
      </c>
      <c r="W52" s="11">
        <v>125.3</v>
      </c>
      <c r="AA52" s="19">
        <v>6242</v>
      </c>
      <c r="AB52">
        <v>12</v>
      </c>
    </row>
    <row r="53" spans="1:28">
      <c r="A53">
        <v>1996</v>
      </c>
      <c r="B53">
        <f t="shared" si="0"/>
        <v>156.9</v>
      </c>
      <c r="H53" s="10">
        <v>1990</v>
      </c>
      <c r="I53" s="12">
        <v>127.4</v>
      </c>
      <c r="J53" s="12">
        <v>128</v>
      </c>
      <c r="K53" s="12">
        <v>128.69999999999999</v>
      </c>
      <c r="L53" s="12">
        <v>128.9</v>
      </c>
      <c r="M53" s="12">
        <v>129.19999999999999</v>
      </c>
      <c r="N53" s="12">
        <v>129.9</v>
      </c>
      <c r="O53" s="12">
        <v>130.4</v>
      </c>
      <c r="P53" s="12">
        <v>131.6</v>
      </c>
      <c r="Q53" s="12">
        <v>132.69999999999999</v>
      </c>
      <c r="R53" s="12">
        <v>133.5</v>
      </c>
      <c r="S53" s="12">
        <v>133.80000000000001</v>
      </c>
      <c r="T53" s="12">
        <v>133.80000000000001</v>
      </c>
      <c r="U53" s="12">
        <v>130.69999999999999</v>
      </c>
      <c r="V53" s="12">
        <v>128.69999999999999</v>
      </c>
      <c r="W53" s="12">
        <v>132.6</v>
      </c>
      <c r="AA53" s="19">
        <v>6270</v>
      </c>
      <c r="AB53">
        <v>12</v>
      </c>
    </row>
    <row r="54" spans="1:28">
      <c r="A54">
        <v>1997</v>
      </c>
      <c r="B54">
        <f t="shared" si="0"/>
        <v>160.5</v>
      </c>
      <c r="H54" s="10">
        <v>1991</v>
      </c>
      <c r="I54" s="11">
        <v>134.6</v>
      </c>
      <c r="J54" s="11">
        <v>134.80000000000001</v>
      </c>
      <c r="K54" s="11">
        <v>135</v>
      </c>
      <c r="L54" s="11">
        <v>135.19999999999999</v>
      </c>
      <c r="M54" s="11">
        <v>135.6</v>
      </c>
      <c r="N54" s="11">
        <v>136</v>
      </c>
      <c r="O54" s="11">
        <v>136.19999999999999</v>
      </c>
      <c r="P54" s="11">
        <v>136.6</v>
      </c>
      <c r="Q54" s="11">
        <v>137.19999999999999</v>
      </c>
      <c r="R54" s="11">
        <v>137.4</v>
      </c>
      <c r="S54" s="11">
        <v>137.80000000000001</v>
      </c>
      <c r="T54" s="11">
        <v>137.9</v>
      </c>
      <c r="U54" s="11">
        <v>136.19999999999999</v>
      </c>
      <c r="V54" s="11">
        <v>135.19999999999999</v>
      </c>
      <c r="W54" s="11">
        <v>137.19999999999999</v>
      </c>
      <c r="AA54" s="19">
        <v>6301</v>
      </c>
      <c r="AB54">
        <v>12.6</v>
      </c>
    </row>
    <row r="55" spans="1:28">
      <c r="A55">
        <v>1998</v>
      </c>
      <c r="B55">
        <f t="shared" si="0"/>
        <v>163</v>
      </c>
      <c r="H55" s="10">
        <v>1992</v>
      </c>
      <c r="I55" s="12">
        <v>138.1</v>
      </c>
      <c r="J55" s="12">
        <v>138.6</v>
      </c>
      <c r="K55" s="12">
        <v>139.30000000000001</v>
      </c>
      <c r="L55" s="12">
        <v>139.5</v>
      </c>
      <c r="M55" s="12">
        <v>139.69999999999999</v>
      </c>
      <c r="N55" s="12">
        <v>140.19999999999999</v>
      </c>
      <c r="O55" s="12">
        <v>140.5</v>
      </c>
      <c r="P55" s="12">
        <v>140.9</v>
      </c>
      <c r="Q55" s="12">
        <v>141.30000000000001</v>
      </c>
      <c r="R55" s="12">
        <v>141.80000000000001</v>
      </c>
      <c r="S55" s="12">
        <v>142</v>
      </c>
      <c r="T55" s="12">
        <v>141.9</v>
      </c>
      <c r="U55" s="12">
        <v>140.30000000000001</v>
      </c>
      <c r="V55" s="12">
        <v>139.19999999999999</v>
      </c>
      <c r="W55" s="12">
        <v>141.4</v>
      </c>
      <c r="AA55" s="19">
        <v>6331</v>
      </c>
      <c r="AB55">
        <v>12.8</v>
      </c>
    </row>
    <row r="56" spans="1:28">
      <c r="A56">
        <v>1999</v>
      </c>
      <c r="B56">
        <f t="shared" si="0"/>
        <v>166.6</v>
      </c>
      <c r="H56" s="10">
        <v>1993</v>
      </c>
      <c r="I56" s="11">
        <v>142.6</v>
      </c>
      <c r="J56" s="11">
        <v>143.1</v>
      </c>
      <c r="K56" s="11">
        <v>143.6</v>
      </c>
      <c r="L56" s="11">
        <v>144</v>
      </c>
      <c r="M56" s="11">
        <v>144.19999999999999</v>
      </c>
      <c r="N56" s="11">
        <v>144.4</v>
      </c>
      <c r="O56" s="11">
        <v>144.4</v>
      </c>
      <c r="P56" s="11">
        <v>144.80000000000001</v>
      </c>
      <c r="Q56" s="11">
        <v>145.1</v>
      </c>
      <c r="R56" s="11">
        <v>145.69999999999999</v>
      </c>
      <c r="S56" s="11">
        <v>145.80000000000001</v>
      </c>
      <c r="T56" s="11">
        <v>145.80000000000001</v>
      </c>
      <c r="U56" s="11">
        <v>144.5</v>
      </c>
      <c r="V56" s="11">
        <v>143.69999999999999</v>
      </c>
      <c r="W56" s="11">
        <v>145.30000000000001</v>
      </c>
      <c r="AA56" s="19">
        <v>6362</v>
      </c>
      <c r="AB56">
        <v>13</v>
      </c>
    </row>
    <row r="57" spans="1:28">
      <c r="A57">
        <v>2000</v>
      </c>
      <c r="B57">
        <f t="shared" si="0"/>
        <v>172.2</v>
      </c>
      <c r="H57" s="10">
        <v>1994</v>
      </c>
      <c r="I57" s="12">
        <v>146.19999999999999</v>
      </c>
      <c r="J57" s="12">
        <v>146.69999999999999</v>
      </c>
      <c r="K57" s="12">
        <v>147.19999999999999</v>
      </c>
      <c r="L57" s="12">
        <v>147.4</v>
      </c>
      <c r="M57" s="12">
        <v>147.5</v>
      </c>
      <c r="N57" s="12">
        <v>148</v>
      </c>
      <c r="O57" s="12">
        <v>148.4</v>
      </c>
      <c r="P57" s="12">
        <v>149</v>
      </c>
      <c r="Q57" s="12">
        <v>149.4</v>
      </c>
      <c r="R57" s="12">
        <v>149.5</v>
      </c>
      <c r="S57" s="12">
        <v>149.69999999999999</v>
      </c>
      <c r="T57" s="12">
        <v>149.69999999999999</v>
      </c>
      <c r="U57" s="12">
        <v>148.19999999999999</v>
      </c>
      <c r="V57" s="12">
        <v>147.19999999999999</v>
      </c>
      <c r="W57" s="12">
        <v>149.30000000000001</v>
      </c>
      <c r="AA57" s="19">
        <v>6392</v>
      </c>
      <c r="AB57">
        <v>12.8</v>
      </c>
    </row>
    <row r="58" spans="1:28">
      <c r="A58">
        <v>2001</v>
      </c>
      <c r="B58">
        <f t="shared" si="0"/>
        <v>177.1</v>
      </c>
      <c r="H58" s="10">
        <v>1995</v>
      </c>
      <c r="I58" s="11">
        <v>150.30000000000001</v>
      </c>
      <c r="J58" s="11">
        <v>150.9</v>
      </c>
      <c r="K58" s="11">
        <v>151.4</v>
      </c>
      <c r="L58" s="11">
        <v>151.9</v>
      </c>
      <c r="M58" s="11">
        <v>152.19999999999999</v>
      </c>
      <c r="N58" s="11">
        <v>152.5</v>
      </c>
      <c r="O58" s="11">
        <v>152.5</v>
      </c>
      <c r="P58" s="11">
        <v>152.9</v>
      </c>
      <c r="Q58" s="11">
        <v>153.19999999999999</v>
      </c>
      <c r="R58" s="11">
        <v>153.69999999999999</v>
      </c>
      <c r="S58" s="11">
        <v>153.6</v>
      </c>
      <c r="T58" s="11">
        <v>153.5</v>
      </c>
      <c r="U58" s="11">
        <v>152.4</v>
      </c>
      <c r="V58" s="11">
        <v>151.5</v>
      </c>
      <c r="W58" s="11">
        <v>153.19999999999999</v>
      </c>
      <c r="AA58" s="19">
        <v>6423</v>
      </c>
      <c r="AB58">
        <v>13</v>
      </c>
    </row>
    <row r="59" spans="1:28">
      <c r="A59">
        <v>2002</v>
      </c>
      <c r="B59">
        <f t="shared" si="0"/>
        <v>179.9</v>
      </c>
      <c r="H59" s="10">
        <v>1996</v>
      </c>
      <c r="I59" s="12">
        <v>154.4</v>
      </c>
      <c r="J59" s="12">
        <v>154.9</v>
      </c>
      <c r="K59" s="12">
        <v>155.69999999999999</v>
      </c>
      <c r="L59" s="12">
        <v>156.30000000000001</v>
      </c>
      <c r="M59" s="12">
        <v>156.6</v>
      </c>
      <c r="N59" s="12">
        <v>156.69999999999999</v>
      </c>
      <c r="O59" s="12">
        <v>157</v>
      </c>
      <c r="P59" s="12">
        <v>157.30000000000001</v>
      </c>
      <c r="Q59" s="12">
        <v>157.80000000000001</v>
      </c>
      <c r="R59" s="12">
        <v>158.30000000000001</v>
      </c>
      <c r="S59" s="12">
        <v>158.6</v>
      </c>
      <c r="T59" s="12">
        <v>158.6</v>
      </c>
      <c r="U59" s="12">
        <v>156.9</v>
      </c>
      <c r="V59" s="12">
        <v>155.80000000000001</v>
      </c>
      <c r="W59" s="12">
        <v>157.9</v>
      </c>
      <c r="AA59" s="19">
        <v>6454</v>
      </c>
      <c r="AB59">
        <v>13.3</v>
      </c>
    </row>
    <row r="60" spans="1:28">
      <c r="A60">
        <v>2003</v>
      </c>
      <c r="B60">
        <f t="shared" si="0"/>
        <v>184</v>
      </c>
      <c r="H60" s="10">
        <v>1997</v>
      </c>
      <c r="I60" s="11">
        <v>159.1</v>
      </c>
      <c r="J60" s="11">
        <v>159.6</v>
      </c>
      <c r="K60" s="11">
        <v>160</v>
      </c>
      <c r="L60" s="11">
        <v>160.19999999999999</v>
      </c>
      <c r="M60" s="11">
        <v>160.1</v>
      </c>
      <c r="N60" s="11">
        <v>160.30000000000001</v>
      </c>
      <c r="O60" s="11">
        <v>160.5</v>
      </c>
      <c r="P60" s="11">
        <v>160.80000000000001</v>
      </c>
      <c r="Q60" s="11">
        <v>161.19999999999999</v>
      </c>
      <c r="R60" s="11">
        <v>161.6</v>
      </c>
      <c r="S60" s="11">
        <v>161.5</v>
      </c>
      <c r="T60" s="11">
        <v>161.30000000000001</v>
      </c>
      <c r="U60" s="11">
        <v>160.5</v>
      </c>
      <c r="V60" s="11">
        <v>159.9</v>
      </c>
      <c r="W60" s="11">
        <v>161.19999999999999</v>
      </c>
      <c r="AA60" s="19">
        <v>6484</v>
      </c>
      <c r="AB60">
        <v>13.5</v>
      </c>
    </row>
    <row r="61" spans="1:28">
      <c r="A61">
        <v>2004</v>
      </c>
      <c r="B61">
        <f t="shared" si="0"/>
        <v>188.9</v>
      </c>
      <c r="H61" s="10">
        <v>1998</v>
      </c>
      <c r="I61" s="12">
        <v>161.6</v>
      </c>
      <c r="J61" s="12">
        <v>161.9</v>
      </c>
      <c r="K61" s="12">
        <v>162.19999999999999</v>
      </c>
      <c r="L61" s="12">
        <v>162.5</v>
      </c>
      <c r="M61" s="12">
        <v>162.80000000000001</v>
      </c>
      <c r="N61" s="12">
        <v>163</v>
      </c>
      <c r="O61" s="12">
        <v>163.19999999999999</v>
      </c>
      <c r="P61" s="12">
        <v>163.4</v>
      </c>
      <c r="Q61" s="12">
        <v>163.6</v>
      </c>
      <c r="R61" s="12">
        <v>164</v>
      </c>
      <c r="S61" s="12">
        <v>164</v>
      </c>
      <c r="T61" s="12">
        <v>163.9</v>
      </c>
      <c r="U61" s="12">
        <v>163</v>
      </c>
      <c r="V61" s="12">
        <v>162.30000000000001</v>
      </c>
      <c r="W61" s="12">
        <v>163.69999999999999</v>
      </c>
      <c r="AA61" s="19">
        <v>6515</v>
      </c>
      <c r="AB61">
        <v>13.5</v>
      </c>
    </row>
    <row r="62" spans="1:28">
      <c r="A62">
        <v>2005</v>
      </c>
      <c r="B62">
        <f>+U68</f>
        <v>195.3</v>
      </c>
      <c r="H62" s="10">
        <v>1999</v>
      </c>
      <c r="I62" s="11">
        <v>164.3</v>
      </c>
      <c r="J62" s="11">
        <v>164.5</v>
      </c>
      <c r="K62" s="11">
        <v>165</v>
      </c>
      <c r="L62" s="11">
        <v>166.2</v>
      </c>
      <c r="M62" s="11">
        <v>166.2</v>
      </c>
      <c r="N62" s="11">
        <v>166.2</v>
      </c>
      <c r="O62" s="11">
        <v>166.7</v>
      </c>
      <c r="P62" s="11">
        <v>167.1</v>
      </c>
      <c r="Q62" s="11">
        <v>167.9</v>
      </c>
      <c r="R62" s="11">
        <v>168.2</v>
      </c>
      <c r="S62" s="11">
        <v>168.3</v>
      </c>
      <c r="T62" s="11">
        <v>168.3</v>
      </c>
      <c r="U62" s="11">
        <v>166.6</v>
      </c>
      <c r="V62" s="11">
        <v>165.4</v>
      </c>
      <c r="W62" s="11">
        <v>167.8</v>
      </c>
      <c r="AA62" s="19">
        <v>6545</v>
      </c>
      <c r="AB62">
        <v>13.7</v>
      </c>
    </row>
    <row r="63" spans="1:28">
      <c r="A63">
        <f t="shared" ref="A63:A68" si="1">+A62+1</f>
        <v>2006</v>
      </c>
      <c r="B63" s="20">
        <f>+AVERAGE(I81:T81)</f>
        <v>201.5916666666667</v>
      </c>
      <c r="H63" s="10">
        <v>2000</v>
      </c>
      <c r="I63" s="12">
        <v>168.8</v>
      </c>
      <c r="J63" s="12">
        <v>169.8</v>
      </c>
      <c r="K63" s="12">
        <v>171.2</v>
      </c>
      <c r="L63" s="12">
        <v>171.3</v>
      </c>
      <c r="M63" s="12">
        <v>171.5</v>
      </c>
      <c r="N63" s="12">
        <v>172.4</v>
      </c>
      <c r="O63" s="12">
        <v>172.8</v>
      </c>
      <c r="P63" s="12">
        <v>172.8</v>
      </c>
      <c r="Q63" s="12">
        <v>173.7</v>
      </c>
      <c r="R63" s="12">
        <v>174</v>
      </c>
      <c r="S63" s="12">
        <v>174.1</v>
      </c>
      <c r="T63" s="12">
        <v>174</v>
      </c>
      <c r="U63" s="12">
        <v>172.2</v>
      </c>
      <c r="V63" s="12">
        <v>170.8</v>
      </c>
      <c r="W63" s="12">
        <v>173.6</v>
      </c>
      <c r="AA63" s="19">
        <v>6576</v>
      </c>
      <c r="AB63">
        <v>14</v>
      </c>
    </row>
    <row r="64" spans="1:28">
      <c r="A64">
        <f t="shared" si="1"/>
        <v>2007</v>
      </c>
      <c r="B64" s="20">
        <f>+AVERAGE(I82:T82)</f>
        <v>207.34241666666671</v>
      </c>
      <c r="H64" s="10">
        <v>2001</v>
      </c>
      <c r="I64" s="11">
        <v>175.1</v>
      </c>
      <c r="J64" s="11">
        <v>175.8</v>
      </c>
      <c r="K64" s="11">
        <v>176.2</v>
      </c>
      <c r="L64" s="11">
        <v>176.9</v>
      </c>
      <c r="M64" s="11">
        <v>177.7</v>
      </c>
      <c r="N64" s="11">
        <v>178</v>
      </c>
      <c r="O64" s="11">
        <v>177.5</v>
      </c>
      <c r="P64" s="11">
        <v>177.5</v>
      </c>
      <c r="Q64" s="11">
        <v>178.3</v>
      </c>
      <c r="R64" s="11">
        <v>177.7</v>
      </c>
      <c r="S64" s="11">
        <v>177.4</v>
      </c>
      <c r="T64" s="11">
        <v>176.7</v>
      </c>
      <c r="U64" s="11">
        <v>177.1</v>
      </c>
      <c r="V64" s="11">
        <v>176.6</v>
      </c>
      <c r="W64" s="11">
        <v>177.5</v>
      </c>
      <c r="AA64" s="19">
        <v>6607</v>
      </c>
      <c r="AB64">
        <v>14.1</v>
      </c>
    </row>
    <row r="65" spans="1:28">
      <c r="A65">
        <f t="shared" si="1"/>
        <v>2008</v>
      </c>
      <c r="B65" s="20">
        <f>+AVERAGE(I83:T83)</f>
        <v>215.30250000000001</v>
      </c>
      <c r="H65" s="10">
        <v>2002</v>
      </c>
      <c r="I65" s="12">
        <v>177.1</v>
      </c>
      <c r="J65" s="12">
        <v>177.8</v>
      </c>
      <c r="K65" s="12">
        <v>178.8</v>
      </c>
      <c r="L65" s="12">
        <v>179.8</v>
      </c>
      <c r="M65" s="12">
        <v>179.8</v>
      </c>
      <c r="N65" s="12">
        <v>179.9</v>
      </c>
      <c r="O65" s="12">
        <v>180.1</v>
      </c>
      <c r="P65" s="12">
        <v>180.7</v>
      </c>
      <c r="Q65" s="12">
        <v>181</v>
      </c>
      <c r="R65" s="12">
        <v>181.3</v>
      </c>
      <c r="S65" s="12">
        <v>181.3</v>
      </c>
      <c r="T65" s="12">
        <v>180.9</v>
      </c>
      <c r="U65" s="12">
        <v>179.9</v>
      </c>
      <c r="V65" s="12">
        <v>178.9</v>
      </c>
      <c r="W65" s="12">
        <v>180.9</v>
      </c>
      <c r="AA65" s="19">
        <v>6635</v>
      </c>
      <c r="AB65">
        <v>14</v>
      </c>
    </row>
    <row r="66" spans="1:28">
      <c r="A66">
        <f t="shared" si="1"/>
        <v>2009</v>
      </c>
      <c r="B66" s="20">
        <f t="shared" ref="B66:B69" si="2">+AVERAGE(I84:T84)</f>
        <v>214.53700000000001</v>
      </c>
      <c r="H66" s="10">
        <v>2003</v>
      </c>
      <c r="I66" s="11">
        <v>181.7</v>
      </c>
      <c r="J66" s="11">
        <v>183.1</v>
      </c>
      <c r="K66" s="11">
        <v>184.2</v>
      </c>
      <c r="L66" s="11">
        <v>183.8</v>
      </c>
      <c r="M66" s="11">
        <v>183.5</v>
      </c>
      <c r="N66" s="11">
        <v>183.7</v>
      </c>
      <c r="O66" s="11">
        <v>183.9</v>
      </c>
      <c r="P66" s="11">
        <v>184.6</v>
      </c>
      <c r="Q66" s="11">
        <v>185.2</v>
      </c>
      <c r="R66" s="11">
        <v>185</v>
      </c>
      <c r="S66" s="11">
        <v>184.5</v>
      </c>
      <c r="T66" s="11">
        <v>184.3</v>
      </c>
      <c r="U66" s="11">
        <v>184</v>
      </c>
      <c r="V66" s="11">
        <v>183.3</v>
      </c>
      <c r="W66" s="11">
        <v>184.6</v>
      </c>
      <c r="AA66" s="19">
        <v>6666</v>
      </c>
      <c r="AB66">
        <v>14.2</v>
      </c>
    </row>
    <row r="67" spans="1:28">
      <c r="A67">
        <f t="shared" si="1"/>
        <v>2010</v>
      </c>
      <c r="B67" s="20">
        <f t="shared" si="2"/>
        <v>218.05550000000002</v>
      </c>
      <c r="H67" s="10">
        <v>2004</v>
      </c>
      <c r="I67" s="12">
        <v>185.2</v>
      </c>
      <c r="J67" s="12">
        <v>186.2</v>
      </c>
      <c r="K67" s="12">
        <v>187.4</v>
      </c>
      <c r="L67" s="12">
        <v>188</v>
      </c>
      <c r="M67" s="12">
        <v>189.1</v>
      </c>
      <c r="N67" s="12">
        <v>189.7</v>
      </c>
      <c r="O67" s="12">
        <v>189.4</v>
      </c>
      <c r="P67" s="12">
        <v>189.5</v>
      </c>
      <c r="Q67" s="12">
        <v>189.9</v>
      </c>
      <c r="R67" s="12">
        <v>190.9</v>
      </c>
      <c r="S67" s="12">
        <v>191</v>
      </c>
      <c r="T67" s="12">
        <v>190.3</v>
      </c>
      <c r="U67" s="12">
        <v>188.9</v>
      </c>
      <c r="V67" s="12">
        <v>187.6</v>
      </c>
      <c r="W67" s="12">
        <v>190.2</v>
      </c>
      <c r="AA67" s="19">
        <v>6696</v>
      </c>
      <c r="AB67">
        <v>14.5</v>
      </c>
    </row>
    <row r="68" spans="1:28">
      <c r="A68">
        <f t="shared" si="1"/>
        <v>2011</v>
      </c>
      <c r="B68" s="20">
        <f t="shared" si="2"/>
        <v>224.93916666666667</v>
      </c>
      <c r="H68" s="10">
        <v>2005</v>
      </c>
      <c r="I68" s="11">
        <v>190.7</v>
      </c>
      <c r="J68" s="11">
        <v>191.8</v>
      </c>
      <c r="K68" s="11">
        <v>193.3</v>
      </c>
      <c r="L68" s="11">
        <v>194.6</v>
      </c>
      <c r="M68" s="11">
        <v>194.4</v>
      </c>
      <c r="N68" s="11">
        <v>194.5</v>
      </c>
      <c r="O68" s="11">
        <v>195.4</v>
      </c>
      <c r="P68" s="11">
        <v>196.4</v>
      </c>
      <c r="Q68" s="11">
        <v>198.8</v>
      </c>
      <c r="R68" s="11">
        <v>199.2</v>
      </c>
      <c r="S68" s="11">
        <v>197.6</v>
      </c>
      <c r="T68" s="11">
        <v>196.8</v>
      </c>
      <c r="U68" s="11">
        <v>195.3</v>
      </c>
      <c r="V68" s="11">
        <v>193.2</v>
      </c>
      <c r="W68" s="11">
        <v>197.4</v>
      </c>
      <c r="AA68" s="19">
        <v>6727</v>
      </c>
      <c r="AB68">
        <v>14.7</v>
      </c>
    </row>
    <row r="69" spans="1:28">
      <c r="A69">
        <v>2012</v>
      </c>
      <c r="B69" s="20">
        <f t="shared" si="2"/>
        <v>229.5939166666667</v>
      </c>
      <c r="AA69" s="19">
        <v>6757</v>
      </c>
      <c r="AB69">
        <v>15.1</v>
      </c>
    </row>
    <row r="70" spans="1:28" ht="15.75">
      <c r="A70">
        <v>2013</v>
      </c>
      <c r="B70" s="20">
        <f>+AVERAGE(I88:T88)</f>
        <v>232.95708333333332</v>
      </c>
      <c r="H70" s="54" t="s">
        <v>80</v>
      </c>
      <c r="I70" s="49"/>
      <c r="J70" s="49"/>
      <c r="K70" s="49"/>
      <c r="L70" s="49"/>
      <c r="M70" s="49"/>
      <c r="AA70" s="19">
        <v>6788</v>
      </c>
      <c r="AB70">
        <v>15.4</v>
      </c>
    </row>
    <row r="71" spans="1:28" ht="15.75">
      <c r="A71">
        <f>+A70+1</f>
        <v>2014</v>
      </c>
      <c r="B71" s="20">
        <f>+AVERAGE(I89:T89)</f>
        <v>236.73616666666666</v>
      </c>
      <c r="H71" s="54" t="s">
        <v>81</v>
      </c>
      <c r="I71" s="49"/>
      <c r="J71" s="49"/>
      <c r="K71" s="49"/>
      <c r="L71" s="49"/>
      <c r="M71" s="49"/>
      <c r="AA71" s="19">
        <v>6819</v>
      </c>
      <c r="AB71">
        <v>15.7</v>
      </c>
    </row>
    <row r="72" spans="1:28">
      <c r="A72">
        <f>+A71+1</f>
        <v>2015</v>
      </c>
      <c r="B72" s="20">
        <f>+AVERAGE(I90:T90)</f>
        <v>237.01700000000002</v>
      </c>
      <c r="H72" s="49"/>
      <c r="I72" s="49"/>
      <c r="J72" s="49"/>
      <c r="K72" s="49"/>
      <c r="L72" s="49"/>
      <c r="M72" s="49"/>
      <c r="AA72" s="19">
        <v>6849</v>
      </c>
      <c r="AB72">
        <v>16</v>
      </c>
    </row>
    <row r="73" spans="1:28" ht="25.5">
      <c r="A73">
        <f t="shared" ref="A73:A74" si="3">+A72+1</f>
        <v>2016</v>
      </c>
      <c r="B73" s="20">
        <f t="shared" ref="B73" si="4">+AVERAGE(I91:T91)</f>
        <v>240.00716666666662</v>
      </c>
      <c r="H73" s="32" t="s">
        <v>82</v>
      </c>
      <c r="I73" s="48" t="s">
        <v>83</v>
      </c>
      <c r="J73" s="49"/>
      <c r="K73" s="49"/>
      <c r="L73" s="49"/>
      <c r="M73" s="49"/>
      <c r="AA73" s="19">
        <v>6880</v>
      </c>
      <c r="AB73">
        <v>16.3</v>
      </c>
    </row>
    <row r="74" spans="1:28">
      <c r="A74">
        <f t="shared" si="3"/>
        <v>2017</v>
      </c>
      <c r="B74" s="20">
        <f>U92</f>
        <v>245.12</v>
      </c>
      <c r="H74" s="55" t="s">
        <v>17</v>
      </c>
      <c r="I74" s="49"/>
      <c r="J74" s="49"/>
      <c r="K74" s="49"/>
      <c r="L74" s="49"/>
      <c r="M74" s="49"/>
      <c r="AA74" s="19">
        <v>6910</v>
      </c>
      <c r="AB74">
        <v>16.5</v>
      </c>
    </row>
    <row r="75" spans="1:28" ht="12.75" customHeight="1">
      <c r="A75">
        <f>+A74+1</f>
        <v>2018</v>
      </c>
      <c r="B75" s="20">
        <f>U93</f>
        <v>251.107</v>
      </c>
      <c r="H75" s="32" t="s">
        <v>84</v>
      </c>
      <c r="I75" s="48" t="s">
        <v>85</v>
      </c>
      <c r="J75" s="49"/>
      <c r="K75" s="49"/>
      <c r="L75" s="49"/>
      <c r="M75" s="49"/>
      <c r="AA75" s="19">
        <v>6941</v>
      </c>
      <c r="AB75">
        <v>16.5</v>
      </c>
    </row>
    <row r="76" spans="1:28" ht="12.75" customHeight="1">
      <c r="A76">
        <f>+A75+1</f>
        <v>2019</v>
      </c>
      <c r="B76" s="20">
        <f>U94</f>
        <v>255.65700000000001</v>
      </c>
      <c r="H76" s="32" t="s">
        <v>86</v>
      </c>
      <c r="I76" s="48" t="s">
        <v>87</v>
      </c>
      <c r="J76" s="49"/>
      <c r="K76" s="49"/>
      <c r="L76" s="49"/>
      <c r="M76" s="49"/>
      <c r="AA76" s="19">
        <v>6972</v>
      </c>
      <c r="AB76">
        <v>16.2</v>
      </c>
    </row>
    <row r="77" spans="1:28" ht="25.5">
      <c r="A77">
        <f>+A76+1</f>
        <v>2020</v>
      </c>
      <c r="B77" s="20">
        <f>U95</f>
        <v>258.81099999999998</v>
      </c>
      <c r="H77" s="32" t="s">
        <v>88</v>
      </c>
      <c r="I77" s="48" t="s">
        <v>89</v>
      </c>
      <c r="J77" s="49"/>
      <c r="K77" s="49"/>
      <c r="L77" s="49"/>
      <c r="M77" s="49"/>
      <c r="AA77" s="19">
        <v>7000</v>
      </c>
      <c r="AB77">
        <v>16.399999999999999</v>
      </c>
    </row>
    <row r="78" spans="1:28">
      <c r="A78">
        <f>+A77+1</f>
        <v>2021</v>
      </c>
      <c r="B78" s="20">
        <f>U96</f>
        <v>270.96975000000003</v>
      </c>
      <c r="H78" s="32" t="s">
        <v>90</v>
      </c>
      <c r="I78" s="50" t="s">
        <v>92</v>
      </c>
      <c r="J78" s="49"/>
      <c r="K78" s="49"/>
      <c r="L78" s="49"/>
      <c r="M78" s="49"/>
      <c r="AA78" s="19">
        <v>7031</v>
      </c>
      <c r="AB78">
        <v>16.7</v>
      </c>
    </row>
    <row r="79" spans="1:28">
      <c r="A79">
        <v>2022</v>
      </c>
      <c r="B79" s="20">
        <f>U97</f>
        <v>292.65499999999997</v>
      </c>
      <c r="AA79" s="19">
        <v>7061</v>
      </c>
      <c r="AB79">
        <v>16.899999999999999</v>
      </c>
    </row>
    <row r="80" spans="1:28" ht="13.5" thickBot="1">
      <c r="H80" s="33" t="s">
        <v>0</v>
      </c>
      <c r="I80" s="33" t="s">
        <v>21</v>
      </c>
      <c r="J80" s="33" t="s">
        <v>22</v>
      </c>
      <c r="K80" s="33" t="s">
        <v>23</v>
      </c>
      <c r="L80" s="33" t="s">
        <v>24</v>
      </c>
      <c r="M80" s="33" t="s">
        <v>25</v>
      </c>
      <c r="N80" s="33" t="s">
        <v>26</v>
      </c>
      <c r="O80" s="33" t="s">
        <v>27</v>
      </c>
      <c r="P80" s="33" t="s">
        <v>28</v>
      </c>
      <c r="Q80" s="33" t="s">
        <v>29</v>
      </c>
      <c r="R80" s="33" t="s">
        <v>30</v>
      </c>
      <c r="S80" s="33" t="s">
        <v>31</v>
      </c>
      <c r="T80" s="33" t="s">
        <v>32</v>
      </c>
      <c r="U80" s="33" t="s">
        <v>33</v>
      </c>
      <c r="V80" s="33" t="s">
        <v>34</v>
      </c>
      <c r="W80" s="33" t="s">
        <v>35</v>
      </c>
      <c r="AA80" s="19">
        <v>7092</v>
      </c>
      <c r="AB80">
        <v>16.899999999999999</v>
      </c>
    </row>
    <row r="81" spans="8:28" ht="13.5" thickTop="1">
      <c r="H81">
        <v>2006</v>
      </c>
      <c r="I81">
        <v>198.3</v>
      </c>
      <c r="J81">
        <v>198.7</v>
      </c>
      <c r="K81">
        <v>199.8</v>
      </c>
      <c r="L81">
        <v>201.5</v>
      </c>
      <c r="M81">
        <v>202.5</v>
      </c>
      <c r="N81">
        <v>202.9</v>
      </c>
      <c r="O81">
        <v>203.5</v>
      </c>
      <c r="P81">
        <v>203.9</v>
      </c>
      <c r="Q81">
        <v>202.9</v>
      </c>
      <c r="R81">
        <v>201.8</v>
      </c>
      <c r="S81">
        <v>201.5</v>
      </c>
      <c r="T81">
        <v>201.8</v>
      </c>
      <c r="U81">
        <v>201.6</v>
      </c>
      <c r="V81">
        <v>200.6</v>
      </c>
      <c r="W81">
        <v>202.6</v>
      </c>
      <c r="AA81" s="19">
        <v>7122</v>
      </c>
      <c r="AB81">
        <v>17.399999999999999</v>
      </c>
    </row>
    <row r="82" spans="8:28">
      <c r="H82">
        <v>2007</v>
      </c>
      <c r="I82">
        <v>202.416</v>
      </c>
      <c r="J82">
        <v>203.499</v>
      </c>
      <c r="K82">
        <v>205.352</v>
      </c>
      <c r="L82">
        <v>206.68600000000001</v>
      </c>
      <c r="M82">
        <v>207.94900000000001</v>
      </c>
      <c r="N82">
        <v>208.352</v>
      </c>
      <c r="O82">
        <v>208.29900000000001</v>
      </c>
      <c r="P82">
        <v>207.917</v>
      </c>
      <c r="Q82">
        <v>208.49</v>
      </c>
      <c r="R82">
        <v>208.93600000000001</v>
      </c>
      <c r="S82">
        <v>210.17699999999999</v>
      </c>
      <c r="T82">
        <v>210.036</v>
      </c>
      <c r="U82">
        <v>207.34200000000001</v>
      </c>
      <c r="V82">
        <v>205.709</v>
      </c>
      <c r="W82">
        <v>208.976</v>
      </c>
      <c r="AA82" s="19">
        <v>7153</v>
      </c>
      <c r="AB82">
        <v>17.7</v>
      </c>
    </row>
    <row r="83" spans="8:28">
      <c r="H83">
        <v>2008</v>
      </c>
      <c r="I83">
        <v>211.08</v>
      </c>
      <c r="J83">
        <v>211.69300000000001</v>
      </c>
      <c r="K83">
        <v>213.52799999999999</v>
      </c>
      <c r="L83">
        <v>214.82300000000001</v>
      </c>
      <c r="M83">
        <v>216.63200000000001</v>
      </c>
      <c r="N83">
        <v>218.815</v>
      </c>
      <c r="O83">
        <v>219.964</v>
      </c>
      <c r="P83">
        <v>219.08600000000001</v>
      </c>
      <c r="Q83">
        <v>218.78299999999999</v>
      </c>
      <c r="R83">
        <v>216.57300000000001</v>
      </c>
      <c r="S83">
        <v>212.42500000000001</v>
      </c>
      <c r="T83">
        <v>210.22800000000001</v>
      </c>
      <c r="U83">
        <v>215.303</v>
      </c>
      <c r="V83">
        <v>214.429</v>
      </c>
      <c r="W83">
        <v>216.17699999999999</v>
      </c>
      <c r="AA83" s="19">
        <v>7184</v>
      </c>
      <c r="AB83">
        <v>17.8</v>
      </c>
    </row>
    <row r="84" spans="8:28">
      <c r="H84">
        <v>2009</v>
      </c>
      <c r="I84">
        <v>211.143</v>
      </c>
      <c r="J84">
        <v>212.19300000000001</v>
      </c>
      <c r="K84">
        <v>212.709</v>
      </c>
      <c r="L84">
        <v>213.24</v>
      </c>
      <c r="M84">
        <v>213.85599999999999</v>
      </c>
      <c r="N84">
        <v>215.69300000000001</v>
      </c>
      <c r="O84">
        <v>215.351</v>
      </c>
      <c r="P84">
        <v>215.834</v>
      </c>
      <c r="Q84">
        <v>215.96899999999999</v>
      </c>
      <c r="R84">
        <v>216.17699999999999</v>
      </c>
      <c r="S84">
        <v>216.33</v>
      </c>
      <c r="T84">
        <v>215.94900000000001</v>
      </c>
      <c r="U84">
        <v>214.53700000000001</v>
      </c>
      <c r="V84">
        <v>213.13900000000001</v>
      </c>
      <c r="W84">
        <v>215.935</v>
      </c>
      <c r="AA84" s="19">
        <v>7214</v>
      </c>
      <c r="AB84">
        <v>18.100000000000001</v>
      </c>
    </row>
    <row r="85" spans="8:28">
      <c r="H85">
        <v>2010</v>
      </c>
      <c r="I85" s="44">
        <v>216.68700000000001</v>
      </c>
      <c r="J85" s="44">
        <v>216.74100000000001</v>
      </c>
      <c r="K85" s="44">
        <v>217.631</v>
      </c>
      <c r="L85" s="44">
        <v>218.00899999999999</v>
      </c>
      <c r="M85" s="44">
        <v>218.178</v>
      </c>
      <c r="N85" s="44">
        <v>217.965</v>
      </c>
      <c r="O85" s="44">
        <v>218.011</v>
      </c>
      <c r="P85" s="44">
        <v>218.31200000000001</v>
      </c>
      <c r="Q85" s="44">
        <v>218.43899999999999</v>
      </c>
      <c r="R85" s="44">
        <v>218.71100000000001</v>
      </c>
      <c r="S85" s="44">
        <v>218.803</v>
      </c>
      <c r="T85" s="44">
        <v>219.179</v>
      </c>
      <c r="U85" s="44">
        <v>218.05600000000001</v>
      </c>
      <c r="V85" s="44">
        <v>217.535</v>
      </c>
      <c r="W85" s="44">
        <v>218.57599999999999</v>
      </c>
      <c r="AA85" s="19">
        <v>7245</v>
      </c>
      <c r="AB85">
        <v>18.5</v>
      </c>
    </row>
    <row r="86" spans="8:28">
      <c r="H86">
        <v>2011</v>
      </c>
      <c r="I86" s="44">
        <v>220.22300000000001</v>
      </c>
      <c r="J86" s="44">
        <v>221.309</v>
      </c>
      <c r="K86" s="44">
        <v>223.46700000000001</v>
      </c>
      <c r="L86" s="44">
        <v>224.90600000000001</v>
      </c>
      <c r="M86" s="44">
        <v>225.964</v>
      </c>
      <c r="N86" s="44">
        <v>225.72200000000001</v>
      </c>
      <c r="O86" s="44">
        <v>225.922</v>
      </c>
      <c r="P86" s="44">
        <v>226.54499999999999</v>
      </c>
      <c r="Q86" s="44">
        <v>226.88900000000001</v>
      </c>
      <c r="R86" s="44">
        <v>226.42099999999999</v>
      </c>
      <c r="S86" s="44">
        <v>226.23</v>
      </c>
      <c r="T86" s="44">
        <v>225.672</v>
      </c>
      <c r="U86" s="44">
        <v>224.93899999999999</v>
      </c>
      <c r="V86" s="44">
        <v>223.59800000000001</v>
      </c>
      <c r="W86" s="44">
        <v>226.28</v>
      </c>
      <c r="AA86" s="19">
        <v>7275</v>
      </c>
      <c r="AB86">
        <v>18.899999999999999</v>
      </c>
    </row>
    <row r="87" spans="8:28">
      <c r="H87">
        <v>2012</v>
      </c>
      <c r="I87" s="44">
        <v>226.66499999999999</v>
      </c>
      <c r="J87" s="44">
        <v>227.66300000000001</v>
      </c>
      <c r="K87" s="44">
        <v>229.392</v>
      </c>
      <c r="L87" s="44">
        <v>230.08500000000001</v>
      </c>
      <c r="M87" s="44">
        <v>229.815</v>
      </c>
      <c r="N87" s="44">
        <v>229.47800000000001</v>
      </c>
      <c r="O87" s="44">
        <v>229.10400000000001</v>
      </c>
      <c r="P87" s="44">
        <v>230.37899999999999</v>
      </c>
      <c r="Q87" s="44">
        <v>231.40700000000001</v>
      </c>
      <c r="R87" s="44">
        <v>231.31700000000001</v>
      </c>
      <c r="S87" s="44">
        <v>230.221</v>
      </c>
      <c r="T87" s="44">
        <v>229.601</v>
      </c>
      <c r="U87" s="44">
        <v>229.59399999999999</v>
      </c>
      <c r="V87" s="44">
        <v>228.85</v>
      </c>
      <c r="W87" s="44">
        <v>230.33799999999999</v>
      </c>
      <c r="AA87" s="19">
        <v>7306</v>
      </c>
      <c r="AB87">
        <v>19.3</v>
      </c>
    </row>
    <row r="88" spans="8:28">
      <c r="H88">
        <v>2013</v>
      </c>
      <c r="I88" s="44">
        <v>230.28</v>
      </c>
      <c r="J88" s="44">
        <v>232.166</v>
      </c>
      <c r="K88" s="44">
        <v>232.773</v>
      </c>
      <c r="L88" s="44">
        <v>232.53100000000001</v>
      </c>
      <c r="M88" s="44">
        <v>232.94499999999999</v>
      </c>
      <c r="N88" s="44">
        <v>233.50399999999999</v>
      </c>
      <c r="O88" s="44">
        <v>233.596</v>
      </c>
      <c r="P88" s="44">
        <v>233.87700000000001</v>
      </c>
      <c r="Q88" s="44">
        <v>234.149</v>
      </c>
      <c r="R88" s="44">
        <v>233.54599999999999</v>
      </c>
      <c r="S88" s="44">
        <v>233.06899999999999</v>
      </c>
      <c r="T88" s="44">
        <v>233.04900000000001</v>
      </c>
      <c r="U88" s="44">
        <v>232.95699999999999</v>
      </c>
      <c r="V88" s="44">
        <v>232.36600000000001</v>
      </c>
      <c r="W88" s="44">
        <v>233.548</v>
      </c>
      <c r="AA88" s="19">
        <v>7337</v>
      </c>
      <c r="AB88">
        <v>19.5</v>
      </c>
    </row>
    <row r="89" spans="8:28">
      <c r="H89">
        <v>2014</v>
      </c>
      <c r="I89" s="44">
        <v>233.916</v>
      </c>
      <c r="J89" s="44">
        <v>234.78100000000001</v>
      </c>
      <c r="K89" s="44">
        <v>236.29300000000001</v>
      </c>
      <c r="L89" s="44">
        <v>237.072</v>
      </c>
      <c r="M89" s="44">
        <v>237.9</v>
      </c>
      <c r="N89" s="44">
        <v>238.34299999999999</v>
      </c>
      <c r="O89" s="44">
        <v>238.25</v>
      </c>
      <c r="P89" s="44">
        <v>237.852</v>
      </c>
      <c r="Q89" s="44">
        <v>238.03100000000001</v>
      </c>
      <c r="R89" s="44">
        <v>237.43299999999999</v>
      </c>
      <c r="S89" s="44">
        <v>236.15100000000001</v>
      </c>
      <c r="T89" s="44">
        <v>234.81200000000001</v>
      </c>
      <c r="U89" s="44">
        <v>236.73599999999999</v>
      </c>
      <c r="V89" s="44">
        <v>236.38399999999999</v>
      </c>
      <c r="W89" s="44">
        <v>237.08799999999999</v>
      </c>
      <c r="AA89" s="19">
        <v>7366</v>
      </c>
      <c r="AB89">
        <v>19.7</v>
      </c>
    </row>
    <row r="90" spans="8:28">
      <c r="H90">
        <v>2015</v>
      </c>
      <c r="I90" s="44">
        <v>233.70699999999999</v>
      </c>
      <c r="J90" s="44">
        <v>234.72200000000001</v>
      </c>
      <c r="K90" s="44">
        <v>236.119</v>
      </c>
      <c r="L90" s="44">
        <v>236.59899999999999</v>
      </c>
      <c r="M90" s="44">
        <v>237.80500000000001</v>
      </c>
      <c r="N90" s="44">
        <v>238.63800000000001</v>
      </c>
      <c r="O90" s="44">
        <v>238.654</v>
      </c>
      <c r="P90" s="44">
        <v>238.316</v>
      </c>
      <c r="Q90" s="44">
        <v>237.94499999999999</v>
      </c>
      <c r="R90" s="44">
        <v>237.83799999999999</v>
      </c>
      <c r="S90" s="44">
        <v>237.33600000000001</v>
      </c>
      <c r="T90" s="44">
        <v>236.52500000000001</v>
      </c>
      <c r="U90" s="44">
        <v>237.017</v>
      </c>
      <c r="V90" s="44">
        <v>236.26499999999999</v>
      </c>
      <c r="W90" s="44">
        <v>237.76900000000001</v>
      </c>
      <c r="AA90" s="19">
        <v>7397</v>
      </c>
      <c r="AB90">
        <v>20.3</v>
      </c>
    </row>
    <row r="91" spans="8:28">
      <c r="H91">
        <v>2016</v>
      </c>
      <c r="I91" s="44">
        <v>236.916</v>
      </c>
      <c r="J91" s="44">
        <v>237.11099999999999</v>
      </c>
      <c r="K91" s="44">
        <v>238.13200000000001</v>
      </c>
      <c r="L91" s="44">
        <v>239.261</v>
      </c>
      <c r="M91" s="44">
        <v>240.22900000000001</v>
      </c>
      <c r="N91" s="44">
        <v>241.018</v>
      </c>
      <c r="O91" s="44">
        <v>240.62799999999999</v>
      </c>
      <c r="P91" s="44">
        <v>240.84899999999999</v>
      </c>
      <c r="Q91" s="44">
        <v>241.428</v>
      </c>
      <c r="R91" s="44">
        <v>241.72900000000001</v>
      </c>
      <c r="S91" s="44">
        <v>241.35300000000001</v>
      </c>
      <c r="T91" s="44">
        <v>241.43199999999999</v>
      </c>
      <c r="U91" s="44">
        <v>240.00700000000001</v>
      </c>
      <c r="V91" s="44">
        <v>238.77799999999999</v>
      </c>
      <c r="W91" s="44">
        <v>241.23699999999999</v>
      </c>
      <c r="AA91" s="19">
        <v>7427</v>
      </c>
      <c r="AB91">
        <v>20.6</v>
      </c>
    </row>
    <row r="92" spans="8:28">
      <c r="H92">
        <v>2017</v>
      </c>
      <c r="I92" s="44">
        <v>242.839</v>
      </c>
      <c r="J92" s="44">
        <v>243.60300000000001</v>
      </c>
      <c r="K92" s="44">
        <v>243.80099999999999</v>
      </c>
      <c r="L92" s="44">
        <v>244.524</v>
      </c>
      <c r="M92" s="44">
        <v>244.733</v>
      </c>
      <c r="N92" s="44">
        <v>244.95500000000001</v>
      </c>
      <c r="O92" s="44">
        <v>244.786</v>
      </c>
      <c r="P92" s="44">
        <v>245.51900000000001</v>
      </c>
      <c r="Q92" s="44">
        <v>246.81899999999999</v>
      </c>
      <c r="R92" s="44">
        <v>246.66300000000001</v>
      </c>
      <c r="S92" s="44">
        <v>246.66900000000001</v>
      </c>
      <c r="T92" s="44">
        <v>246.524</v>
      </c>
      <c r="U92" s="44">
        <v>245.12</v>
      </c>
      <c r="V92" s="44">
        <v>244.07599999999999</v>
      </c>
      <c r="W92" s="44">
        <v>246.16300000000001</v>
      </c>
      <c r="AA92" s="19">
        <v>7458</v>
      </c>
      <c r="AB92">
        <v>20.9</v>
      </c>
    </row>
    <row r="93" spans="8:28">
      <c r="H93" s="40">
        <v>2018</v>
      </c>
      <c r="I93" s="44">
        <v>247.86699999999999</v>
      </c>
      <c r="J93" s="44">
        <v>248.99100000000001</v>
      </c>
      <c r="K93" s="44">
        <v>249.554</v>
      </c>
      <c r="L93" s="44">
        <v>250.54599999999999</v>
      </c>
      <c r="M93" s="44">
        <v>251.58799999999999</v>
      </c>
      <c r="N93" s="44">
        <v>251.989</v>
      </c>
      <c r="O93" s="44">
        <v>252.006</v>
      </c>
      <c r="P93" s="44">
        <v>252.14599999999999</v>
      </c>
      <c r="Q93" s="44">
        <v>252.43899999999999</v>
      </c>
      <c r="R93" s="44">
        <v>252.88499999999999</v>
      </c>
      <c r="S93" s="44">
        <v>252.03800000000001</v>
      </c>
      <c r="T93" s="44">
        <v>251.233</v>
      </c>
      <c r="U93" s="44">
        <v>251.107</v>
      </c>
      <c r="V93" s="44">
        <v>250.089</v>
      </c>
      <c r="W93" s="44">
        <v>252.125</v>
      </c>
      <c r="AA93" s="19">
        <v>7488</v>
      </c>
      <c r="AB93">
        <v>20.8</v>
      </c>
    </row>
    <row r="94" spans="8:28">
      <c r="H94" s="41">
        <v>2019</v>
      </c>
      <c r="I94" s="44">
        <v>251.71199999999999</v>
      </c>
      <c r="J94" s="44">
        <v>252.77600000000001</v>
      </c>
      <c r="K94" s="44">
        <v>254.202</v>
      </c>
      <c r="L94" s="44">
        <v>255.548</v>
      </c>
      <c r="M94" s="44">
        <v>256.09199999999998</v>
      </c>
      <c r="N94" s="44">
        <v>256.14299999999997</v>
      </c>
      <c r="O94" s="44">
        <v>256.57100000000003</v>
      </c>
      <c r="P94" s="44">
        <v>256.55799999999999</v>
      </c>
      <c r="Q94" s="44">
        <v>256.75900000000001</v>
      </c>
      <c r="R94" s="44">
        <v>257.346</v>
      </c>
      <c r="S94" s="44">
        <v>257.20800000000003</v>
      </c>
      <c r="T94" s="44">
        <v>256.97399999999999</v>
      </c>
      <c r="U94" s="44">
        <v>255.65700000000001</v>
      </c>
      <c r="V94" s="44">
        <v>254.41200000000001</v>
      </c>
      <c r="W94" s="44">
        <v>256.90300000000002</v>
      </c>
      <c r="AA94" s="19">
        <v>7519</v>
      </c>
      <c r="AB94">
        <v>20.3</v>
      </c>
    </row>
    <row r="95" spans="8:28">
      <c r="H95">
        <v>2020</v>
      </c>
      <c r="I95" s="42">
        <v>257.971</v>
      </c>
      <c r="J95" s="42">
        <v>258.678</v>
      </c>
      <c r="K95" s="42">
        <v>258.11500000000001</v>
      </c>
      <c r="L95" s="42">
        <v>256.38900000000001</v>
      </c>
      <c r="M95" s="42">
        <v>256.39400000000001</v>
      </c>
      <c r="N95" s="42">
        <v>257.79700000000003</v>
      </c>
      <c r="O95" s="42">
        <v>259.101</v>
      </c>
      <c r="P95" s="42">
        <v>259.91800000000001</v>
      </c>
      <c r="Q95" s="42">
        <v>260.27999999999997</v>
      </c>
      <c r="R95">
        <v>260.38799999999998</v>
      </c>
      <c r="S95">
        <v>260.22899999999998</v>
      </c>
      <c r="T95">
        <v>260.47399999999999</v>
      </c>
      <c r="U95">
        <v>258.81099999999998</v>
      </c>
      <c r="V95">
        <v>257.55700000000002</v>
      </c>
      <c r="W95">
        <v>260.065</v>
      </c>
      <c r="AA95" s="19">
        <v>7550</v>
      </c>
      <c r="AB95">
        <v>20</v>
      </c>
    </row>
    <row r="96" spans="8:28">
      <c r="H96">
        <v>2021</v>
      </c>
      <c r="I96">
        <v>261.58199999999999</v>
      </c>
      <c r="J96">
        <v>263.01400000000001</v>
      </c>
      <c r="K96">
        <v>264.87700000000001</v>
      </c>
      <c r="L96">
        <v>267.05399999999997</v>
      </c>
      <c r="M96">
        <v>269.19499999999999</v>
      </c>
      <c r="N96">
        <v>271.69600000000003</v>
      </c>
      <c r="O96">
        <v>273.00299999999999</v>
      </c>
      <c r="P96">
        <v>273.56700000000001</v>
      </c>
      <c r="Q96">
        <v>274.31</v>
      </c>
      <c r="R96">
        <v>276.589</v>
      </c>
      <c r="S96">
        <v>277.94799999999998</v>
      </c>
      <c r="T96">
        <v>278.80200000000002</v>
      </c>
      <c r="U96">
        <f>AVERAGE(I96:T96)</f>
        <v>270.96975000000003</v>
      </c>
      <c r="V96">
        <v>266.23599999999999</v>
      </c>
      <c r="W96">
        <v>275.70299999999997</v>
      </c>
      <c r="AA96" s="19">
        <v>7580</v>
      </c>
      <c r="AB96">
        <v>19.899999999999999</v>
      </c>
    </row>
    <row r="97" spans="21:28">
      <c r="U97">
        <v>292.65499999999997</v>
      </c>
      <c r="AA97" s="19">
        <v>7611</v>
      </c>
      <c r="AB97">
        <v>19.8</v>
      </c>
    </row>
    <row r="98" spans="21:28">
      <c r="AA98" s="19">
        <v>7641</v>
      </c>
      <c r="AB98">
        <v>19.399999999999999</v>
      </c>
    </row>
    <row r="99" spans="21:28">
      <c r="AA99" s="19">
        <v>7672</v>
      </c>
      <c r="AB99">
        <v>19</v>
      </c>
    </row>
    <row r="100" spans="21:28">
      <c r="AA100" s="19">
        <v>7703</v>
      </c>
      <c r="AB100">
        <v>18.399999999999999</v>
      </c>
    </row>
    <row r="101" spans="21:28">
      <c r="AA101" s="19">
        <v>7731</v>
      </c>
      <c r="AB101">
        <v>18.3</v>
      </c>
    </row>
    <row r="102" spans="21:28">
      <c r="AA102" s="19">
        <v>7762</v>
      </c>
      <c r="AB102">
        <v>18.100000000000001</v>
      </c>
    </row>
    <row r="103" spans="21:28">
      <c r="AA103" s="19">
        <v>7792</v>
      </c>
      <c r="AB103">
        <v>17.7</v>
      </c>
    </row>
    <row r="104" spans="21:28">
      <c r="AA104" s="19">
        <v>7823</v>
      </c>
      <c r="AB104">
        <v>17.600000000000001</v>
      </c>
    </row>
    <row r="105" spans="21:28">
      <c r="AA105" s="19">
        <v>7853</v>
      </c>
      <c r="AB105">
        <v>17.7</v>
      </c>
    </row>
    <row r="106" spans="21:28">
      <c r="AA106" s="19">
        <v>7884</v>
      </c>
      <c r="AB106">
        <v>17.7</v>
      </c>
    </row>
    <row r="107" spans="21:28">
      <c r="AA107" s="19">
        <v>7915</v>
      </c>
      <c r="AB107">
        <v>17.5</v>
      </c>
    </row>
    <row r="108" spans="21:28">
      <c r="AA108" s="19">
        <v>7945</v>
      </c>
      <c r="AB108">
        <v>17.5</v>
      </c>
    </row>
    <row r="109" spans="21:28">
      <c r="AA109" s="19">
        <v>7976</v>
      </c>
      <c r="AB109">
        <v>17.399999999999999</v>
      </c>
    </row>
    <row r="110" spans="21:28">
      <c r="AA110" s="19">
        <v>8006</v>
      </c>
      <c r="AB110">
        <v>17.3</v>
      </c>
    </row>
    <row r="111" spans="21:28">
      <c r="AA111" s="19">
        <v>8037</v>
      </c>
      <c r="AB111">
        <v>16.899999999999999</v>
      </c>
    </row>
    <row r="112" spans="21:28">
      <c r="AA112" s="19">
        <v>8068</v>
      </c>
      <c r="AB112">
        <v>16.899999999999999</v>
      </c>
    </row>
    <row r="113" spans="27:28">
      <c r="AA113" s="19">
        <v>8096</v>
      </c>
      <c r="AB113">
        <v>16.7</v>
      </c>
    </row>
    <row r="114" spans="27:28">
      <c r="AA114" s="19">
        <v>8127</v>
      </c>
      <c r="AB114">
        <v>16.7</v>
      </c>
    </row>
    <row r="115" spans="27:28">
      <c r="AA115" s="19">
        <v>8157</v>
      </c>
      <c r="AB115">
        <v>16.7</v>
      </c>
    </row>
    <row r="116" spans="27:28">
      <c r="AA116" s="19">
        <v>8188</v>
      </c>
      <c r="AB116">
        <v>16.7</v>
      </c>
    </row>
    <row r="117" spans="27:28">
      <c r="AA117" s="19">
        <v>8218</v>
      </c>
      <c r="AB117">
        <v>16.8</v>
      </c>
    </row>
    <row r="118" spans="27:28">
      <c r="AA118" s="19">
        <v>8249</v>
      </c>
      <c r="AB118">
        <v>16.600000000000001</v>
      </c>
    </row>
    <row r="119" spans="27:28">
      <c r="AA119" s="19">
        <v>8280</v>
      </c>
      <c r="AB119">
        <v>16.600000000000001</v>
      </c>
    </row>
    <row r="120" spans="27:28">
      <c r="AA120" s="19">
        <v>8310</v>
      </c>
      <c r="AB120">
        <v>16.7</v>
      </c>
    </row>
    <row r="121" spans="27:28">
      <c r="AA121" s="19">
        <v>8341</v>
      </c>
      <c r="AB121">
        <v>16.8</v>
      </c>
    </row>
    <row r="122" spans="27:28">
      <c r="AA122" s="19">
        <v>8371</v>
      </c>
      <c r="AB122">
        <v>16.899999999999999</v>
      </c>
    </row>
    <row r="123" spans="27:28">
      <c r="AA123" s="19">
        <v>8402</v>
      </c>
      <c r="AB123">
        <v>16.8</v>
      </c>
    </row>
    <row r="124" spans="27:28">
      <c r="AA124" s="19">
        <v>8433</v>
      </c>
      <c r="AB124">
        <v>16.8</v>
      </c>
    </row>
    <row r="125" spans="27:28">
      <c r="AA125" s="19">
        <v>8461</v>
      </c>
      <c r="AB125">
        <v>16.8</v>
      </c>
    </row>
    <row r="126" spans="27:28">
      <c r="AA126" s="19">
        <v>8492</v>
      </c>
      <c r="AB126">
        <v>16.899999999999999</v>
      </c>
    </row>
    <row r="127" spans="27:28">
      <c r="AA127" s="19">
        <v>8522</v>
      </c>
      <c r="AB127">
        <v>16.899999999999999</v>
      </c>
    </row>
    <row r="128" spans="27:28">
      <c r="AA128" s="19">
        <v>8553</v>
      </c>
      <c r="AB128">
        <v>17</v>
      </c>
    </row>
    <row r="129" spans="27:28">
      <c r="AA129" s="19">
        <v>8583</v>
      </c>
      <c r="AB129">
        <v>17.2</v>
      </c>
    </row>
    <row r="130" spans="27:28">
      <c r="AA130" s="19">
        <v>8614</v>
      </c>
      <c r="AB130">
        <v>17.100000000000001</v>
      </c>
    </row>
    <row r="131" spans="27:28">
      <c r="AA131" s="19">
        <v>8645</v>
      </c>
      <c r="AB131">
        <v>17.2</v>
      </c>
    </row>
    <row r="132" spans="27:28">
      <c r="AA132" s="19">
        <v>8675</v>
      </c>
      <c r="AB132">
        <v>17.3</v>
      </c>
    </row>
    <row r="133" spans="27:28">
      <c r="AA133" s="19">
        <v>8706</v>
      </c>
      <c r="AB133">
        <v>17.3</v>
      </c>
    </row>
    <row r="134" spans="27:28">
      <c r="AA134" s="19">
        <v>8736</v>
      </c>
      <c r="AB134">
        <v>17.3</v>
      </c>
    </row>
    <row r="135" spans="27:28">
      <c r="AA135" s="19">
        <v>8767</v>
      </c>
      <c r="AB135">
        <v>17.3</v>
      </c>
    </row>
    <row r="136" spans="27:28">
      <c r="AA136" s="19">
        <v>8798</v>
      </c>
      <c r="AB136">
        <v>17.2</v>
      </c>
    </row>
    <row r="137" spans="27:28">
      <c r="AA137" s="19">
        <v>8827</v>
      </c>
      <c r="AB137">
        <v>17.100000000000001</v>
      </c>
    </row>
    <row r="138" spans="27:28">
      <c r="AA138" s="19">
        <v>8858</v>
      </c>
      <c r="AB138">
        <v>17</v>
      </c>
    </row>
    <row r="139" spans="27:28">
      <c r="AA139" s="19">
        <v>8888</v>
      </c>
      <c r="AB139">
        <v>17</v>
      </c>
    </row>
    <row r="140" spans="27:28">
      <c r="AA140" s="19">
        <v>8919</v>
      </c>
      <c r="AB140">
        <v>17</v>
      </c>
    </row>
    <row r="141" spans="27:28">
      <c r="AA141" s="19">
        <v>8949</v>
      </c>
      <c r="AB141">
        <v>17.100000000000001</v>
      </c>
    </row>
    <row r="142" spans="27:28">
      <c r="AA142" s="19">
        <v>8980</v>
      </c>
      <c r="AB142">
        <v>17</v>
      </c>
    </row>
    <row r="143" spans="27:28">
      <c r="AA143" s="19">
        <v>9011</v>
      </c>
      <c r="AB143">
        <v>17.100000000000001</v>
      </c>
    </row>
    <row r="144" spans="27:28">
      <c r="AA144" s="19">
        <v>9041</v>
      </c>
      <c r="AB144">
        <v>17.2</v>
      </c>
    </row>
    <row r="145" spans="27:28">
      <c r="AA145" s="19">
        <v>9072</v>
      </c>
      <c r="AB145">
        <v>17.2</v>
      </c>
    </row>
    <row r="146" spans="27:28">
      <c r="AA146" s="19">
        <v>9102</v>
      </c>
      <c r="AB146">
        <v>17.3</v>
      </c>
    </row>
    <row r="147" spans="27:28">
      <c r="AA147" s="19">
        <v>9133</v>
      </c>
      <c r="AB147">
        <v>17.3</v>
      </c>
    </row>
    <row r="148" spans="27:28">
      <c r="AA148" s="19">
        <v>9164</v>
      </c>
      <c r="AB148">
        <v>17.2</v>
      </c>
    </row>
    <row r="149" spans="27:28">
      <c r="AA149" s="19">
        <v>9192</v>
      </c>
      <c r="AB149">
        <v>17.3</v>
      </c>
    </row>
    <row r="150" spans="27:28">
      <c r="AA150" s="19">
        <v>9223</v>
      </c>
      <c r="AB150">
        <v>17.2</v>
      </c>
    </row>
    <row r="151" spans="27:28">
      <c r="AA151" s="19">
        <v>9253</v>
      </c>
      <c r="AB151">
        <v>17.3</v>
      </c>
    </row>
    <row r="152" spans="27:28">
      <c r="AA152" s="19">
        <v>9284</v>
      </c>
      <c r="AB152">
        <v>17.5</v>
      </c>
    </row>
    <row r="153" spans="27:28">
      <c r="AA153" s="19">
        <v>9314</v>
      </c>
      <c r="AB153">
        <v>17.7</v>
      </c>
    </row>
    <row r="154" spans="27:28">
      <c r="AA154" s="19">
        <v>9345</v>
      </c>
      <c r="AB154">
        <v>17.7</v>
      </c>
    </row>
    <row r="155" spans="27:28">
      <c r="AA155" s="19">
        <v>9376</v>
      </c>
      <c r="AB155">
        <v>17.7</v>
      </c>
    </row>
    <row r="156" spans="27:28">
      <c r="AA156" s="19">
        <v>9406</v>
      </c>
      <c r="AB156">
        <v>17.7</v>
      </c>
    </row>
    <row r="157" spans="27:28">
      <c r="AA157" s="19">
        <v>9437</v>
      </c>
      <c r="AB157">
        <v>18</v>
      </c>
    </row>
    <row r="158" spans="27:28">
      <c r="AA158" s="19">
        <v>9467</v>
      </c>
      <c r="AB158">
        <v>17.899999999999999</v>
      </c>
    </row>
    <row r="159" spans="27:28">
      <c r="AA159" s="19">
        <v>9498</v>
      </c>
      <c r="AB159">
        <v>17.899999999999999</v>
      </c>
    </row>
    <row r="160" spans="27:28">
      <c r="AA160" s="19">
        <v>9529</v>
      </c>
      <c r="AB160">
        <v>17.899999999999999</v>
      </c>
    </row>
    <row r="161" spans="27:28">
      <c r="AA161" s="19">
        <v>9557</v>
      </c>
      <c r="AB161">
        <v>17.8</v>
      </c>
    </row>
    <row r="162" spans="27:28">
      <c r="AA162" s="19">
        <v>9588</v>
      </c>
      <c r="AB162">
        <v>17.899999999999999</v>
      </c>
    </row>
    <row r="163" spans="27:28">
      <c r="AA163" s="19">
        <v>9618</v>
      </c>
      <c r="AB163">
        <v>17.8</v>
      </c>
    </row>
    <row r="164" spans="27:28">
      <c r="AA164" s="19">
        <v>9649</v>
      </c>
      <c r="AB164">
        <v>17.7</v>
      </c>
    </row>
    <row r="165" spans="27:28">
      <c r="AA165" s="19">
        <v>9679</v>
      </c>
      <c r="AB165">
        <v>17.5</v>
      </c>
    </row>
    <row r="166" spans="27:28">
      <c r="AA166" s="19">
        <v>9710</v>
      </c>
      <c r="AB166">
        <v>17.399999999999999</v>
      </c>
    </row>
    <row r="167" spans="27:28">
      <c r="AA167" s="19">
        <v>9741</v>
      </c>
      <c r="AB167">
        <v>17.5</v>
      </c>
    </row>
    <row r="168" spans="27:28">
      <c r="AA168" s="19">
        <v>9771</v>
      </c>
      <c r="AB168">
        <v>17.600000000000001</v>
      </c>
    </row>
    <row r="169" spans="27:28">
      <c r="AA169" s="19">
        <v>9802</v>
      </c>
      <c r="AB169">
        <v>17.7</v>
      </c>
    </row>
    <row r="170" spans="27:28">
      <c r="AA170" s="19">
        <v>9832</v>
      </c>
      <c r="AB170">
        <v>17.7</v>
      </c>
    </row>
    <row r="171" spans="27:28">
      <c r="AA171" s="19">
        <v>9863</v>
      </c>
      <c r="AB171">
        <v>17.5</v>
      </c>
    </row>
    <row r="172" spans="27:28">
      <c r="AA172" s="19">
        <v>9894</v>
      </c>
      <c r="AB172">
        <v>17.399999999999999</v>
      </c>
    </row>
    <row r="173" spans="27:28">
      <c r="AA173" s="19">
        <v>9922</v>
      </c>
      <c r="AB173">
        <v>17.3</v>
      </c>
    </row>
    <row r="174" spans="27:28">
      <c r="AA174" s="19">
        <v>9953</v>
      </c>
      <c r="AB174">
        <v>17.3</v>
      </c>
    </row>
    <row r="175" spans="27:28">
      <c r="AA175" s="19">
        <v>9983</v>
      </c>
      <c r="AB175">
        <v>17.399999999999999</v>
      </c>
    </row>
    <row r="176" spans="27:28">
      <c r="AA176" s="19">
        <v>10014</v>
      </c>
      <c r="AB176">
        <v>17.600000000000001</v>
      </c>
    </row>
    <row r="177" spans="27:28">
      <c r="AA177" s="19">
        <v>10044</v>
      </c>
      <c r="AB177">
        <v>17.3</v>
      </c>
    </row>
    <row r="178" spans="27:28">
      <c r="AA178" s="19">
        <v>10075</v>
      </c>
      <c r="AB178">
        <v>17.2</v>
      </c>
    </row>
    <row r="179" spans="27:28">
      <c r="AA179" s="19">
        <v>10106</v>
      </c>
      <c r="AB179">
        <v>17.3</v>
      </c>
    </row>
    <row r="180" spans="27:28">
      <c r="AA180" s="19">
        <v>10136</v>
      </c>
      <c r="AB180">
        <v>17.399999999999999</v>
      </c>
    </row>
    <row r="181" spans="27:28">
      <c r="AA181" s="19">
        <v>10167</v>
      </c>
      <c r="AB181">
        <v>17.3</v>
      </c>
    </row>
    <row r="182" spans="27:28">
      <c r="AA182" s="19">
        <v>10197</v>
      </c>
      <c r="AB182">
        <v>17.3</v>
      </c>
    </row>
    <row r="183" spans="27:28">
      <c r="AA183" s="19">
        <v>10228</v>
      </c>
      <c r="AB183">
        <v>17.3</v>
      </c>
    </row>
    <row r="184" spans="27:28">
      <c r="AA184" s="19">
        <v>10259</v>
      </c>
      <c r="AB184">
        <v>17.100000000000001</v>
      </c>
    </row>
    <row r="185" spans="27:28">
      <c r="AA185" s="19">
        <v>10288</v>
      </c>
      <c r="AB185">
        <v>17.100000000000001</v>
      </c>
    </row>
    <row r="186" spans="27:28">
      <c r="AA186" s="19">
        <v>10319</v>
      </c>
      <c r="AB186">
        <v>17.100000000000001</v>
      </c>
    </row>
    <row r="187" spans="27:28">
      <c r="AA187" s="19">
        <v>10349</v>
      </c>
      <c r="AB187">
        <v>17.2</v>
      </c>
    </row>
    <row r="188" spans="27:28">
      <c r="AA188" s="19">
        <v>10380</v>
      </c>
      <c r="AB188">
        <v>17.100000000000001</v>
      </c>
    </row>
    <row r="189" spans="27:28">
      <c r="AA189" s="19">
        <v>10410</v>
      </c>
      <c r="AB189">
        <v>17.100000000000001</v>
      </c>
    </row>
    <row r="190" spans="27:28">
      <c r="AA190" s="19">
        <v>10441</v>
      </c>
      <c r="AB190">
        <v>17.100000000000001</v>
      </c>
    </row>
    <row r="191" spans="27:28">
      <c r="AA191" s="19">
        <v>10472</v>
      </c>
      <c r="AB191">
        <v>17.3</v>
      </c>
    </row>
    <row r="192" spans="27:28">
      <c r="AA192" s="19">
        <v>10502</v>
      </c>
      <c r="AB192">
        <v>17.2</v>
      </c>
    </row>
    <row r="193" spans="27:28">
      <c r="AA193" s="19">
        <v>10533</v>
      </c>
      <c r="AB193">
        <v>17.2</v>
      </c>
    </row>
    <row r="194" spans="27:28">
      <c r="AA194" s="19">
        <v>10563</v>
      </c>
      <c r="AB194">
        <v>17.100000000000001</v>
      </c>
    </row>
    <row r="195" spans="27:28">
      <c r="AA195" s="19">
        <v>10594</v>
      </c>
      <c r="AB195">
        <v>17.100000000000001</v>
      </c>
    </row>
    <row r="196" spans="27:28">
      <c r="AA196" s="19">
        <v>10625</v>
      </c>
      <c r="AB196">
        <v>17.100000000000001</v>
      </c>
    </row>
    <row r="197" spans="27:28">
      <c r="AA197" s="19">
        <v>10653</v>
      </c>
      <c r="AB197">
        <v>17</v>
      </c>
    </row>
    <row r="198" spans="27:28">
      <c r="AA198" s="19">
        <v>10684</v>
      </c>
      <c r="AB198">
        <v>16.899999999999999</v>
      </c>
    </row>
    <row r="199" spans="27:28">
      <c r="AA199" s="19">
        <v>10714</v>
      </c>
      <c r="AB199">
        <v>17</v>
      </c>
    </row>
    <row r="200" spans="27:28">
      <c r="AA200" s="19">
        <v>10745</v>
      </c>
      <c r="AB200">
        <v>17.100000000000001</v>
      </c>
    </row>
    <row r="201" spans="27:28">
      <c r="AA201" s="19">
        <v>10775</v>
      </c>
      <c r="AB201">
        <v>17.3</v>
      </c>
    </row>
    <row r="202" spans="27:28">
      <c r="AA202" s="19">
        <v>10806</v>
      </c>
      <c r="AB202">
        <v>17.3</v>
      </c>
    </row>
    <row r="203" spans="27:28">
      <c r="AA203" s="19">
        <v>10837</v>
      </c>
      <c r="AB203">
        <v>17.3</v>
      </c>
    </row>
    <row r="204" spans="27:28">
      <c r="AA204" s="19">
        <v>10867</v>
      </c>
      <c r="AB204">
        <v>17.3</v>
      </c>
    </row>
    <row r="205" spans="27:28">
      <c r="AA205" s="19">
        <v>10898</v>
      </c>
      <c r="AB205">
        <v>17.3</v>
      </c>
    </row>
    <row r="206" spans="27:28">
      <c r="AA206" s="19">
        <v>10928</v>
      </c>
      <c r="AB206">
        <v>17.2</v>
      </c>
    </row>
    <row r="207" spans="27:28">
      <c r="AA207" s="19">
        <v>10959</v>
      </c>
      <c r="AB207">
        <v>17.100000000000001</v>
      </c>
    </row>
    <row r="208" spans="27:28">
      <c r="AA208" s="19">
        <v>10990</v>
      </c>
      <c r="AB208">
        <v>17</v>
      </c>
    </row>
    <row r="209" spans="27:28">
      <c r="AA209" s="19">
        <v>11018</v>
      </c>
      <c r="AB209">
        <v>16.899999999999999</v>
      </c>
    </row>
    <row r="210" spans="27:28">
      <c r="AA210" s="19">
        <v>11049</v>
      </c>
      <c r="AB210">
        <v>17</v>
      </c>
    </row>
    <row r="211" spans="27:28">
      <c r="AA211" s="19">
        <v>11079</v>
      </c>
      <c r="AB211">
        <v>16.899999999999999</v>
      </c>
    </row>
    <row r="212" spans="27:28">
      <c r="AA212" s="19">
        <v>11110</v>
      </c>
      <c r="AB212">
        <v>16.8</v>
      </c>
    </row>
    <row r="213" spans="27:28">
      <c r="AA213" s="19">
        <v>11140</v>
      </c>
      <c r="AB213">
        <v>16.600000000000001</v>
      </c>
    </row>
    <row r="214" spans="27:28">
      <c r="AA214" s="19">
        <v>11171</v>
      </c>
      <c r="AB214">
        <v>16.5</v>
      </c>
    </row>
    <row r="215" spans="27:28">
      <c r="AA215" s="19">
        <v>11202</v>
      </c>
      <c r="AB215">
        <v>16.600000000000001</v>
      </c>
    </row>
    <row r="216" spans="27:28">
      <c r="AA216" s="19">
        <v>11232</v>
      </c>
      <c r="AB216">
        <v>16.5</v>
      </c>
    </row>
    <row r="217" spans="27:28">
      <c r="AA217" s="19">
        <v>11263</v>
      </c>
      <c r="AB217">
        <v>16.399999999999999</v>
      </c>
    </row>
    <row r="218" spans="27:28">
      <c r="AA218" s="19">
        <v>11293</v>
      </c>
      <c r="AB218">
        <v>16.100000000000001</v>
      </c>
    </row>
    <row r="219" spans="27:28">
      <c r="AA219" s="19">
        <v>11324</v>
      </c>
      <c r="AB219">
        <v>15.9</v>
      </c>
    </row>
    <row r="220" spans="27:28">
      <c r="AA220" s="19">
        <v>11355</v>
      </c>
      <c r="AB220">
        <v>15.7</v>
      </c>
    </row>
    <row r="221" spans="27:28">
      <c r="AA221" s="19">
        <v>11383</v>
      </c>
      <c r="AB221">
        <v>15.6</v>
      </c>
    </row>
    <row r="222" spans="27:28">
      <c r="AA222" s="19">
        <v>11414</v>
      </c>
      <c r="AB222">
        <v>15.5</v>
      </c>
    </row>
    <row r="223" spans="27:28">
      <c r="AA223" s="19">
        <v>11444</v>
      </c>
      <c r="AB223">
        <v>15.3</v>
      </c>
    </row>
    <row r="224" spans="27:28">
      <c r="AA224" s="19">
        <v>11475</v>
      </c>
      <c r="AB224">
        <v>15.1</v>
      </c>
    </row>
    <row r="225" spans="27:28">
      <c r="AA225" s="19">
        <v>11505</v>
      </c>
      <c r="AB225">
        <v>15.1</v>
      </c>
    </row>
    <row r="226" spans="27:28">
      <c r="AA226" s="19">
        <v>11536</v>
      </c>
      <c r="AB226">
        <v>15.1</v>
      </c>
    </row>
    <row r="227" spans="27:28">
      <c r="AA227" s="19">
        <v>11567</v>
      </c>
      <c r="AB227">
        <v>15</v>
      </c>
    </row>
    <row r="228" spans="27:28">
      <c r="AA228" s="19">
        <v>11597</v>
      </c>
      <c r="AB228">
        <v>14.9</v>
      </c>
    </row>
    <row r="229" spans="27:28">
      <c r="AA229" s="19">
        <v>11628</v>
      </c>
      <c r="AB229">
        <v>14.7</v>
      </c>
    </row>
    <row r="230" spans="27:28">
      <c r="AA230" s="19">
        <v>11658</v>
      </c>
      <c r="AB230">
        <v>14.6</v>
      </c>
    </row>
    <row r="231" spans="27:28">
      <c r="AA231" s="19">
        <v>11689</v>
      </c>
      <c r="AB231">
        <v>14.3</v>
      </c>
    </row>
    <row r="232" spans="27:28">
      <c r="AA232" s="19">
        <v>11720</v>
      </c>
      <c r="AB232">
        <v>14.1</v>
      </c>
    </row>
    <row r="233" spans="27:28">
      <c r="AA233" s="19">
        <v>11749</v>
      </c>
      <c r="AB233">
        <v>14</v>
      </c>
    </row>
    <row r="234" spans="27:28">
      <c r="AA234" s="19">
        <v>11780</v>
      </c>
      <c r="AB234">
        <v>13.9</v>
      </c>
    </row>
    <row r="235" spans="27:28">
      <c r="AA235" s="19">
        <v>11810</v>
      </c>
      <c r="AB235">
        <v>13.7</v>
      </c>
    </row>
    <row r="236" spans="27:28">
      <c r="AA236" s="19">
        <v>11841</v>
      </c>
      <c r="AB236">
        <v>13.6</v>
      </c>
    </row>
    <row r="237" spans="27:28">
      <c r="AA237" s="19">
        <v>11871</v>
      </c>
      <c r="AB237">
        <v>13.6</v>
      </c>
    </row>
    <row r="238" spans="27:28">
      <c r="AA238" s="19">
        <v>11902</v>
      </c>
      <c r="AB238">
        <v>13.5</v>
      </c>
    </row>
    <row r="239" spans="27:28">
      <c r="AA239" s="19">
        <v>11933</v>
      </c>
      <c r="AB239">
        <v>13.4</v>
      </c>
    </row>
    <row r="240" spans="27:28">
      <c r="AA240" s="19">
        <v>11963</v>
      </c>
      <c r="AB240">
        <v>13.3</v>
      </c>
    </row>
    <row r="241" spans="27:28">
      <c r="AA241" s="19">
        <v>11994</v>
      </c>
      <c r="AB241">
        <v>13.2</v>
      </c>
    </row>
    <row r="242" spans="27:28">
      <c r="AA242" s="19">
        <v>12024</v>
      </c>
      <c r="AB242">
        <v>13.1</v>
      </c>
    </row>
    <row r="243" spans="27:28">
      <c r="AA243" s="19">
        <v>12055</v>
      </c>
      <c r="AB243">
        <v>12.9</v>
      </c>
    </row>
    <row r="244" spans="27:28">
      <c r="AA244" s="19">
        <v>12086</v>
      </c>
      <c r="AB244">
        <v>12.7</v>
      </c>
    </row>
    <row r="245" spans="27:28">
      <c r="AA245" s="19">
        <v>12114</v>
      </c>
      <c r="AB245">
        <v>12.6</v>
      </c>
    </row>
    <row r="246" spans="27:28">
      <c r="AA246" s="19">
        <v>12145</v>
      </c>
      <c r="AB246">
        <v>12.6</v>
      </c>
    </row>
    <row r="247" spans="27:28">
      <c r="AA247" s="19">
        <v>12175</v>
      </c>
      <c r="AB247">
        <v>12.6</v>
      </c>
    </row>
    <row r="248" spans="27:28">
      <c r="AA248" s="19">
        <v>12206</v>
      </c>
      <c r="AB248">
        <v>12.7</v>
      </c>
    </row>
    <row r="249" spans="27:28">
      <c r="AA249" s="19">
        <v>12236</v>
      </c>
      <c r="AB249">
        <v>13.1</v>
      </c>
    </row>
    <row r="250" spans="27:28">
      <c r="AA250" s="19">
        <v>12267</v>
      </c>
      <c r="AB250">
        <v>13.2</v>
      </c>
    </row>
    <row r="251" spans="27:28">
      <c r="AA251" s="19">
        <v>12298</v>
      </c>
      <c r="AB251">
        <v>13.2</v>
      </c>
    </row>
    <row r="252" spans="27:28">
      <c r="AA252" s="19">
        <v>12328</v>
      </c>
      <c r="AB252">
        <v>13.2</v>
      </c>
    </row>
    <row r="253" spans="27:28">
      <c r="AA253" s="19">
        <v>12359</v>
      </c>
      <c r="AB253">
        <v>13.2</v>
      </c>
    </row>
    <row r="254" spans="27:28">
      <c r="AA254" s="19">
        <v>12389</v>
      </c>
      <c r="AB254">
        <v>13.2</v>
      </c>
    </row>
    <row r="255" spans="27:28">
      <c r="AA255" s="19">
        <v>12420</v>
      </c>
      <c r="AB255">
        <v>13.2</v>
      </c>
    </row>
    <row r="256" spans="27:28">
      <c r="AA256" s="19">
        <v>12451</v>
      </c>
      <c r="AB256">
        <v>13.3</v>
      </c>
    </row>
    <row r="257" spans="27:28">
      <c r="AA257" s="19">
        <v>12479</v>
      </c>
      <c r="AB257">
        <v>13.3</v>
      </c>
    </row>
    <row r="258" spans="27:28">
      <c r="AA258" s="19">
        <v>12510</v>
      </c>
      <c r="AB258">
        <v>13.3</v>
      </c>
    </row>
    <row r="259" spans="27:28">
      <c r="AA259" s="19">
        <v>12540</v>
      </c>
      <c r="AB259">
        <v>13.3</v>
      </c>
    </row>
    <row r="260" spans="27:28">
      <c r="AA260" s="19">
        <v>12571</v>
      </c>
      <c r="AB260">
        <v>13.4</v>
      </c>
    </row>
    <row r="261" spans="27:28">
      <c r="AA261" s="19">
        <v>12601</v>
      </c>
      <c r="AB261">
        <v>13.4</v>
      </c>
    </row>
    <row r="262" spans="27:28">
      <c r="AA262" s="19">
        <v>12632</v>
      </c>
      <c r="AB262">
        <v>13.4</v>
      </c>
    </row>
    <row r="263" spans="27:28">
      <c r="AA263" s="19">
        <v>12663</v>
      </c>
      <c r="AB263">
        <v>13.6</v>
      </c>
    </row>
    <row r="264" spans="27:28">
      <c r="AA264" s="19">
        <v>12693</v>
      </c>
      <c r="AB264">
        <v>13.5</v>
      </c>
    </row>
    <row r="265" spans="27:28">
      <c r="AA265" s="19">
        <v>12724</v>
      </c>
      <c r="AB265">
        <v>13.5</v>
      </c>
    </row>
    <row r="266" spans="27:28">
      <c r="AA266" s="19">
        <v>12754</v>
      </c>
      <c r="AB266">
        <v>13.4</v>
      </c>
    </row>
    <row r="267" spans="27:28">
      <c r="AA267" s="19">
        <v>12785</v>
      </c>
      <c r="AB267">
        <v>13.6</v>
      </c>
    </row>
    <row r="268" spans="27:28">
      <c r="AA268" s="19">
        <v>12816</v>
      </c>
      <c r="AB268">
        <v>13.7</v>
      </c>
    </row>
    <row r="269" spans="27:28">
      <c r="AA269" s="19">
        <v>12844</v>
      </c>
      <c r="AB269">
        <v>13.7</v>
      </c>
    </row>
    <row r="270" spans="27:28">
      <c r="AA270" s="19">
        <v>12875</v>
      </c>
      <c r="AB270">
        <v>13.8</v>
      </c>
    </row>
    <row r="271" spans="27:28">
      <c r="AA271" s="19">
        <v>12905</v>
      </c>
      <c r="AB271">
        <v>13.8</v>
      </c>
    </row>
    <row r="272" spans="27:28">
      <c r="AA272" s="19">
        <v>12936</v>
      </c>
      <c r="AB272">
        <v>13.7</v>
      </c>
    </row>
    <row r="273" spans="27:28">
      <c r="AA273" s="19">
        <v>12966</v>
      </c>
      <c r="AB273">
        <v>13.7</v>
      </c>
    </row>
    <row r="274" spans="27:28">
      <c r="AA274" s="19">
        <v>12997</v>
      </c>
      <c r="AB274">
        <v>13.7</v>
      </c>
    </row>
    <row r="275" spans="27:28">
      <c r="AA275" s="19">
        <v>13028</v>
      </c>
      <c r="AB275">
        <v>13.7</v>
      </c>
    </row>
    <row r="276" spans="27:28">
      <c r="AA276" s="19">
        <v>13058</v>
      </c>
      <c r="AB276">
        <v>13.7</v>
      </c>
    </row>
    <row r="277" spans="27:28">
      <c r="AA277" s="19">
        <v>13089</v>
      </c>
      <c r="AB277">
        <v>13.8</v>
      </c>
    </row>
    <row r="278" spans="27:28">
      <c r="AA278" s="19">
        <v>13119</v>
      </c>
      <c r="AB278">
        <v>13.8</v>
      </c>
    </row>
    <row r="279" spans="27:28">
      <c r="AA279" s="19">
        <v>13150</v>
      </c>
      <c r="AB279">
        <v>13.8</v>
      </c>
    </row>
    <row r="280" spans="27:28">
      <c r="AA280" s="19">
        <v>13181</v>
      </c>
      <c r="AB280">
        <v>13.8</v>
      </c>
    </row>
    <row r="281" spans="27:28">
      <c r="AA281" s="19">
        <v>13210</v>
      </c>
      <c r="AB281">
        <v>13.7</v>
      </c>
    </row>
    <row r="282" spans="27:28">
      <c r="AA282" s="19">
        <v>13241</v>
      </c>
      <c r="AB282">
        <v>13.7</v>
      </c>
    </row>
    <row r="283" spans="27:28">
      <c r="AA283" s="19">
        <v>13271</v>
      </c>
      <c r="AB283">
        <v>13.7</v>
      </c>
    </row>
    <row r="284" spans="27:28">
      <c r="AA284" s="19">
        <v>13302</v>
      </c>
      <c r="AB284">
        <v>13.8</v>
      </c>
    </row>
    <row r="285" spans="27:28">
      <c r="AA285" s="19">
        <v>13332</v>
      </c>
      <c r="AB285">
        <v>13.9</v>
      </c>
    </row>
    <row r="286" spans="27:28">
      <c r="AA286" s="19">
        <v>13363</v>
      </c>
      <c r="AB286">
        <v>14</v>
      </c>
    </row>
    <row r="287" spans="27:28">
      <c r="AA287" s="19">
        <v>13394</v>
      </c>
      <c r="AB287">
        <v>14</v>
      </c>
    </row>
    <row r="288" spans="27:28">
      <c r="AA288" s="19">
        <v>13424</v>
      </c>
      <c r="AB288">
        <v>14</v>
      </c>
    </row>
    <row r="289" spans="27:28">
      <c r="AA289" s="19">
        <v>13455</v>
      </c>
      <c r="AB289">
        <v>14</v>
      </c>
    </row>
    <row r="290" spans="27:28">
      <c r="AA290" s="19">
        <v>13485</v>
      </c>
      <c r="AB290">
        <v>14</v>
      </c>
    </row>
    <row r="291" spans="27:28">
      <c r="AA291" s="19">
        <v>13516</v>
      </c>
      <c r="AB291">
        <v>14.1</v>
      </c>
    </row>
    <row r="292" spans="27:28">
      <c r="AA292" s="19">
        <v>13547</v>
      </c>
      <c r="AB292">
        <v>14.1</v>
      </c>
    </row>
    <row r="293" spans="27:28">
      <c r="AA293" s="19">
        <v>13575</v>
      </c>
      <c r="AB293">
        <v>14.2</v>
      </c>
    </row>
    <row r="294" spans="27:28">
      <c r="AA294" s="19">
        <v>13606</v>
      </c>
      <c r="AB294">
        <v>14.3</v>
      </c>
    </row>
    <row r="295" spans="27:28">
      <c r="AA295" s="19">
        <v>13636</v>
      </c>
      <c r="AB295">
        <v>14.4</v>
      </c>
    </row>
    <row r="296" spans="27:28">
      <c r="AA296" s="19">
        <v>13667</v>
      </c>
      <c r="AB296">
        <v>14.4</v>
      </c>
    </row>
    <row r="297" spans="27:28">
      <c r="AA297" s="19">
        <v>13697</v>
      </c>
      <c r="AB297">
        <v>14.5</v>
      </c>
    </row>
    <row r="298" spans="27:28">
      <c r="AA298" s="19">
        <v>13728</v>
      </c>
      <c r="AB298">
        <v>14.5</v>
      </c>
    </row>
    <row r="299" spans="27:28">
      <c r="AA299" s="19">
        <v>13759</v>
      </c>
      <c r="AB299">
        <v>14.6</v>
      </c>
    </row>
    <row r="300" spans="27:28">
      <c r="AA300" s="19">
        <v>13789</v>
      </c>
      <c r="AB300">
        <v>14.6</v>
      </c>
    </row>
    <row r="301" spans="27:28">
      <c r="AA301" s="19">
        <v>13820</v>
      </c>
      <c r="AB301">
        <v>14.5</v>
      </c>
    </row>
    <row r="302" spans="27:28">
      <c r="AA302" s="19">
        <v>13850</v>
      </c>
      <c r="AB302">
        <v>14.4</v>
      </c>
    </row>
    <row r="303" spans="27:28">
      <c r="AA303" s="19">
        <v>13881</v>
      </c>
      <c r="AB303">
        <v>14.2</v>
      </c>
    </row>
    <row r="304" spans="27:28">
      <c r="AA304" s="19">
        <v>13912</v>
      </c>
      <c r="AB304">
        <v>14.1</v>
      </c>
    </row>
    <row r="305" spans="27:28">
      <c r="AA305" s="19">
        <v>13940</v>
      </c>
      <c r="AB305">
        <v>14.1</v>
      </c>
    </row>
    <row r="306" spans="27:28">
      <c r="AA306" s="19">
        <v>13971</v>
      </c>
      <c r="AB306">
        <v>14.2</v>
      </c>
    </row>
    <row r="307" spans="27:28">
      <c r="AA307" s="19">
        <v>14001</v>
      </c>
      <c r="AB307">
        <v>14.1</v>
      </c>
    </row>
    <row r="308" spans="27:28">
      <c r="AA308" s="19">
        <v>14032</v>
      </c>
      <c r="AB308">
        <v>14.1</v>
      </c>
    </row>
    <row r="309" spans="27:28">
      <c r="AA309" s="19">
        <v>14062</v>
      </c>
      <c r="AB309">
        <v>14.1</v>
      </c>
    </row>
    <row r="310" spans="27:28">
      <c r="AA310" s="19">
        <v>14093</v>
      </c>
      <c r="AB310">
        <v>14.1</v>
      </c>
    </row>
    <row r="311" spans="27:28">
      <c r="AA311" s="19">
        <v>14124</v>
      </c>
      <c r="AB311">
        <v>14.1</v>
      </c>
    </row>
    <row r="312" spans="27:28">
      <c r="AA312" s="19">
        <v>14154</v>
      </c>
      <c r="AB312">
        <v>14</v>
      </c>
    </row>
    <row r="313" spans="27:28">
      <c r="AA313" s="19">
        <v>14185</v>
      </c>
      <c r="AB313">
        <v>14</v>
      </c>
    </row>
    <row r="314" spans="27:28">
      <c r="AA314" s="19">
        <v>14215</v>
      </c>
      <c r="AB314">
        <v>14</v>
      </c>
    </row>
    <row r="315" spans="27:28">
      <c r="AA315" s="19">
        <v>14246</v>
      </c>
      <c r="AB315">
        <v>14</v>
      </c>
    </row>
    <row r="316" spans="27:28">
      <c r="AA316" s="19">
        <v>14277</v>
      </c>
      <c r="AB316">
        <v>13.9</v>
      </c>
    </row>
    <row r="317" spans="27:28">
      <c r="AA317" s="19">
        <v>14305</v>
      </c>
      <c r="AB317">
        <v>13.9</v>
      </c>
    </row>
    <row r="318" spans="27:28">
      <c r="AA318" s="19">
        <v>14336</v>
      </c>
      <c r="AB318">
        <v>13.8</v>
      </c>
    </row>
    <row r="319" spans="27:28">
      <c r="AA319" s="19">
        <v>14366</v>
      </c>
      <c r="AB319">
        <v>13.8</v>
      </c>
    </row>
    <row r="320" spans="27:28">
      <c r="AA320" s="19">
        <v>14397</v>
      </c>
      <c r="AB320">
        <v>13.8</v>
      </c>
    </row>
    <row r="321" spans="27:28">
      <c r="AA321" s="19">
        <v>14427</v>
      </c>
      <c r="AB321">
        <v>13.8</v>
      </c>
    </row>
    <row r="322" spans="27:28">
      <c r="AA322" s="19">
        <v>14458</v>
      </c>
      <c r="AB322">
        <v>13.8</v>
      </c>
    </row>
    <row r="323" spans="27:28">
      <c r="AA323" s="19">
        <v>14489</v>
      </c>
      <c r="AB323">
        <v>14.1</v>
      </c>
    </row>
    <row r="324" spans="27:28">
      <c r="AA324" s="19">
        <v>14519</v>
      </c>
      <c r="AB324">
        <v>14</v>
      </c>
    </row>
    <row r="325" spans="27:28">
      <c r="AA325" s="19">
        <v>14550</v>
      </c>
      <c r="AB325">
        <v>14</v>
      </c>
    </row>
    <row r="326" spans="27:28">
      <c r="AA326" s="19">
        <v>14580</v>
      </c>
      <c r="AB326">
        <v>14</v>
      </c>
    </row>
    <row r="327" spans="27:28">
      <c r="AA327" s="19">
        <v>14611</v>
      </c>
      <c r="AB327">
        <v>13.9</v>
      </c>
    </row>
    <row r="328" spans="27:28">
      <c r="AA328" s="19">
        <v>14642</v>
      </c>
      <c r="AB328">
        <v>14</v>
      </c>
    </row>
    <row r="329" spans="27:28">
      <c r="AA329" s="19">
        <v>14671</v>
      </c>
      <c r="AB329">
        <v>14</v>
      </c>
    </row>
    <row r="330" spans="27:28">
      <c r="AA330" s="19">
        <v>14702</v>
      </c>
      <c r="AB330">
        <v>14</v>
      </c>
    </row>
    <row r="331" spans="27:28">
      <c r="AA331" s="19">
        <v>14732</v>
      </c>
      <c r="AB331">
        <v>14</v>
      </c>
    </row>
    <row r="332" spans="27:28">
      <c r="AA332" s="19">
        <v>14763</v>
      </c>
      <c r="AB332">
        <v>14.1</v>
      </c>
    </row>
    <row r="333" spans="27:28">
      <c r="AA333" s="19">
        <v>14793</v>
      </c>
      <c r="AB333">
        <v>14</v>
      </c>
    </row>
    <row r="334" spans="27:28">
      <c r="AA334" s="19">
        <v>14824</v>
      </c>
      <c r="AB334">
        <v>14</v>
      </c>
    </row>
    <row r="335" spans="27:28">
      <c r="AA335" s="19">
        <v>14855</v>
      </c>
      <c r="AB335">
        <v>14</v>
      </c>
    </row>
    <row r="336" spans="27:28">
      <c r="AA336" s="19">
        <v>14885</v>
      </c>
      <c r="AB336">
        <v>14</v>
      </c>
    </row>
    <row r="337" spans="27:28">
      <c r="AA337" s="19">
        <v>14916</v>
      </c>
      <c r="AB337">
        <v>14</v>
      </c>
    </row>
    <row r="338" spans="27:28">
      <c r="AA338" s="19">
        <v>14946</v>
      </c>
      <c r="AB338">
        <v>14.1</v>
      </c>
    </row>
    <row r="339" spans="27:28">
      <c r="AA339" s="19">
        <v>14977</v>
      </c>
      <c r="AB339">
        <v>14.1</v>
      </c>
    </row>
    <row r="340" spans="27:28">
      <c r="AA340" s="19">
        <v>15008</v>
      </c>
      <c r="AB340">
        <v>14.1</v>
      </c>
    </row>
    <row r="341" spans="27:28">
      <c r="AA341" s="19">
        <v>15036</v>
      </c>
      <c r="AB341">
        <v>14.2</v>
      </c>
    </row>
    <row r="342" spans="27:28">
      <c r="AA342" s="19">
        <v>15067</v>
      </c>
      <c r="AB342">
        <v>14.3</v>
      </c>
    </row>
    <row r="343" spans="27:28">
      <c r="AA343" s="19">
        <v>15097</v>
      </c>
      <c r="AB343">
        <v>14.4</v>
      </c>
    </row>
    <row r="344" spans="27:28">
      <c r="AA344" s="19">
        <v>15128</v>
      </c>
      <c r="AB344">
        <v>14.7</v>
      </c>
    </row>
    <row r="345" spans="27:28">
      <c r="AA345" s="19">
        <v>15158</v>
      </c>
      <c r="AB345">
        <v>14.7</v>
      </c>
    </row>
    <row r="346" spans="27:28">
      <c r="AA346" s="19">
        <v>15189</v>
      </c>
      <c r="AB346">
        <v>14.9</v>
      </c>
    </row>
    <row r="347" spans="27:28">
      <c r="AA347" s="19">
        <v>15220</v>
      </c>
      <c r="AB347">
        <v>15.1</v>
      </c>
    </row>
    <row r="348" spans="27:28">
      <c r="AA348" s="19">
        <v>15250</v>
      </c>
      <c r="AB348">
        <v>15.3</v>
      </c>
    </row>
    <row r="349" spans="27:28">
      <c r="AA349" s="19">
        <v>15281</v>
      </c>
      <c r="AB349">
        <v>15.4</v>
      </c>
    </row>
    <row r="350" spans="27:28">
      <c r="AA350" s="19">
        <v>15311</v>
      </c>
      <c r="AB350">
        <v>15.5</v>
      </c>
    </row>
    <row r="351" spans="27:28">
      <c r="AA351" s="19">
        <v>15342</v>
      </c>
      <c r="AB351">
        <v>15.7</v>
      </c>
    </row>
    <row r="352" spans="27:28">
      <c r="AA352" s="19">
        <v>15373</v>
      </c>
      <c r="AB352">
        <v>15.8</v>
      </c>
    </row>
    <row r="353" spans="27:28">
      <c r="AA353" s="19">
        <v>15401</v>
      </c>
      <c r="AB353">
        <v>16</v>
      </c>
    </row>
    <row r="354" spans="27:28">
      <c r="AA354" s="19">
        <v>15432</v>
      </c>
      <c r="AB354">
        <v>16.100000000000001</v>
      </c>
    </row>
    <row r="355" spans="27:28">
      <c r="AA355" s="19">
        <v>15462</v>
      </c>
      <c r="AB355">
        <v>16.3</v>
      </c>
    </row>
    <row r="356" spans="27:28">
      <c r="AA356" s="19">
        <v>15493</v>
      </c>
      <c r="AB356">
        <v>16.3</v>
      </c>
    </row>
    <row r="357" spans="27:28">
      <c r="AA357" s="19">
        <v>15523</v>
      </c>
      <c r="AB357">
        <v>16.399999999999999</v>
      </c>
    </row>
    <row r="358" spans="27:28">
      <c r="AA358" s="19">
        <v>15554</v>
      </c>
      <c r="AB358">
        <v>16.5</v>
      </c>
    </row>
    <row r="359" spans="27:28">
      <c r="AA359" s="19">
        <v>15585</v>
      </c>
      <c r="AB359">
        <v>16.5</v>
      </c>
    </row>
    <row r="360" spans="27:28">
      <c r="AA360" s="19">
        <v>15615</v>
      </c>
      <c r="AB360">
        <v>16.7</v>
      </c>
    </row>
    <row r="361" spans="27:28">
      <c r="AA361" s="19">
        <v>15646</v>
      </c>
      <c r="AB361">
        <v>16.8</v>
      </c>
    </row>
    <row r="362" spans="27:28">
      <c r="AA362" s="19">
        <v>15676</v>
      </c>
      <c r="AB362">
        <v>16.899999999999999</v>
      </c>
    </row>
    <row r="363" spans="27:28">
      <c r="AA363" s="19">
        <v>15707</v>
      </c>
      <c r="AB363">
        <v>16.899999999999999</v>
      </c>
    </row>
    <row r="364" spans="27:28">
      <c r="AA364" s="19">
        <v>15738</v>
      </c>
      <c r="AB364">
        <v>16.899999999999999</v>
      </c>
    </row>
    <row r="365" spans="27:28">
      <c r="AA365" s="19">
        <v>15766</v>
      </c>
      <c r="AB365">
        <v>17.2</v>
      </c>
    </row>
    <row r="366" spans="27:28">
      <c r="AA366" s="19">
        <v>15797</v>
      </c>
      <c r="AB366">
        <v>17.399999999999999</v>
      </c>
    </row>
    <row r="367" spans="27:28">
      <c r="AA367" s="19">
        <v>15827</v>
      </c>
      <c r="AB367">
        <v>17.5</v>
      </c>
    </row>
    <row r="368" spans="27:28">
      <c r="AA368" s="19">
        <v>15858</v>
      </c>
      <c r="AB368">
        <v>17.5</v>
      </c>
    </row>
    <row r="369" spans="27:28">
      <c r="AA369" s="19">
        <v>15888</v>
      </c>
      <c r="AB369">
        <v>17.399999999999999</v>
      </c>
    </row>
    <row r="370" spans="27:28">
      <c r="AA370" s="19">
        <v>15919</v>
      </c>
      <c r="AB370">
        <v>17.3</v>
      </c>
    </row>
    <row r="371" spans="27:28">
      <c r="AA371" s="19">
        <v>15950</v>
      </c>
      <c r="AB371">
        <v>17.399999999999999</v>
      </c>
    </row>
    <row r="372" spans="27:28">
      <c r="AA372" s="19">
        <v>15980</v>
      </c>
      <c r="AB372">
        <v>17.399999999999999</v>
      </c>
    </row>
    <row r="373" spans="27:28">
      <c r="AA373" s="19">
        <v>16011</v>
      </c>
      <c r="AB373">
        <v>17.399999999999999</v>
      </c>
    </row>
    <row r="374" spans="27:28">
      <c r="AA374" s="19">
        <v>16041</v>
      </c>
      <c r="AB374">
        <v>17.399999999999999</v>
      </c>
    </row>
    <row r="375" spans="27:28">
      <c r="AA375" s="19">
        <v>16072</v>
      </c>
      <c r="AB375">
        <v>17.399999999999999</v>
      </c>
    </row>
    <row r="376" spans="27:28">
      <c r="AA376" s="19">
        <v>16103</v>
      </c>
      <c r="AB376">
        <v>17.399999999999999</v>
      </c>
    </row>
    <row r="377" spans="27:28">
      <c r="AA377" s="19">
        <v>16132</v>
      </c>
      <c r="AB377">
        <v>17.399999999999999</v>
      </c>
    </row>
    <row r="378" spans="27:28">
      <c r="AA378" s="19">
        <v>16163</v>
      </c>
      <c r="AB378">
        <v>17.5</v>
      </c>
    </row>
    <row r="379" spans="27:28">
      <c r="AA379" s="19">
        <v>16193</v>
      </c>
      <c r="AB379">
        <v>17.5</v>
      </c>
    </row>
    <row r="380" spans="27:28">
      <c r="AA380" s="19">
        <v>16224</v>
      </c>
      <c r="AB380">
        <v>17.600000000000001</v>
      </c>
    </row>
    <row r="381" spans="27:28">
      <c r="AA381" s="19">
        <v>16254</v>
      </c>
      <c r="AB381">
        <v>17.7</v>
      </c>
    </row>
    <row r="382" spans="27:28">
      <c r="AA382" s="19">
        <v>16285</v>
      </c>
      <c r="AB382">
        <v>17.7</v>
      </c>
    </row>
    <row r="383" spans="27:28">
      <c r="AA383" s="19">
        <v>16316</v>
      </c>
      <c r="AB383">
        <v>17.7</v>
      </c>
    </row>
    <row r="384" spans="27:28">
      <c r="AA384" s="19">
        <v>16346</v>
      </c>
      <c r="AB384">
        <v>17.7</v>
      </c>
    </row>
    <row r="385" spans="27:28">
      <c r="AA385" s="19">
        <v>16377</v>
      </c>
      <c r="AB385">
        <v>17.7</v>
      </c>
    </row>
    <row r="386" spans="27:28">
      <c r="AA386" s="19">
        <v>16407</v>
      </c>
      <c r="AB386">
        <v>17.8</v>
      </c>
    </row>
    <row r="387" spans="27:28">
      <c r="AA387" s="19">
        <v>16438</v>
      </c>
      <c r="AB387">
        <v>17.8</v>
      </c>
    </row>
    <row r="388" spans="27:28">
      <c r="AA388" s="19">
        <v>16469</v>
      </c>
      <c r="AB388">
        <v>17.8</v>
      </c>
    </row>
    <row r="389" spans="27:28">
      <c r="AA389" s="19">
        <v>16497</v>
      </c>
      <c r="AB389">
        <v>17.8</v>
      </c>
    </row>
    <row r="390" spans="27:28">
      <c r="AA390" s="19">
        <v>16528</v>
      </c>
      <c r="AB390">
        <v>17.8</v>
      </c>
    </row>
    <row r="391" spans="27:28">
      <c r="AA391" s="19">
        <v>16558</v>
      </c>
      <c r="AB391">
        <v>17.899999999999999</v>
      </c>
    </row>
    <row r="392" spans="27:28">
      <c r="AA392" s="19">
        <v>16589</v>
      </c>
      <c r="AB392">
        <v>18.100000000000001</v>
      </c>
    </row>
    <row r="393" spans="27:28">
      <c r="AA393" s="19">
        <v>16619</v>
      </c>
      <c r="AB393">
        <v>18.100000000000001</v>
      </c>
    </row>
    <row r="394" spans="27:28">
      <c r="AA394" s="19">
        <v>16650</v>
      </c>
      <c r="AB394">
        <v>18.100000000000001</v>
      </c>
    </row>
    <row r="395" spans="27:28">
      <c r="AA395" s="19">
        <v>16681</v>
      </c>
      <c r="AB395">
        <v>18.100000000000001</v>
      </c>
    </row>
    <row r="396" spans="27:28">
      <c r="AA396" s="19">
        <v>16711</v>
      </c>
      <c r="AB396">
        <v>18.100000000000001</v>
      </c>
    </row>
    <row r="397" spans="27:28">
      <c r="AA397" s="19">
        <v>16742</v>
      </c>
      <c r="AB397">
        <v>18.100000000000001</v>
      </c>
    </row>
    <row r="398" spans="27:28">
      <c r="AA398" s="19">
        <v>16772</v>
      </c>
      <c r="AB398">
        <v>18.2</v>
      </c>
    </row>
    <row r="399" spans="27:28">
      <c r="AA399" s="19">
        <v>16803</v>
      </c>
      <c r="AB399">
        <v>18.2</v>
      </c>
    </row>
    <row r="400" spans="27:28">
      <c r="AA400" s="19">
        <v>16834</v>
      </c>
      <c r="AB400">
        <v>18.100000000000001</v>
      </c>
    </row>
    <row r="401" spans="27:28">
      <c r="AA401" s="19">
        <v>16862</v>
      </c>
      <c r="AB401">
        <v>18.3</v>
      </c>
    </row>
    <row r="402" spans="27:28">
      <c r="AA402" s="19">
        <v>16893</v>
      </c>
      <c r="AB402">
        <v>18.399999999999999</v>
      </c>
    </row>
    <row r="403" spans="27:28">
      <c r="AA403" s="19">
        <v>16923</v>
      </c>
      <c r="AB403">
        <v>18.5</v>
      </c>
    </row>
    <row r="404" spans="27:28">
      <c r="AA404" s="19">
        <v>16954</v>
      </c>
      <c r="AB404">
        <v>18.7</v>
      </c>
    </row>
    <row r="405" spans="27:28">
      <c r="AA405" s="19">
        <v>16984</v>
      </c>
      <c r="AB405">
        <v>19.8</v>
      </c>
    </row>
    <row r="406" spans="27:28">
      <c r="AA406" s="19">
        <v>17015</v>
      </c>
      <c r="AB406">
        <v>20.2</v>
      </c>
    </row>
    <row r="407" spans="27:28">
      <c r="AA407" s="19">
        <v>17046</v>
      </c>
      <c r="AB407">
        <v>20.399999999999999</v>
      </c>
    </row>
    <row r="408" spans="27:28">
      <c r="AA408" s="19">
        <v>17076</v>
      </c>
      <c r="AB408">
        <v>20.8</v>
      </c>
    </row>
    <row r="409" spans="27:28">
      <c r="AA409" s="19">
        <v>17107</v>
      </c>
      <c r="AB409">
        <v>21.3</v>
      </c>
    </row>
    <row r="410" spans="27:28">
      <c r="AA410" s="19">
        <v>17137</v>
      </c>
      <c r="AB410">
        <v>21.5</v>
      </c>
    </row>
    <row r="411" spans="27:28">
      <c r="AA411" s="19">
        <v>17168</v>
      </c>
      <c r="AB411">
        <v>21.5</v>
      </c>
    </row>
    <row r="412" spans="27:28">
      <c r="AA412" s="19">
        <v>17199</v>
      </c>
      <c r="AB412">
        <v>21.5</v>
      </c>
    </row>
    <row r="413" spans="27:28">
      <c r="AA413" s="19">
        <v>17227</v>
      </c>
      <c r="AB413">
        <v>21.9</v>
      </c>
    </row>
    <row r="414" spans="27:28">
      <c r="AA414" s="19">
        <v>17258</v>
      </c>
      <c r="AB414">
        <v>21.9</v>
      </c>
    </row>
    <row r="415" spans="27:28">
      <c r="AA415" s="19">
        <v>17288</v>
      </c>
      <c r="AB415">
        <v>21.9</v>
      </c>
    </row>
    <row r="416" spans="27:28">
      <c r="AA416" s="19">
        <v>17319</v>
      </c>
      <c r="AB416">
        <v>22</v>
      </c>
    </row>
    <row r="417" spans="27:28">
      <c r="AA417" s="19">
        <v>17349</v>
      </c>
      <c r="AB417">
        <v>22.2</v>
      </c>
    </row>
    <row r="418" spans="27:28">
      <c r="AA418" s="19">
        <v>17380</v>
      </c>
      <c r="AB418">
        <v>22.5</v>
      </c>
    </row>
    <row r="419" spans="27:28">
      <c r="AA419" s="19">
        <v>17411</v>
      </c>
      <c r="AB419">
        <v>23</v>
      </c>
    </row>
    <row r="420" spans="27:28">
      <c r="AA420" s="19">
        <v>17441</v>
      </c>
      <c r="AB420">
        <v>23</v>
      </c>
    </row>
    <row r="421" spans="27:28">
      <c r="AA421" s="19">
        <v>17472</v>
      </c>
      <c r="AB421">
        <v>23.1</v>
      </c>
    </row>
    <row r="422" spans="27:28">
      <c r="AA422" s="19">
        <v>17502</v>
      </c>
      <c r="AB422">
        <v>23.4</v>
      </c>
    </row>
    <row r="423" spans="27:28">
      <c r="AA423" s="19">
        <v>17533</v>
      </c>
      <c r="AB423">
        <v>23.7</v>
      </c>
    </row>
    <row r="424" spans="27:28">
      <c r="AA424" s="19">
        <v>17564</v>
      </c>
      <c r="AB424">
        <v>23.5</v>
      </c>
    </row>
    <row r="425" spans="27:28">
      <c r="AA425" s="19">
        <v>17593</v>
      </c>
      <c r="AB425">
        <v>23.4</v>
      </c>
    </row>
    <row r="426" spans="27:28">
      <c r="AA426" s="19">
        <v>17624</v>
      </c>
      <c r="AB426">
        <v>23.8</v>
      </c>
    </row>
    <row r="427" spans="27:28">
      <c r="AA427" s="19">
        <v>17654</v>
      </c>
      <c r="AB427">
        <v>23.9</v>
      </c>
    </row>
    <row r="428" spans="27:28">
      <c r="AA428" s="19">
        <v>17685</v>
      </c>
      <c r="AB428">
        <v>24.1</v>
      </c>
    </row>
    <row r="429" spans="27:28">
      <c r="AA429" s="19">
        <v>17715</v>
      </c>
      <c r="AB429">
        <v>24.4</v>
      </c>
    </row>
    <row r="430" spans="27:28">
      <c r="AA430" s="19">
        <v>17746</v>
      </c>
      <c r="AB430">
        <v>24.5</v>
      </c>
    </row>
    <row r="431" spans="27:28">
      <c r="AA431" s="19">
        <v>17777</v>
      </c>
      <c r="AB431">
        <v>24.5</v>
      </c>
    </row>
    <row r="432" spans="27:28">
      <c r="AA432" s="19">
        <v>17807</v>
      </c>
      <c r="AB432">
        <v>24.4</v>
      </c>
    </row>
    <row r="433" spans="27:28">
      <c r="AA433" s="19">
        <v>17838</v>
      </c>
      <c r="AB433">
        <v>24.2</v>
      </c>
    </row>
    <row r="434" spans="27:28">
      <c r="AA434" s="19">
        <v>17868</v>
      </c>
      <c r="AB434">
        <v>24.1</v>
      </c>
    </row>
    <row r="435" spans="27:28">
      <c r="AA435" s="19">
        <v>17899</v>
      </c>
      <c r="AB435">
        <v>24</v>
      </c>
    </row>
    <row r="436" spans="27:28">
      <c r="AA436" s="19">
        <v>17930</v>
      </c>
      <c r="AB436">
        <v>23.8</v>
      </c>
    </row>
    <row r="437" spans="27:28">
      <c r="AA437" s="19">
        <v>17958</v>
      </c>
      <c r="AB437">
        <v>23.8</v>
      </c>
    </row>
    <row r="438" spans="27:28">
      <c r="AA438" s="19">
        <v>17989</v>
      </c>
      <c r="AB438">
        <v>23.9</v>
      </c>
    </row>
    <row r="439" spans="27:28">
      <c r="AA439" s="19">
        <v>18019</v>
      </c>
      <c r="AB439">
        <v>23.8</v>
      </c>
    </row>
    <row r="440" spans="27:28">
      <c r="AA440" s="19">
        <v>18050</v>
      </c>
      <c r="AB440">
        <v>23.9</v>
      </c>
    </row>
    <row r="441" spans="27:28">
      <c r="AA441" s="19">
        <v>18080</v>
      </c>
      <c r="AB441">
        <v>23.7</v>
      </c>
    </row>
    <row r="442" spans="27:28">
      <c r="AA442" s="19">
        <v>18111</v>
      </c>
      <c r="AB442">
        <v>23.8</v>
      </c>
    </row>
    <row r="443" spans="27:28">
      <c r="AA443" s="19">
        <v>18142</v>
      </c>
      <c r="AB443">
        <v>23.9</v>
      </c>
    </row>
    <row r="444" spans="27:28">
      <c r="AA444" s="19">
        <v>18172</v>
      </c>
      <c r="AB444">
        <v>23.7</v>
      </c>
    </row>
    <row r="445" spans="27:28">
      <c r="AA445" s="19">
        <v>18203</v>
      </c>
      <c r="AB445">
        <v>23.8</v>
      </c>
    </row>
    <row r="446" spans="27:28">
      <c r="AA446" s="19">
        <v>18233</v>
      </c>
      <c r="AB446">
        <v>23.6</v>
      </c>
    </row>
    <row r="447" spans="27:28">
      <c r="AA447" s="19">
        <v>18264</v>
      </c>
      <c r="AB447">
        <v>23.5</v>
      </c>
    </row>
    <row r="448" spans="27:28">
      <c r="AA448" s="19">
        <v>18295</v>
      </c>
      <c r="AB448">
        <v>23.5</v>
      </c>
    </row>
    <row r="449" spans="27:28">
      <c r="AA449" s="19">
        <v>18323</v>
      </c>
      <c r="AB449">
        <v>23.6</v>
      </c>
    </row>
    <row r="450" spans="27:28">
      <c r="AA450" s="19">
        <v>18354</v>
      </c>
      <c r="AB450">
        <v>23.6</v>
      </c>
    </row>
    <row r="451" spans="27:28">
      <c r="AA451" s="19">
        <v>18384</v>
      </c>
      <c r="AB451">
        <v>23.7</v>
      </c>
    </row>
    <row r="452" spans="27:28">
      <c r="AA452" s="19">
        <v>18415</v>
      </c>
      <c r="AB452">
        <v>23.8</v>
      </c>
    </row>
    <row r="453" spans="27:28">
      <c r="AA453" s="19">
        <v>18445</v>
      </c>
      <c r="AB453">
        <v>24.1</v>
      </c>
    </row>
    <row r="454" spans="27:28">
      <c r="AA454" s="19">
        <v>18476</v>
      </c>
      <c r="AB454">
        <v>24.3</v>
      </c>
    </row>
    <row r="455" spans="27:28">
      <c r="AA455" s="19">
        <v>18507</v>
      </c>
      <c r="AB455">
        <v>24.4</v>
      </c>
    </row>
    <row r="456" spans="27:28">
      <c r="AA456" s="19">
        <v>18537</v>
      </c>
      <c r="AB456">
        <v>24.6</v>
      </c>
    </row>
    <row r="457" spans="27:28">
      <c r="AA457" s="19">
        <v>18568</v>
      </c>
      <c r="AB457">
        <v>24.7</v>
      </c>
    </row>
    <row r="458" spans="27:28">
      <c r="AA458" s="19">
        <v>18598</v>
      </c>
      <c r="AB458">
        <v>25</v>
      </c>
    </row>
    <row r="459" spans="27:28">
      <c r="AA459" s="19">
        <v>18629</v>
      </c>
      <c r="AB459">
        <v>25.4</v>
      </c>
    </row>
    <row r="460" spans="27:28">
      <c r="AA460" s="19">
        <v>18660</v>
      </c>
      <c r="AB460">
        <v>25.7</v>
      </c>
    </row>
    <row r="461" spans="27:28">
      <c r="AA461" s="19">
        <v>18688</v>
      </c>
      <c r="AB461">
        <v>25.8</v>
      </c>
    </row>
    <row r="462" spans="27:28">
      <c r="AA462" s="19">
        <v>18719</v>
      </c>
      <c r="AB462">
        <v>25.8</v>
      </c>
    </row>
    <row r="463" spans="27:28">
      <c r="AA463" s="19">
        <v>18749</v>
      </c>
      <c r="AB463">
        <v>25.9</v>
      </c>
    </row>
    <row r="464" spans="27:28">
      <c r="AA464" s="19">
        <v>18780</v>
      </c>
      <c r="AB464">
        <v>25.9</v>
      </c>
    </row>
    <row r="465" spans="27:28">
      <c r="AA465" s="19">
        <v>18810</v>
      </c>
      <c r="AB465">
        <v>25.9</v>
      </c>
    </row>
    <row r="466" spans="27:28">
      <c r="AA466" s="19">
        <v>18841</v>
      </c>
      <c r="AB466">
        <v>25.9</v>
      </c>
    </row>
    <row r="467" spans="27:28">
      <c r="AA467" s="19">
        <v>18872</v>
      </c>
      <c r="AB467">
        <v>26.1</v>
      </c>
    </row>
    <row r="468" spans="27:28">
      <c r="AA468" s="19">
        <v>18902</v>
      </c>
      <c r="AB468">
        <v>26.2</v>
      </c>
    </row>
    <row r="469" spans="27:28">
      <c r="AA469" s="19">
        <v>18933</v>
      </c>
      <c r="AB469">
        <v>26.4</v>
      </c>
    </row>
    <row r="470" spans="27:28">
      <c r="AA470" s="19">
        <v>18963</v>
      </c>
      <c r="AB470">
        <v>26.5</v>
      </c>
    </row>
    <row r="471" spans="27:28">
      <c r="AA471" s="19">
        <v>18994</v>
      </c>
      <c r="AB471">
        <v>26.5</v>
      </c>
    </row>
    <row r="472" spans="27:28">
      <c r="AA472" s="19">
        <v>19025</v>
      </c>
      <c r="AB472">
        <v>26.3</v>
      </c>
    </row>
    <row r="473" spans="27:28">
      <c r="AA473" s="19">
        <v>19054</v>
      </c>
      <c r="AB473">
        <v>26.3</v>
      </c>
    </row>
    <row r="474" spans="27:28">
      <c r="AA474" s="19">
        <v>19085</v>
      </c>
      <c r="AB474">
        <v>26.4</v>
      </c>
    </row>
    <row r="475" spans="27:28">
      <c r="AA475" s="19">
        <v>19115</v>
      </c>
      <c r="AB475">
        <v>26.4</v>
      </c>
    </row>
    <row r="476" spans="27:28">
      <c r="AA476" s="19">
        <v>19146</v>
      </c>
      <c r="AB476">
        <v>26.5</v>
      </c>
    </row>
    <row r="477" spans="27:28">
      <c r="AA477" s="19">
        <v>19176</v>
      </c>
      <c r="AB477">
        <v>26.7</v>
      </c>
    </row>
    <row r="478" spans="27:28">
      <c r="AA478" s="19">
        <v>19207</v>
      </c>
      <c r="AB478">
        <v>26.7</v>
      </c>
    </row>
    <row r="479" spans="27:28">
      <c r="AA479" s="19">
        <v>19238</v>
      </c>
      <c r="AB479">
        <v>26.7</v>
      </c>
    </row>
    <row r="480" spans="27:28">
      <c r="AA480" s="19">
        <v>19268</v>
      </c>
      <c r="AB480">
        <v>26.7</v>
      </c>
    </row>
    <row r="481" spans="27:28">
      <c r="AA481" s="19">
        <v>19299</v>
      </c>
      <c r="AB481">
        <v>26.7</v>
      </c>
    </row>
    <row r="482" spans="27:28">
      <c r="AA482" s="19">
        <v>19329</v>
      </c>
      <c r="AB482">
        <v>26.7</v>
      </c>
    </row>
    <row r="483" spans="27:28">
      <c r="AA483" s="19">
        <v>19360</v>
      </c>
      <c r="AB483">
        <v>26.6</v>
      </c>
    </row>
    <row r="484" spans="27:28">
      <c r="AA484" s="19">
        <v>19391</v>
      </c>
      <c r="AB484">
        <v>26.5</v>
      </c>
    </row>
    <row r="485" spans="27:28">
      <c r="AA485" s="19">
        <v>19419</v>
      </c>
      <c r="AB485">
        <v>26.6</v>
      </c>
    </row>
    <row r="486" spans="27:28">
      <c r="AA486" s="19">
        <v>19450</v>
      </c>
      <c r="AB486">
        <v>26.6</v>
      </c>
    </row>
    <row r="487" spans="27:28">
      <c r="AA487" s="19">
        <v>19480</v>
      </c>
      <c r="AB487">
        <v>26.7</v>
      </c>
    </row>
    <row r="488" spans="27:28">
      <c r="AA488" s="19">
        <v>19511</v>
      </c>
      <c r="AB488">
        <v>26.8</v>
      </c>
    </row>
    <row r="489" spans="27:28">
      <c r="AA489" s="19">
        <v>19541</v>
      </c>
      <c r="AB489">
        <v>26.8</v>
      </c>
    </row>
    <row r="490" spans="27:28">
      <c r="AA490" s="19">
        <v>19572</v>
      </c>
      <c r="AB490">
        <v>26.9</v>
      </c>
    </row>
    <row r="491" spans="27:28">
      <c r="AA491" s="19">
        <v>19603</v>
      </c>
      <c r="AB491">
        <v>26.9</v>
      </c>
    </row>
    <row r="492" spans="27:28">
      <c r="AA492" s="19">
        <v>19633</v>
      </c>
      <c r="AB492">
        <v>27</v>
      </c>
    </row>
    <row r="493" spans="27:28">
      <c r="AA493" s="19">
        <v>19664</v>
      </c>
      <c r="AB493">
        <v>26.9</v>
      </c>
    </row>
    <row r="494" spans="27:28">
      <c r="AA494" s="19">
        <v>19694</v>
      </c>
      <c r="AB494">
        <v>26.9</v>
      </c>
    </row>
    <row r="495" spans="27:28">
      <c r="AA495" s="19">
        <v>19725</v>
      </c>
      <c r="AB495">
        <v>26.9</v>
      </c>
    </row>
    <row r="496" spans="27:28">
      <c r="AA496" s="19">
        <v>19756</v>
      </c>
      <c r="AB496">
        <v>26.9</v>
      </c>
    </row>
    <row r="497" spans="27:28">
      <c r="AA497" s="19">
        <v>19784</v>
      </c>
      <c r="AB497">
        <v>26.9</v>
      </c>
    </row>
    <row r="498" spans="27:28">
      <c r="AA498" s="19">
        <v>19815</v>
      </c>
      <c r="AB498">
        <v>26.8</v>
      </c>
    </row>
    <row r="499" spans="27:28">
      <c r="AA499" s="19">
        <v>19845</v>
      </c>
      <c r="AB499">
        <v>26.9</v>
      </c>
    </row>
    <row r="500" spans="27:28">
      <c r="AA500" s="19">
        <v>19876</v>
      </c>
      <c r="AB500">
        <v>26.9</v>
      </c>
    </row>
    <row r="501" spans="27:28">
      <c r="AA501" s="19">
        <v>19906</v>
      </c>
      <c r="AB501">
        <v>26.9</v>
      </c>
    </row>
    <row r="502" spans="27:28">
      <c r="AA502" s="19">
        <v>19937</v>
      </c>
      <c r="AB502">
        <v>26.9</v>
      </c>
    </row>
    <row r="503" spans="27:28">
      <c r="AA503" s="19">
        <v>19968</v>
      </c>
      <c r="AB503">
        <v>26.8</v>
      </c>
    </row>
    <row r="504" spans="27:28">
      <c r="AA504" s="19">
        <v>19998</v>
      </c>
      <c r="AB504">
        <v>26.8</v>
      </c>
    </row>
    <row r="505" spans="27:28">
      <c r="AA505" s="19">
        <v>20029</v>
      </c>
      <c r="AB505">
        <v>26.8</v>
      </c>
    </row>
    <row r="506" spans="27:28">
      <c r="AA506" s="19">
        <v>20059</v>
      </c>
      <c r="AB506">
        <v>26.7</v>
      </c>
    </row>
    <row r="507" spans="27:28">
      <c r="AA507" s="19">
        <v>20090</v>
      </c>
      <c r="AB507">
        <v>26.7</v>
      </c>
    </row>
    <row r="508" spans="27:28">
      <c r="AA508" s="19">
        <v>20121</v>
      </c>
      <c r="AB508">
        <v>26.7</v>
      </c>
    </row>
    <row r="509" spans="27:28">
      <c r="AA509" s="19">
        <v>20149</v>
      </c>
      <c r="AB509">
        <v>26.7</v>
      </c>
    </row>
    <row r="510" spans="27:28">
      <c r="AA510" s="19">
        <v>20180</v>
      </c>
      <c r="AB510">
        <v>26.7</v>
      </c>
    </row>
    <row r="511" spans="27:28">
      <c r="AA511" s="19">
        <v>20210</v>
      </c>
      <c r="AB511">
        <v>26.7</v>
      </c>
    </row>
    <row r="512" spans="27:28">
      <c r="AA512" s="19">
        <v>20241</v>
      </c>
      <c r="AB512">
        <v>26.7</v>
      </c>
    </row>
    <row r="513" spans="27:28">
      <c r="AA513" s="19">
        <v>20271</v>
      </c>
      <c r="AB513">
        <v>26.8</v>
      </c>
    </row>
    <row r="514" spans="27:28">
      <c r="AA514" s="19">
        <v>20302</v>
      </c>
      <c r="AB514">
        <v>26.8</v>
      </c>
    </row>
    <row r="515" spans="27:28">
      <c r="AA515" s="19">
        <v>20333</v>
      </c>
      <c r="AB515">
        <v>26.9</v>
      </c>
    </row>
    <row r="516" spans="27:28">
      <c r="AA516" s="19">
        <v>20363</v>
      </c>
      <c r="AB516">
        <v>26.9</v>
      </c>
    </row>
    <row r="517" spans="27:28">
      <c r="AA517" s="19">
        <v>20394</v>
      </c>
      <c r="AB517">
        <v>26.9</v>
      </c>
    </row>
    <row r="518" spans="27:28">
      <c r="AA518" s="19">
        <v>20424</v>
      </c>
      <c r="AB518">
        <v>26.8</v>
      </c>
    </row>
    <row r="519" spans="27:28">
      <c r="AA519" s="19">
        <v>20455</v>
      </c>
      <c r="AB519">
        <v>26.8</v>
      </c>
    </row>
    <row r="520" spans="27:28">
      <c r="AA520" s="19">
        <v>20486</v>
      </c>
      <c r="AB520">
        <v>26.8</v>
      </c>
    </row>
    <row r="521" spans="27:28">
      <c r="AA521" s="19">
        <v>20515</v>
      </c>
      <c r="AB521">
        <v>26.8</v>
      </c>
    </row>
    <row r="522" spans="27:28">
      <c r="AA522" s="19">
        <v>20546</v>
      </c>
      <c r="AB522">
        <v>26.9</v>
      </c>
    </row>
    <row r="523" spans="27:28">
      <c r="AA523" s="19">
        <v>20576</v>
      </c>
      <c r="AB523">
        <v>27</v>
      </c>
    </row>
    <row r="524" spans="27:28">
      <c r="AA524" s="19">
        <v>20607</v>
      </c>
      <c r="AB524">
        <v>27.2</v>
      </c>
    </row>
    <row r="525" spans="27:28">
      <c r="AA525" s="19">
        <v>20637</v>
      </c>
      <c r="AB525">
        <v>27.4</v>
      </c>
    </row>
    <row r="526" spans="27:28">
      <c r="AA526" s="19">
        <v>20668</v>
      </c>
      <c r="AB526">
        <v>27.3</v>
      </c>
    </row>
    <row r="527" spans="27:28">
      <c r="AA527" s="19">
        <v>20699</v>
      </c>
      <c r="AB527">
        <v>27.4</v>
      </c>
    </row>
    <row r="528" spans="27:28">
      <c r="AA528" s="19">
        <v>20729</v>
      </c>
      <c r="AB528">
        <v>27.5</v>
      </c>
    </row>
    <row r="529" spans="27:28">
      <c r="AA529" s="19">
        <v>20760</v>
      </c>
      <c r="AB529">
        <v>27.5</v>
      </c>
    </row>
    <row r="530" spans="27:28">
      <c r="AA530" s="19">
        <v>20790</v>
      </c>
      <c r="AB530">
        <v>27.6</v>
      </c>
    </row>
    <row r="531" spans="27:28">
      <c r="AA531" s="19">
        <v>20821</v>
      </c>
      <c r="AB531">
        <v>27.6</v>
      </c>
    </row>
    <row r="532" spans="27:28">
      <c r="AA532" s="19">
        <v>20852</v>
      </c>
      <c r="AB532">
        <v>27.7</v>
      </c>
    </row>
    <row r="533" spans="27:28">
      <c r="AA533" s="19">
        <v>20880</v>
      </c>
      <c r="AB533">
        <v>27.8</v>
      </c>
    </row>
    <row r="534" spans="27:28">
      <c r="AA534" s="19">
        <v>20911</v>
      </c>
      <c r="AB534">
        <v>27.9</v>
      </c>
    </row>
    <row r="535" spans="27:28">
      <c r="AA535" s="19">
        <v>20941</v>
      </c>
      <c r="AB535">
        <v>28</v>
      </c>
    </row>
    <row r="536" spans="27:28">
      <c r="AA536" s="19">
        <v>20972</v>
      </c>
      <c r="AB536">
        <v>28.1</v>
      </c>
    </row>
    <row r="537" spans="27:28">
      <c r="AA537" s="19">
        <v>21002</v>
      </c>
      <c r="AB537">
        <v>28.3</v>
      </c>
    </row>
    <row r="538" spans="27:28">
      <c r="AA538" s="19">
        <v>21033</v>
      </c>
      <c r="AB538">
        <v>28.3</v>
      </c>
    </row>
    <row r="539" spans="27:28">
      <c r="AA539" s="19">
        <v>21064</v>
      </c>
      <c r="AB539">
        <v>28.3</v>
      </c>
    </row>
    <row r="540" spans="27:28">
      <c r="AA540" s="19">
        <v>21094</v>
      </c>
      <c r="AB540">
        <v>28.3</v>
      </c>
    </row>
    <row r="541" spans="27:28">
      <c r="AA541" s="19">
        <v>21125</v>
      </c>
      <c r="AB541">
        <v>28.4</v>
      </c>
    </row>
    <row r="542" spans="27:28">
      <c r="AA542" s="19">
        <v>21155</v>
      </c>
      <c r="AB542">
        <v>28.4</v>
      </c>
    </row>
    <row r="543" spans="27:28">
      <c r="AA543" s="19">
        <v>21186</v>
      </c>
      <c r="AB543">
        <v>28.6</v>
      </c>
    </row>
    <row r="544" spans="27:28">
      <c r="AA544" s="19">
        <v>21217</v>
      </c>
      <c r="AB544">
        <v>28.6</v>
      </c>
    </row>
    <row r="545" spans="27:28">
      <c r="AA545" s="19">
        <v>21245</v>
      </c>
      <c r="AB545">
        <v>28.8</v>
      </c>
    </row>
    <row r="546" spans="27:28">
      <c r="AA546" s="19">
        <v>21276</v>
      </c>
      <c r="AB546">
        <v>28.9</v>
      </c>
    </row>
    <row r="547" spans="27:28">
      <c r="AA547" s="19">
        <v>21306</v>
      </c>
      <c r="AB547">
        <v>28.9</v>
      </c>
    </row>
    <row r="548" spans="27:28">
      <c r="AA548" s="19">
        <v>21337</v>
      </c>
      <c r="AB548">
        <v>28.9</v>
      </c>
    </row>
    <row r="549" spans="27:28">
      <c r="AA549" s="19">
        <v>21367</v>
      </c>
      <c r="AB549">
        <v>29</v>
      </c>
    </row>
    <row r="550" spans="27:28">
      <c r="AA550" s="19">
        <v>21398</v>
      </c>
      <c r="AB550">
        <v>28.9</v>
      </c>
    </row>
    <row r="551" spans="27:28">
      <c r="AA551" s="19">
        <v>21429</v>
      </c>
      <c r="AB551">
        <v>28.9</v>
      </c>
    </row>
    <row r="552" spans="27:28">
      <c r="AA552" s="19">
        <v>21459</v>
      </c>
      <c r="AB552">
        <v>28.9</v>
      </c>
    </row>
    <row r="553" spans="27:28">
      <c r="AA553" s="19">
        <v>21490</v>
      </c>
      <c r="AB553">
        <v>29</v>
      </c>
    </row>
    <row r="554" spans="27:28">
      <c r="AA554" s="19">
        <v>21520</v>
      </c>
      <c r="AB554">
        <v>28.9</v>
      </c>
    </row>
    <row r="555" spans="27:28">
      <c r="AA555" s="19">
        <v>21551</v>
      </c>
      <c r="AB555">
        <v>29</v>
      </c>
    </row>
    <row r="556" spans="27:28">
      <c r="AA556" s="19">
        <v>21582</v>
      </c>
      <c r="AB556">
        <v>28.9</v>
      </c>
    </row>
    <row r="557" spans="27:28">
      <c r="AA557" s="19">
        <v>21610</v>
      </c>
      <c r="AB557">
        <v>28.9</v>
      </c>
    </row>
    <row r="558" spans="27:28">
      <c r="AA558" s="19">
        <v>21641</v>
      </c>
      <c r="AB558">
        <v>29</v>
      </c>
    </row>
    <row r="559" spans="27:28">
      <c r="AA559" s="19">
        <v>21671</v>
      </c>
      <c r="AB559">
        <v>29</v>
      </c>
    </row>
    <row r="560" spans="27:28">
      <c r="AA560" s="19">
        <v>21702</v>
      </c>
      <c r="AB560">
        <v>29.1</v>
      </c>
    </row>
    <row r="561" spans="27:28">
      <c r="AA561" s="19">
        <v>21732</v>
      </c>
      <c r="AB561">
        <v>29.2</v>
      </c>
    </row>
    <row r="562" spans="27:28">
      <c r="AA562" s="19">
        <v>21763</v>
      </c>
      <c r="AB562">
        <v>29.2</v>
      </c>
    </row>
    <row r="563" spans="27:28">
      <c r="AA563" s="19">
        <v>21794</v>
      </c>
      <c r="AB563">
        <v>29.3</v>
      </c>
    </row>
    <row r="564" spans="27:28">
      <c r="AA564" s="19">
        <v>21824</v>
      </c>
      <c r="AB564">
        <v>29.4</v>
      </c>
    </row>
    <row r="565" spans="27:28">
      <c r="AA565" s="19">
        <v>21855</v>
      </c>
      <c r="AB565">
        <v>29.4</v>
      </c>
    </row>
    <row r="566" spans="27:28">
      <c r="AA566" s="19">
        <v>21885</v>
      </c>
      <c r="AB566">
        <v>29.4</v>
      </c>
    </row>
    <row r="567" spans="27:28">
      <c r="AA567" s="19">
        <v>21916</v>
      </c>
      <c r="AB567">
        <v>29.3</v>
      </c>
    </row>
    <row r="568" spans="27:28">
      <c r="AA568" s="19">
        <v>21947</v>
      </c>
      <c r="AB568">
        <v>29.4</v>
      </c>
    </row>
    <row r="569" spans="27:28">
      <c r="AA569" s="19">
        <v>21976</v>
      </c>
      <c r="AB569">
        <v>29.4</v>
      </c>
    </row>
    <row r="570" spans="27:28">
      <c r="AA570" s="19">
        <v>22007</v>
      </c>
      <c r="AB570">
        <v>29.5</v>
      </c>
    </row>
    <row r="571" spans="27:28">
      <c r="AA571" s="19">
        <v>22037</v>
      </c>
      <c r="AB571">
        <v>29.5</v>
      </c>
    </row>
    <row r="572" spans="27:28">
      <c r="AA572" s="19">
        <v>22068</v>
      </c>
      <c r="AB572">
        <v>29.6</v>
      </c>
    </row>
    <row r="573" spans="27:28">
      <c r="AA573" s="19">
        <v>22098</v>
      </c>
      <c r="AB573">
        <v>29.6</v>
      </c>
    </row>
    <row r="574" spans="27:28">
      <c r="AA574" s="19">
        <v>22129</v>
      </c>
      <c r="AB574">
        <v>29.6</v>
      </c>
    </row>
    <row r="575" spans="27:28">
      <c r="AA575" s="19">
        <v>22160</v>
      </c>
      <c r="AB575">
        <v>29.6</v>
      </c>
    </row>
    <row r="576" spans="27:28">
      <c r="AA576" s="19">
        <v>22190</v>
      </c>
      <c r="AB576">
        <v>29.8</v>
      </c>
    </row>
    <row r="577" spans="27:28">
      <c r="AA577" s="19">
        <v>22221</v>
      </c>
      <c r="AB577">
        <v>29.8</v>
      </c>
    </row>
    <row r="578" spans="27:28">
      <c r="AA578" s="19">
        <v>22251</v>
      </c>
      <c r="AB578">
        <v>29.8</v>
      </c>
    </row>
    <row r="579" spans="27:28">
      <c r="AA579" s="19">
        <v>22282</v>
      </c>
      <c r="AB579">
        <v>29.8</v>
      </c>
    </row>
    <row r="580" spans="27:28">
      <c r="AA580" s="19">
        <v>22313</v>
      </c>
      <c r="AB580">
        <v>29.8</v>
      </c>
    </row>
    <row r="581" spans="27:28">
      <c r="AA581" s="19">
        <v>22341</v>
      </c>
      <c r="AB581">
        <v>29.8</v>
      </c>
    </row>
    <row r="582" spans="27:28">
      <c r="AA582" s="19">
        <v>22372</v>
      </c>
      <c r="AB582">
        <v>29.8</v>
      </c>
    </row>
    <row r="583" spans="27:28">
      <c r="AA583" s="19">
        <v>22402</v>
      </c>
      <c r="AB583">
        <v>29.8</v>
      </c>
    </row>
    <row r="584" spans="27:28">
      <c r="AA584" s="19">
        <v>22433</v>
      </c>
      <c r="AB584">
        <v>29.8</v>
      </c>
    </row>
    <row r="585" spans="27:28">
      <c r="AA585" s="19">
        <v>22463</v>
      </c>
      <c r="AB585">
        <v>30</v>
      </c>
    </row>
    <row r="586" spans="27:28">
      <c r="AA586" s="19">
        <v>22494</v>
      </c>
      <c r="AB586">
        <v>29.9</v>
      </c>
    </row>
    <row r="587" spans="27:28">
      <c r="AA587" s="19">
        <v>22525</v>
      </c>
      <c r="AB587">
        <v>30</v>
      </c>
    </row>
    <row r="588" spans="27:28">
      <c r="AA588" s="19">
        <v>22555</v>
      </c>
      <c r="AB588">
        <v>30</v>
      </c>
    </row>
    <row r="589" spans="27:28">
      <c r="AA589" s="19">
        <v>22586</v>
      </c>
      <c r="AB589">
        <v>30</v>
      </c>
    </row>
    <row r="590" spans="27:28">
      <c r="AA590" s="19">
        <v>22616</v>
      </c>
      <c r="AB590">
        <v>30</v>
      </c>
    </row>
    <row r="591" spans="27:28">
      <c r="AA591" s="19">
        <v>22647</v>
      </c>
      <c r="AB591">
        <v>30</v>
      </c>
    </row>
    <row r="592" spans="27:28">
      <c r="AA592" s="19">
        <v>22678</v>
      </c>
      <c r="AB592">
        <v>30.1</v>
      </c>
    </row>
    <row r="593" spans="27:28">
      <c r="AA593" s="19">
        <v>22706</v>
      </c>
      <c r="AB593">
        <v>30.1</v>
      </c>
    </row>
    <row r="594" spans="27:28">
      <c r="AA594" s="19">
        <v>22737</v>
      </c>
      <c r="AB594">
        <v>30.2</v>
      </c>
    </row>
    <row r="595" spans="27:28">
      <c r="AA595" s="19">
        <v>22767</v>
      </c>
      <c r="AB595">
        <v>30.2</v>
      </c>
    </row>
    <row r="596" spans="27:28">
      <c r="AA596" s="19">
        <v>22798</v>
      </c>
      <c r="AB596">
        <v>30.2</v>
      </c>
    </row>
    <row r="597" spans="27:28">
      <c r="AA597" s="19">
        <v>22828</v>
      </c>
      <c r="AB597">
        <v>30.3</v>
      </c>
    </row>
    <row r="598" spans="27:28">
      <c r="AA598" s="19">
        <v>22859</v>
      </c>
      <c r="AB598">
        <v>30.3</v>
      </c>
    </row>
    <row r="599" spans="27:28">
      <c r="AA599" s="19">
        <v>22890</v>
      </c>
      <c r="AB599">
        <v>30.4</v>
      </c>
    </row>
    <row r="600" spans="27:28">
      <c r="AA600" s="19">
        <v>22920</v>
      </c>
      <c r="AB600">
        <v>30.4</v>
      </c>
    </row>
    <row r="601" spans="27:28">
      <c r="AA601" s="19">
        <v>22951</v>
      </c>
      <c r="AB601">
        <v>30.4</v>
      </c>
    </row>
    <row r="602" spans="27:28">
      <c r="AA602" s="19">
        <v>22981</v>
      </c>
      <c r="AB602">
        <v>30.4</v>
      </c>
    </row>
    <row r="603" spans="27:28">
      <c r="AA603" s="19">
        <v>23012</v>
      </c>
      <c r="AB603">
        <v>30.4</v>
      </c>
    </row>
    <row r="604" spans="27:28">
      <c r="AA604" s="19">
        <v>23043</v>
      </c>
      <c r="AB604">
        <v>30.4</v>
      </c>
    </row>
    <row r="605" spans="27:28">
      <c r="AA605" s="19">
        <v>23071</v>
      </c>
      <c r="AB605">
        <v>30.5</v>
      </c>
    </row>
    <row r="606" spans="27:28">
      <c r="AA606" s="19">
        <v>23102</v>
      </c>
      <c r="AB606">
        <v>30.5</v>
      </c>
    </row>
    <row r="607" spans="27:28">
      <c r="AA607" s="19">
        <v>23132</v>
      </c>
      <c r="AB607">
        <v>30.5</v>
      </c>
    </row>
    <row r="608" spans="27:28">
      <c r="AA608" s="19">
        <v>23163</v>
      </c>
      <c r="AB608">
        <v>30.6</v>
      </c>
    </row>
    <row r="609" spans="27:28">
      <c r="AA609" s="19">
        <v>23193</v>
      </c>
      <c r="AB609">
        <v>30.7</v>
      </c>
    </row>
    <row r="610" spans="27:28">
      <c r="AA610" s="19">
        <v>23224</v>
      </c>
      <c r="AB610">
        <v>30.7</v>
      </c>
    </row>
    <row r="611" spans="27:28">
      <c r="AA611" s="19">
        <v>23255</v>
      </c>
      <c r="AB611">
        <v>30.7</v>
      </c>
    </row>
    <row r="612" spans="27:28">
      <c r="AA612" s="19">
        <v>23285</v>
      </c>
      <c r="AB612">
        <v>30.8</v>
      </c>
    </row>
    <row r="613" spans="27:28">
      <c r="AA613" s="19">
        <v>23316</v>
      </c>
      <c r="AB613">
        <v>30.8</v>
      </c>
    </row>
    <row r="614" spans="27:28">
      <c r="AA614" s="19">
        <v>23346</v>
      </c>
      <c r="AB614">
        <v>30.9</v>
      </c>
    </row>
    <row r="615" spans="27:28">
      <c r="AA615" s="19">
        <v>23377</v>
      </c>
      <c r="AB615">
        <v>30.9</v>
      </c>
    </row>
    <row r="616" spans="27:28">
      <c r="AA616" s="19">
        <v>23408</v>
      </c>
      <c r="AB616">
        <v>30.9</v>
      </c>
    </row>
    <row r="617" spans="27:28">
      <c r="AA617" s="19">
        <v>23437</v>
      </c>
      <c r="AB617">
        <v>30.9</v>
      </c>
    </row>
    <row r="618" spans="27:28">
      <c r="AA618" s="19">
        <v>23468</v>
      </c>
      <c r="AB618">
        <v>30.9</v>
      </c>
    </row>
    <row r="619" spans="27:28">
      <c r="AA619" s="19">
        <v>23498</v>
      </c>
      <c r="AB619">
        <v>30.9</v>
      </c>
    </row>
    <row r="620" spans="27:28">
      <c r="AA620" s="19">
        <v>23529</v>
      </c>
      <c r="AB620">
        <v>31</v>
      </c>
    </row>
    <row r="621" spans="27:28">
      <c r="AA621" s="19">
        <v>23559</v>
      </c>
      <c r="AB621">
        <v>31.1</v>
      </c>
    </row>
    <row r="622" spans="27:28">
      <c r="AA622" s="19">
        <v>23590</v>
      </c>
      <c r="AB622">
        <v>31</v>
      </c>
    </row>
    <row r="623" spans="27:28">
      <c r="AA623" s="19">
        <v>23621</v>
      </c>
      <c r="AB623">
        <v>31.1</v>
      </c>
    </row>
    <row r="624" spans="27:28">
      <c r="AA624" s="19">
        <v>23651</v>
      </c>
      <c r="AB624">
        <v>31.1</v>
      </c>
    </row>
    <row r="625" spans="27:28">
      <c r="AA625" s="19">
        <v>23682</v>
      </c>
      <c r="AB625">
        <v>31.2</v>
      </c>
    </row>
    <row r="626" spans="27:28">
      <c r="AA626" s="19">
        <v>23712</v>
      </c>
      <c r="AB626">
        <v>31.2</v>
      </c>
    </row>
    <row r="627" spans="27:28">
      <c r="AA627" s="19">
        <v>23743</v>
      </c>
      <c r="AB627">
        <v>31.2</v>
      </c>
    </row>
    <row r="628" spans="27:28">
      <c r="AA628" s="19">
        <v>23774</v>
      </c>
      <c r="AB628">
        <v>31.2</v>
      </c>
    </row>
    <row r="629" spans="27:28">
      <c r="AA629" s="19">
        <v>23802</v>
      </c>
      <c r="AB629">
        <v>31.3</v>
      </c>
    </row>
    <row r="630" spans="27:28">
      <c r="AA630" s="19">
        <v>23833</v>
      </c>
      <c r="AB630">
        <v>31.4</v>
      </c>
    </row>
    <row r="631" spans="27:28">
      <c r="AA631" s="19">
        <v>23863</v>
      </c>
      <c r="AB631">
        <v>31.4</v>
      </c>
    </row>
    <row r="632" spans="27:28">
      <c r="AA632" s="19">
        <v>23894</v>
      </c>
      <c r="AB632">
        <v>31.6</v>
      </c>
    </row>
    <row r="633" spans="27:28">
      <c r="AA633" s="19">
        <v>23924</v>
      </c>
      <c r="AB633">
        <v>31.6</v>
      </c>
    </row>
    <row r="634" spans="27:28">
      <c r="AA634" s="19">
        <v>23955</v>
      </c>
      <c r="AB634">
        <v>31.6</v>
      </c>
    </row>
    <row r="635" spans="27:28">
      <c r="AA635" s="19">
        <v>23986</v>
      </c>
      <c r="AB635">
        <v>31.6</v>
      </c>
    </row>
    <row r="636" spans="27:28">
      <c r="AA636" s="19">
        <v>24016</v>
      </c>
      <c r="AB636">
        <v>31.7</v>
      </c>
    </row>
    <row r="637" spans="27:28">
      <c r="AA637" s="19">
        <v>24047</v>
      </c>
      <c r="AB637">
        <v>31.7</v>
      </c>
    </row>
    <row r="638" spans="27:28">
      <c r="AA638" s="19">
        <v>24077</v>
      </c>
      <c r="AB638">
        <v>31.8</v>
      </c>
    </row>
    <row r="639" spans="27:28">
      <c r="AA639" s="19">
        <v>24108</v>
      </c>
      <c r="AB639">
        <v>31.8</v>
      </c>
    </row>
    <row r="640" spans="27:28">
      <c r="AA640" s="19">
        <v>24139</v>
      </c>
      <c r="AB640">
        <v>32</v>
      </c>
    </row>
    <row r="641" spans="27:28">
      <c r="AA641" s="19">
        <v>24167</v>
      </c>
      <c r="AB641">
        <v>32.1</v>
      </c>
    </row>
    <row r="642" spans="27:28">
      <c r="AA642" s="19">
        <v>24198</v>
      </c>
      <c r="AB642">
        <v>32.299999999999997</v>
      </c>
    </row>
    <row r="643" spans="27:28">
      <c r="AA643" s="19">
        <v>24228</v>
      </c>
      <c r="AB643">
        <v>32.299999999999997</v>
      </c>
    </row>
    <row r="644" spans="27:28">
      <c r="AA644" s="19">
        <v>24259</v>
      </c>
      <c r="AB644">
        <v>32.4</v>
      </c>
    </row>
    <row r="645" spans="27:28">
      <c r="AA645" s="19">
        <v>24289</v>
      </c>
      <c r="AB645">
        <v>32.5</v>
      </c>
    </row>
    <row r="646" spans="27:28">
      <c r="AA646" s="19">
        <v>24320</v>
      </c>
      <c r="AB646">
        <v>32.700000000000003</v>
      </c>
    </row>
    <row r="647" spans="27:28">
      <c r="AA647" s="19">
        <v>24351</v>
      </c>
      <c r="AB647">
        <v>32.700000000000003</v>
      </c>
    </row>
    <row r="648" spans="27:28">
      <c r="AA648" s="19">
        <v>24381</v>
      </c>
      <c r="AB648">
        <v>32.9</v>
      </c>
    </row>
    <row r="649" spans="27:28">
      <c r="AA649" s="19">
        <v>24412</v>
      </c>
      <c r="AB649">
        <v>32.9</v>
      </c>
    </row>
    <row r="650" spans="27:28">
      <c r="AA650" s="19">
        <v>24442</v>
      </c>
      <c r="AB650">
        <v>32.9</v>
      </c>
    </row>
    <row r="651" spans="27:28">
      <c r="AA651" s="19">
        <v>24473</v>
      </c>
      <c r="AB651">
        <v>32.9</v>
      </c>
    </row>
    <row r="652" spans="27:28">
      <c r="AA652" s="19">
        <v>24504</v>
      </c>
      <c r="AB652">
        <v>32.9</v>
      </c>
    </row>
    <row r="653" spans="27:28">
      <c r="AA653" s="19">
        <v>24532</v>
      </c>
      <c r="AB653">
        <v>33</v>
      </c>
    </row>
    <row r="654" spans="27:28">
      <c r="AA654" s="19">
        <v>24563</v>
      </c>
      <c r="AB654">
        <v>33.1</v>
      </c>
    </row>
    <row r="655" spans="27:28">
      <c r="AA655" s="19">
        <v>24593</v>
      </c>
      <c r="AB655">
        <v>33.200000000000003</v>
      </c>
    </row>
    <row r="656" spans="27:28">
      <c r="AA656" s="19">
        <v>24624</v>
      </c>
      <c r="AB656">
        <v>33.299999999999997</v>
      </c>
    </row>
    <row r="657" spans="27:28">
      <c r="AA657" s="19">
        <v>24654</v>
      </c>
      <c r="AB657">
        <v>33.4</v>
      </c>
    </row>
    <row r="658" spans="27:28">
      <c r="AA658" s="19">
        <v>24685</v>
      </c>
      <c r="AB658">
        <v>33.5</v>
      </c>
    </row>
    <row r="659" spans="27:28">
      <c r="AA659" s="19">
        <v>24716</v>
      </c>
      <c r="AB659">
        <v>33.6</v>
      </c>
    </row>
    <row r="660" spans="27:28">
      <c r="AA660" s="19">
        <v>24746</v>
      </c>
      <c r="AB660">
        <v>33.700000000000003</v>
      </c>
    </row>
    <row r="661" spans="27:28">
      <c r="AA661" s="19">
        <v>24777</v>
      </c>
      <c r="AB661">
        <v>33.799999999999997</v>
      </c>
    </row>
    <row r="662" spans="27:28">
      <c r="AA662" s="19">
        <v>24807</v>
      </c>
      <c r="AB662">
        <v>33.9</v>
      </c>
    </row>
    <row r="663" spans="27:28">
      <c r="AA663" s="19">
        <v>24838</v>
      </c>
      <c r="AB663">
        <v>34.1</v>
      </c>
    </row>
    <row r="664" spans="27:28">
      <c r="AA664" s="19">
        <v>24869</v>
      </c>
      <c r="AB664">
        <v>34.200000000000003</v>
      </c>
    </row>
    <row r="665" spans="27:28">
      <c r="AA665" s="19">
        <v>24898</v>
      </c>
      <c r="AB665">
        <v>34.299999999999997</v>
      </c>
    </row>
    <row r="666" spans="27:28">
      <c r="AA666" s="19">
        <v>24929</v>
      </c>
      <c r="AB666">
        <v>34.4</v>
      </c>
    </row>
    <row r="667" spans="27:28">
      <c r="AA667" s="19">
        <v>24959</v>
      </c>
      <c r="AB667">
        <v>34.5</v>
      </c>
    </row>
    <row r="668" spans="27:28">
      <c r="AA668" s="19">
        <v>24990</v>
      </c>
      <c r="AB668">
        <v>34.700000000000003</v>
      </c>
    </row>
    <row r="669" spans="27:28">
      <c r="AA669" s="19">
        <v>25020</v>
      </c>
      <c r="AB669">
        <v>34.9</v>
      </c>
    </row>
    <row r="670" spans="27:28">
      <c r="AA670" s="19">
        <v>25051</v>
      </c>
      <c r="AB670">
        <v>35</v>
      </c>
    </row>
    <row r="671" spans="27:28">
      <c r="AA671" s="19">
        <v>25082</v>
      </c>
      <c r="AB671">
        <v>35.1</v>
      </c>
    </row>
    <row r="672" spans="27:28">
      <c r="AA672" s="19">
        <v>25112</v>
      </c>
      <c r="AB672">
        <v>35.299999999999997</v>
      </c>
    </row>
    <row r="673" spans="27:28">
      <c r="AA673" s="19">
        <v>25143</v>
      </c>
      <c r="AB673">
        <v>35.4</v>
      </c>
    </row>
    <row r="674" spans="27:28">
      <c r="AA674" s="19">
        <v>25173</v>
      </c>
      <c r="AB674">
        <v>35.5</v>
      </c>
    </row>
    <row r="675" spans="27:28">
      <c r="AA675" s="19">
        <v>25204</v>
      </c>
      <c r="AB675">
        <v>35.6</v>
      </c>
    </row>
    <row r="676" spans="27:28">
      <c r="AA676" s="19">
        <v>25235</v>
      </c>
      <c r="AB676">
        <v>35.799999999999997</v>
      </c>
    </row>
    <row r="677" spans="27:28">
      <c r="AA677" s="19">
        <v>25263</v>
      </c>
      <c r="AB677">
        <v>36.1</v>
      </c>
    </row>
    <row r="678" spans="27:28">
      <c r="AA678" s="19">
        <v>25294</v>
      </c>
      <c r="AB678">
        <v>36.299999999999997</v>
      </c>
    </row>
    <row r="679" spans="27:28">
      <c r="AA679" s="19">
        <v>25324</v>
      </c>
      <c r="AB679">
        <v>36.4</v>
      </c>
    </row>
    <row r="680" spans="27:28">
      <c r="AA680" s="19">
        <v>25355</v>
      </c>
      <c r="AB680">
        <v>36.6</v>
      </c>
    </row>
    <row r="681" spans="27:28">
      <c r="AA681" s="19">
        <v>25385</v>
      </c>
      <c r="AB681">
        <v>36.799999999999997</v>
      </c>
    </row>
    <row r="682" spans="27:28">
      <c r="AA682" s="19">
        <v>25416</v>
      </c>
      <c r="AB682">
        <v>37</v>
      </c>
    </row>
    <row r="683" spans="27:28">
      <c r="AA683" s="19">
        <v>25447</v>
      </c>
      <c r="AB683">
        <v>37.1</v>
      </c>
    </row>
    <row r="684" spans="27:28">
      <c r="AA684" s="19">
        <v>25477</v>
      </c>
      <c r="AB684">
        <v>37.299999999999997</v>
      </c>
    </row>
    <row r="685" spans="27:28">
      <c r="AA685" s="19">
        <v>25508</v>
      </c>
      <c r="AB685">
        <v>37.5</v>
      </c>
    </row>
    <row r="686" spans="27:28">
      <c r="AA686" s="19">
        <v>25538</v>
      </c>
      <c r="AB686">
        <v>37.700000000000003</v>
      </c>
    </row>
    <row r="687" spans="27:28">
      <c r="AA687" s="19">
        <v>25569</v>
      </c>
      <c r="AB687">
        <v>37.799999999999997</v>
      </c>
    </row>
    <row r="688" spans="27:28">
      <c r="AA688" s="19">
        <v>25600</v>
      </c>
      <c r="AB688">
        <v>38</v>
      </c>
    </row>
    <row r="689" spans="27:28">
      <c r="AA689" s="19">
        <v>25628</v>
      </c>
      <c r="AB689">
        <v>38.200000000000003</v>
      </c>
    </row>
    <row r="690" spans="27:28">
      <c r="AA690" s="19">
        <v>25659</v>
      </c>
      <c r="AB690">
        <v>38.5</v>
      </c>
    </row>
    <row r="691" spans="27:28">
      <c r="AA691" s="19">
        <v>25689</v>
      </c>
      <c r="AB691">
        <v>38.6</v>
      </c>
    </row>
    <row r="692" spans="27:28">
      <c r="AA692" s="19">
        <v>25720</v>
      </c>
      <c r="AB692">
        <v>38.799999999999997</v>
      </c>
    </row>
    <row r="693" spans="27:28">
      <c r="AA693" s="19">
        <v>25750</v>
      </c>
      <c r="AB693">
        <v>39</v>
      </c>
    </row>
    <row r="694" spans="27:28">
      <c r="AA694" s="19">
        <v>25781</v>
      </c>
      <c r="AB694">
        <v>39</v>
      </c>
    </row>
    <row r="695" spans="27:28">
      <c r="AA695" s="19">
        <v>25812</v>
      </c>
      <c r="AB695">
        <v>39.200000000000003</v>
      </c>
    </row>
    <row r="696" spans="27:28">
      <c r="AA696" s="19">
        <v>25842</v>
      </c>
      <c r="AB696">
        <v>39.4</v>
      </c>
    </row>
    <row r="697" spans="27:28">
      <c r="AA697" s="19">
        <v>25873</v>
      </c>
      <c r="AB697">
        <v>39.6</v>
      </c>
    </row>
    <row r="698" spans="27:28">
      <c r="AA698" s="19">
        <v>25903</v>
      </c>
      <c r="AB698">
        <v>39.799999999999997</v>
      </c>
    </row>
    <row r="699" spans="27:28">
      <c r="AA699" s="19">
        <v>25934</v>
      </c>
      <c r="AB699">
        <v>39.799999999999997</v>
      </c>
    </row>
    <row r="700" spans="27:28">
      <c r="AA700" s="19">
        <v>25965</v>
      </c>
      <c r="AB700">
        <v>39.9</v>
      </c>
    </row>
    <row r="701" spans="27:28">
      <c r="AA701" s="19">
        <v>25993</v>
      </c>
      <c r="AB701">
        <v>40</v>
      </c>
    </row>
    <row r="702" spans="27:28">
      <c r="AA702" s="19">
        <v>26024</v>
      </c>
      <c r="AB702">
        <v>40.1</v>
      </c>
    </row>
    <row r="703" spans="27:28">
      <c r="AA703" s="19">
        <v>26054</v>
      </c>
      <c r="AB703">
        <v>40.299999999999997</v>
      </c>
    </row>
    <row r="704" spans="27:28">
      <c r="AA704" s="19">
        <v>26085</v>
      </c>
      <c r="AB704">
        <v>40.6</v>
      </c>
    </row>
    <row r="705" spans="27:28">
      <c r="AA705" s="19">
        <v>26115</v>
      </c>
      <c r="AB705">
        <v>40.700000000000003</v>
      </c>
    </row>
    <row r="706" spans="27:28">
      <c r="AA706" s="19">
        <v>26146</v>
      </c>
      <c r="AB706">
        <v>40.799999999999997</v>
      </c>
    </row>
    <row r="707" spans="27:28">
      <c r="AA707" s="19">
        <v>26177</v>
      </c>
      <c r="AB707">
        <v>40.799999999999997</v>
      </c>
    </row>
    <row r="708" spans="27:28">
      <c r="AA708" s="19">
        <v>26207</v>
      </c>
      <c r="AB708">
        <v>40.9</v>
      </c>
    </row>
    <row r="709" spans="27:28">
      <c r="AA709" s="19">
        <v>26238</v>
      </c>
      <c r="AB709">
        <v>40.9</v>
      </c>
    </row>
    <row r="710" spans="27:28">
      <c r="AA710" s="19">
        <v>26268</v>
      </c>
      <c r="AB710">
        <v>41.1</v>
      </c>
    </row>
    <row r="711" spans="27:28">
      <c r="AA711" s="19">
        <v>26299</v>
      </c>
      <c r="AB711">
        <v>41.1</v>
      </c>
    </row>
    <row r="712" spans="27:28">
      <c r="AA712" s="19">
        <v>26330</v>
      </c>
      <c r="AB712">
        <v>41.3</v>
      </c>
    </row>
    <row r="713" spans="27:28">
      <c r="AA713" s="19">
        <v>26359</v>
      </c>
      <c r="AB713">
        <v>41.4</v>
      </c>
    </row>
    <row r="714" spans="27:28">
      <c r="AA714" s="19">
        <v>26390</v>
      </c>
      <c r="AB714">
        <v>41.5</v>
      </c>
    </row>
    <row r="715" spans="27:28">
      <c r="AA715" s="19">
        <v>26420</v>
      </c>
      <c r="AB715">
        <v>41.6</v>
      </c>
    </row>
    <row r="716" spans="27:28">
      <c r="AA716" s="19">
        <v>26451</v>
      </c>
      <c r="AB716">
        <v>41.7</v>
      </c>
    </row>
    <row r="717" spans="27:28">
      <c r="AA717" s="19">
        <v>26481</v>
      </c>
      <c r="AB717">
        <v>41.9</v>
      </c>
    </row>
    <row r="718" spans="27:28">
      <c r="AA718" s="19">
        <v>26512</v>
      </c>
      <c r="AB718">
        <v>42</v>
      </c>
    </row>
    <row r="719" spans="27:28">
      <c r="AA719" s="19">
        <v>26543</v>
      </c>
      <c r="AB719">
        <v>42.1</v>
      </c>
    </row>
    <row r="720" spans="27:28">
      <c r="AA720" s="19">
        <v>26573</v>
      </c>
      <c r="AB720">
        <v>42.3</v>
      </c>
    </row>
    <row r="721" spans="27:28">
      <c r="AA721" s="19">
        <v>26604</v>
      </c>
      <c r="AB721">
        <v>42.4</v>
      </c>
    </row>
    <row r="722" spans="27:28">
      <c r="AA722" s="19">
        <v>26634</v>
      </c>
      <c r="AB722">
        <v>42.5</v>
      </c>
    </row>
    <row r="723" spans="27:28">
      <c r="AA723" s="19">
        <v>26665</v>
      </c>
      <c r="AB723">
        <v>42.6</v>
      </c>
    </row>
    <row r="724" spans="27:28">
      <c r="AA724" s="19">
        <v>26696</v>
      </c>
      <c r="AB724">
        <v>42.9</v>
      </c>
    </row>
    <row r="725" spans="27:28">
      <c r="AA725" s="19">
        <v>26724</v>
      </c>
      <c r="AB725">
        <v>43.3</v>
      </c>
    </row>
    <row r="726" spans="27:28">
      <c r="AA726" s="19">
        <v>26755</v>
      </c>
      <c r="AB726">
        <v>43.6</v>
      </c>
    </row>
    <row r="727" spans="27:28">
      <c r="AA727" s="19">
        <v>26785</v>
      </c>
      <c r="AB727">
        <v>43.9</v>
      </c>
    </row>
    <row r="728" spans="27:28">
      <c r="AA728" s="19">
        <v>26816</v>
      </c>
      <c r="AB728">
        <v>44.2</v>
      </c>
    </row>
    <row r="729" spans="27:28">
      <c r="AA729" s="19">
        <v>26846</v>
      </c>
      <c r="AB729">
        <v>44.3</v>
      </c>
    </row>
    <row r="730" spans="27:28">
      <c r="AA730" s="19">
        <v>26877</v>
      </c>
      <c r="AB730">
        <v>45.1</v>
      </c>
    </row>
    <row r="731" spans="27:28">
      <c r="AA731" s="19">
        <v>26908</v>
      </c>
      <c r="AB731">
        <v>45.2</v>
      </c>
    </row>
    <row r="732" spans="27:28">
      <c r="AA732" s="19">
        <v>26938</v>
      </c>
      <c r="AB732">
        <v>45.6</v>
      </c>
    </row>
    <row r="733" spans="27:28">
      <c r="AA733" s="19">
        <v>26969</v>
      </c>
      <c r="AB733">
        <v>45.9</v>
      </c>
    </row>
    <row r="734" spans="27:28">
      <c r="AA734" s="19">
        <v>26999</v>
      </c>
      <c r="AB734">
        <v>46.2</v>
      </c>
    </row>
    <row r="735" spans="27:28">
      <c r="AA735" s="19">
        <v>27030</v>
      </c>
      <c r="AB735">
        <v>46.6</v>
      </c>
    </row>
    <row r="736" spans="27:28">
      <c r="AA736" s="19">
        <v>27061</v>
      </c>
      <c r="AB736">
        <v>47.2</v>
      </c>
    </row>
    <row r="737" spans="27:28">
      <c r="AA737" s="19">
        <v>27089</v>
      </c>
      <c r="AB737">
        <v>47.8</v>
      </c>
    </row>
    <row r="738" spans="27:28">
      <c r="AA738" s="19">
        <v>27120</v>
      </c>
      <c r="AB738">
        <v>48</v>
      </c>
    </row>
    <row r="739" spans="27:28">
      <c r="AA739" s="19">
        <v>27150</v>
      </c>
      <c r="AB739">
        <v>48.6</v>
      </c>
    </row>
    <row r="740" spans="27:28">
      <c r="AA740" s="19">
        <v>27181</v>
      </c>
      <c r="AB740">
        <v>49</v>
      </c>
    </row>
    <row r="741" spans="27:28">
      <c r="AA741" s="19">
        <v>27211</v>
      </c>
      <c r="AB741">
        <v>49.4</v>
      </c>
    </row>
    <row r="742" spans="27:28">
      <c r="AA742" s="19">
        <v>27242</v>
      </c>
      <c r="AB742">
        <v>50</v>
      </c>
    </row>
    <row r="743" spans="27:28">
      <c r="AA743" s="19">
        <v>27273</v>
      </c>
      <c r="AB743">
        <v>50.6</v>
      </c>
    </row>
    <row r="744" spans="27:28">
      <c r="AA744" s="19">
        <v>27303</v>
      </c>
      <c r="AB744">
        <v>51.1</v>
      </c>
    </row>
    <row r="745" spans="27:28">
      <c r="AA745" s="19">
        <v>27334</v>
      </c>
      <c r="AB745">
        <v>51.5</v>
      </c>
    </row>
    <row r="746" spans="27:28">
      <c r="AA746" s="19">
        <v>27364</v>
      </c>
      <c r="AB746">
        <v>51.9</v>
      </c>
    </row>
    <row r="747" spans="27:28">
      <c r="AA747" s="19">
        <v>27395</v>
      </c>
      <c r="AB747">
        <v>52.1</v>
      </c>
    </row>
    <row r="748" spans="27:28">
      <c r="AA748" s="19">
        <v>27426</v>
      </c>
      <c r="AB748">
        <v>52.5</v>
      </c>
    </row>
    <row r="749" spans="27:28">
      <c r="AA749" s="19">
        <v>27454</v>
      </c>
      <c r="AB749">
        <v>52.7</v>
      </c>
    </row>
    <row r="750" spans="27:28">
      <c r="AA750" s="19">
        <v>27485</v>
      </c>
      <c r="AB750">
        <v>52.9</v>
      </c>
    </row>
    <row r="751" spans="27:28">
      <c r="AA751" s="19">
        <v>27515</v>
      </c>
      <c r="AB751">
        <v>53.2</v>
      </c>
    </row>
    <row r="752" spans="27:28">
      <c r="AA752" s="19">
        <v>27546</v>
      </c>
      <c r="AB752">
        <v>53.6</v>
      </c>
    </row>
    <row r="753" spans="27:28">
      <c r="AA753" s="19">
        <v>27576</v>
      </c>
      <c r="AB753">
        <v>54.2</v>
      </c>
    </row>
    <row r="754" spans="27:28">
      <c r="AA754" s="19">
        <v>27607</v>
      </c>
      <c r="AB754">
        <v>54.3</v>
      </c>
    </row>
    <row r="755" spans="27:28">
      <c r="AA755" s="19">
        <v>27638</v>
      </c>
      <c r="AB755">
        <v>54.6</v>
      </c>
    </row>
    <row r="756" spans="27:28">
      <c r="AA756" s="19">
        <v>27668</v>
      </c>
      <c r="AB756">
        <v>54.9</v>
      </c>
    </row>
    <row r="757" spans="27:28">
      <c r="AA757" s="19">
        <v>27699</v>
      </c>
      <c r="AB757">
        <v>55.3</v>
      </c>
    </row>
    <row r="758" spans="27:28">
      <c r="AA758" s="19">
        <v>27729</v>
      </c>
      <c r="AB758">
        <v>55.5</v>
      </c>
    </row>
    <row r="759" spans="27:28">
      <c r="AA759" s="19">
        <v>27760</v>
      </c>
      <c r="AB759">
        <v>55.6</v>
      </c>
    </row>
    <row r="760" spans="27:28">
      <c r="AA760" s="19">
        <v>27791</v>
      </c>
      <c r="AB760">
        <v>55.8</v>
      </c>
    </row>
    <row r="761" spans="27:28">
      <c r="AA761" s="19">
        <v>27820</v>
      </c>
      <c r="AB761">
        <v>55.9</v>
      </c>
    </row>
    <row r="762" spans="27:28">
      <c r="AA762" s="19">
        <v>27851</v>
      </c>
      <c r="AB762">
        <v>56.1</v>
      </c>
    </row>
    <row r="763" spans="27:28">
      <c r="AA763" s="19">
        <v>27881</v>
      </c>
      <c r="AB763">
        <v>56.5</v>
      </c>
    </row>
    <row r="764" spans="27:28">
      <c r="AA764" s="19">
        <v>27912</v>
      </c>
      <c r="AB764">
        <v>56.8</v>
      </c>
    </row>
    <row r="765" spans="27:28">
      <c r="AA765" s="19">
        <v>27942</v>
      </c>
      <c r="AB765">
        <v>57.1</v>
      </c>
    </row>
    <row r="766" spans="27:28">
      <c r="AA766" s="19">
        <v>27973</v>
      </c>
      <c r="AB766">
        <v>57.4</v>
      </c>
    </row>
    <row r="767" spans="27:28">
      <c r="AA767" s="19">
        <v>28004</v>
      </c>
      <c r="AB767">
        <v>57.6</v>
      </c>
    </row>
    <row r="768" spans="27:28">
      <c r="AA768" s="19">
        <v>28034</v>
      </c>
      <c r="AB768">
        <v>57.9</v>
      </c>
    </row>
    <row r="769" spans="27:28">
      <c r="AA769" s="19">
        <v>28065</v>
      </c>
      <c r="AB769">
        <v>58</v>
      </c>
    </row>
    <row r="770" spans="27:28">
      <c r="AA770" s="19">
        <v>28095</v>
      </c>
      <c r="AB770">
        <v>58.2</v>
      </c>
    </row>
    <row r="771" spans="27:28">
      <c r="AA771" s="19">
        <v>28126</v>
      </c>
      <c r="AB771">
        <v>58.5</v>
      </c>
    </row>
    <row r="772" spans="27:28">
      <c r="AA772" s="19">
        <v>28157</v>
      </c>
      <c r="AB772">
        <v>59.1</v>
      </c>
    </row>
    <row r="773" spans="27:28">
      <c r="AA773" s="19">
        <v>28185</v>
      </c>
      <c r="AB773">
        <v>59.5</v>
      </c>
    </row>
    <row r="774" spans="27:28">
      <c r="AA774" s="19">
        <v>28216</v>
      </c>
      <c r="AB774">
        <v>60</v>
      </c>
    </row>
    <row r="775" spans="27:28">
      <c r="AA775" s="19">
        <v>28246</v>
      </c>
      <c r="AB775">
        <v>60.3</v>
      </c>
    </row>
    <row r="776" spans="27:28">
      <c r="AA776" s="19">
        <v>28277</v>
      </c>
      <c r="AB776">
        <v>60.7</v>
      </c>
    </row>
    <row r="777" spans="27:28">
      <c r="AA777" s="19">
        <v>28307</v>
      </c>
      <c r="AB777">
        <v>61</v>
      </c>
    </row>
    <row r="778" spans="27:28">
      <c r="AA778" s="19">
        <v>28338</v>
      </c>
      <c r="AB778">
        <v>61.2</v>
      </c>
    </row>
    <row r="779" spans="27:28">
      <c r="AA779" s="19">
        <v>28369</v>
      </c>
      <c r="AB779">
        <v>61.4</v>
      </c>
    </row>
    <row r="780" spans="27:28">
      <c r="AA780" s="19">
        <v>28399</v>
      </c>
      <c r="AB780">
        <v>61.6</v>
      </c>
    </row>
    <row r="781" spans="27:28">
      <c r="AA781" s="19">
        <v>28430</v>
      </c>
      <c r="AB781">
        <v>61.9</v>
      </c>
    </row>
    <row r="782" spans="27:28">
      <c r="AA782" s="19">
        <v>28460</v>
      </c>
      <c r="AB782">
        <v>62.1</v>
      </c>
    </row>
    <row r="783" spans="27:28">
      <c r="AA783" s="19">
        <v>28491</v>
      </c>
      <c r="AB783">
        <v>62.5</v>
      </c>
    </row>
    <row r="784" spans="27:28">
      <c r="AA784" s="19">
        <v>28522</v>
      </c>
      <c r="AB784">
        <v>62.9</v>
      </c>
    </row>
    <row r="785" spans="27:28">
      <c r="AA785" s="19">
        <v>28550</v>
      </c>
      <c r="AB785">
        <v>63.4</v>
      </c>
    </row>
    <row r="786" spans="27:28">
      <c r="AA786" s="19">
        <v>28581</v>
      </c>
      <c r="AB786">
        <v>63.9</v>
      </c>
    </row>
    <row r="787" spans="27:28">
      <c r="AA787" s="19">
        <v>28611</v>
      </c>
      <c r="AB787">
        <v>64.5</v>
      </c>
    </row>
    <row r="788" spans="27:28">
      <c r="AA788" s="19">
        <v>28642</v>
      </c>
      <c r="AB788">
        <v>65.2</v>
      </c>
    </row>
    <row r="789" spans="27:28">
      <c r="AA789" s="19">
        <v>28672</v>
      </c>
      <c r="AB789">
        <v>65.7</v>
      </c>
    </row>
    <row r="790" spans="27:28">
      <c r="AA790" s="19">
        <v>28703</v>
      </c>
      <c r="AB790">
        <v>66</v>
      </c>
    </row>
    <row r="791" spans="27:28">
      <c r="AA791" s="19">
        <v>28734</v>
      </c>
      <c r="AB791">
        <v>66.5</v>
      </c>
    </row>
    <row r="792" spans="27:28">
      <c r="AA792" s="19">
        <v>28764</v>
      </c>
      <c r="AB792">
        <v>67.099999999999994</v>
      </c>
    </row>
    <row r="793" spans="27:28">
      <c r="AA793" s="19">
        <v>28795</v>
      </c>
      <c r="AB793">
        <v>67.400000000000006</v>
      </c>
    </row>
    <row r="794" spans="27:28">
      <c r="AA794" s="19">
        <v>28825</v>
      </c>
      <c r="AB794">
        <v>67.7</v>
      </c>
    </row>
    <row r="795" spans="27:28">
      <c r="AA795" s="19">
        <v>28856</v>
      </c>
      <c r="AB795">
        <v>68.3</v>
      </c>
    </row>
    <row r="796" spans="27:28">
      <c r="AA796" s="19">
        <v>28887</v>
      </c>
      <c r="AB796">
        <v>69.099999999999994</v>
      </c>
    </row>
    <row r="797" spans="27:28">
      <c r="AA797" s="19">
        <v>28915</v>
      </c>
      <c r="AB797">
        <v>69.8</v>
      </c>
    </row>
    <row r="798" spans="27:28">
      <c r="AA798" s="19">
        <v>28946</v>
      </c>
      <c r="AB798">
        <v>70.599999999999994</v>
      </c>
    </row>
    <row r="799" spans="27:28">
      <c r="AA799" s="19">
        <v>28976</v>
      </c>
      <c r="AB799">
        <v>71.5</v>
      </c>
    </row>
    <row r="800" spans="27:28">
      <c r="AA800" s="19">
        <v>29007</v>
      </c>
      <c r="AB800">
        <v>72.3</v>
      </c>
    </row>
    <row r="801" spans="27:28">
      <c r="AA801" s="19">
        <v>29037</v>
      </c>
      <c r="AB801">
        <v>73.099999999999994</v>
      </c>
    </row>
    <row r="802" spans="27:28">
      <c r="AA802" s="19">
        <v>29068</v>
      </c>
      <c r="AB802">
        <v>73.8</v>
      </c>
    </row>
    <row r="803" spans="27:28">
      <c r="AA803" s="19">
        <v>29099</v>
      </c>
      <c r="AB803">
        <v>74.599999999999994</v>
      </c>
    </row>
    <row r="804" spans="27:28">
      <c r="AA804" s="19">
        <v>29129</v>
      </c>
      <c r="AB804">
        <v>75.2</v>
      </c>
    </row>
    <row r="805" spans="27:28">
      <c r="AA805" s="19">
        <v>29160</v>
      </c>
      <c r="AB805">
        <v>75.900000000000006</v>
      </c>
    </row>
    <row r="806" spans="27:28">
      <c r="AA806" s="19">
        <v>29190</v>
      </c>
      <c r="AB806">
        <v>76.7</v>
      </c>
    </row>
    <row r="807" spans="27:28">
      <c r="AA807" s="19">
        <v>29221</v>
      </c>
      <c r="AB807">
        <v>77.8</v>
      </c>
    </row>
    <row r="808" spans="27:28">
      <c r="AA808" s="19">
        <v>29252</v>
      </c>
      <c r="AB808">
        <v>78.900000000000006</v>
      </c>
    </row>
    <row r="809" spans="27:28">
      <c r="AA809" s="19">
        <v>29281</v>
      </c>
      <c r="AB809">
        <v>80.099999999999994</v>
      </c>
    </row>
    <row r="810" spans="27:28">
      <c r="AA810" s="19">
        <v>29312</v>
      </c>
      <c r="AB810">
        <v>81</v>
      </c>
    </row>
    <row r="811" spans="27:28">
      <c r="AA811" s="19">
        <v>29342</v>
      </c>
      <c r="AB811">
        <v>81.8</v>
      </c>
    </row>
    <row r="812" spans="27:28">
      <c r="AA812" s="19">
        <v>29373</v>
      </c>
      <c r="AB812">
        <v>82.7</v>
      </c>
    </row>
    <row r="813" spans="27:28">
      <c r="AA813" s="19">
        <v>29403</v>
      </c>
      <c r="AB813">
        <v>82.7</v>
      </c>
    </row>
    <row r="814" spans="27:28">
      <c r="AA814" s="19">
        <v>29434</v>
      </c>
      <c r="AB814">
        <v>83.3</v>
      </c>
    </row>
    <row r="815" spans="27:28">
      <c r="AA815" s="19">
        <v>29465</v>
      </c>
      <c r="AB815">
        <v>84</v>
      </c>
    </row>
    <row r="816" spans="27:28">
      <c r="AA816" s="19">
        <v>29495</v>
      </c>
      <c r="AB816">
        <v>84.8</v>
      </c>
    </row>
    <row r="817" spans="27:28">
      <c r="AA817" s="19">
        <v>29526</v>
      </c>
      <c r="AB817">
        <v>85.5</v>
      </c>
    </row>
    <row r="818" spans="27:28">
      <c r="AA818" s="19">
        <v>29556</v>
      </c>
      <c r="AB818">
        <v>86.3</v>
      </c>
    </row>
    <row r="819" spans="27:28">
      <c r="AA819" s="19">
        <v>29587</v>
      </c>
      <c r="AB819">
        <v>87</v>
      </c>
    </row>
    <row r="820" spans="27:28">
      <c r="AA820" s="19">
        <v>29618</v>
      </c>
      <c r="AB820">
        <v>87.9</v>
      </c>
    </row>
    <row r="821" spans="27:28">
      <c r="AA821" s="19">
        <v>29646</v>
      </c>
      <c r="AB821">
        <v>88.5</v>
      </c>
    </row>
    <row r="822" spans="27:28">
      <c r="AA822" s="19">
        <v>29677</v>
      </c>
      <c r="AB822">
        <v>89.1</v>
      </c>
    </row>
    <row r="823" spans="27:28">
      <c r="AA823" s="19">
        <v>29707</v>
      </c>
      <c r="AB823">
        <v>89.8</v>
      </c>
    </row>
    <row r="824" spans="27:28">
      <c r="AA824" s="19">
        <v>29738</v>
      </c>
      <c r="AB824">
        <v>90.6</v>
      </c>
    </row>
    <row r="825" spans="27:28">
      <c r="AA825" s="19">
        <v>29768</v>
      </c>
      <c r="AB825">
        <v>91.6</v>
      </c>
    </row>
    <row r="826" spans="27:28">
      <c r="AA826" s="19">
        <v>29799</v>
      </c>
      <c r="AB826">
        <v>92.3</v>
      </c>
    </row>
    <row r="827" spans="27:28">
      <c r="AA827" s="19">
        <v>29830</v>
      </c>
      <c r="AB827">
        <v>93.2</v>
      </c>
    </row>
    <row r="828" spans="27:28">
      <c r="AA828" s="19">
        <v>29860</v>
      </c>
      <c r="AB828">
        <v>93.4</v>
      </c>
    </row>
    <row r="829" spans="27:28">
      <c r="AA829" s="19">
        <v>29891</v>
      </c>
      <c r="AB829">
        <v>93.7</v>
      </c>
    </row>
    <row r="830" spans="27:28">
      <c r="AA830" s="19">
        <v>29921</v>
      </c>
      <c r="AB830">
        <v>94</v>
      </c>
    </row>
    <row r="831" spans="27:28">
      <c r="AA831" s="19">
        <v>29952</v>
      </c>
      <c r="AB831">
        <v>94.3</v>
      </c>
    </row>
    <row r="832" spans="27:28">
      <c r="AA832" s="19">
        <v>29983</v>
      </c>
      <c r="AB832">
        <v>94.6</v>
      </c>
    </row>
    <row r="833" spans="27:28">
      <c r="AA833" s="19">
        <v>30011</v>
      </c>
      <c r="AB833">
        <v>94.5</v>
      </c>
    </row>
    <row r="834" spans="27:28">
      <c r="AA834" s="19">
        <v>30042</v>
      </c>
      <c r="AB834">
        <v>94.9</v>
      </c>
    </row>
    <row r="835" spans="27:28">
      <c r="AA835" s="19">
        <v>30072</v>
      </c>
      <c r="AB835">
        <v>95.8</v>
      </c>
    </row>
    <row r="836" spans="27:28">
      <c r="AA836" s="19">
        <v>30103</v>
      </c>
      <c r="AB836">
        <v>97</v>
      </c>
    </row>
    <row r="837" spans="27:28">
      <c r="AA837" s="19">
        <v>30133</v>
      </c>
      <c r="AB837">
        <v>97.5</v>
      </c>
    </row>
    <row r="838" spans="27:28">
      <c r="AA838" s="19">
        <v>30164</v>
      </c>
      <c r="AB838">
        <v>97.7</v>
      </c>
    </row>
    <row r="839" spans="27:28">
      <c r="AA839" s="19">
        <v>30195</v>
      </c>
      <c r="AB839">
        <v>97.9</v>
      </c>
    </row>
    <row r="840" spans="27:28">
      <c r="AA840" s="19">
        <v>30225</v>
      </c>
      <c r="AB840">
        <v>98.2</v>
      </c>
    </row>
    <row r="841" spans="27:28">
      <c r="AA841" s="19">
        <v>30256</v>
      </c>
      <c r="AB841">
        <v>98</v>
      </c>
    </row>
    <row r="842" spans="27:28">
      <c r="AA842" s="19">
        <v>30286</v>
      </c>
      <c r="AB842">
        <v>97.6</v>
      </c>
    </row>
    <row r="843" spans="27:28">
      <c r="AA843" s="19">
        <v>30317</v>
      </c>
      <c r="AB843">
        <v>97.8</v>
      </c>
    </row>
    <row r="844" spans="27:28">
      <c r="AA844" s="19">
        <v>30348</v>
      </c>
      <c r="AB844">
        <v>97.9</v>
      </c>
    </row>
    <row r="845" spans="27:28">
      <c r="AA845" s="19">
        <v>30376</v>
      </c>
      <c r="AB845">
        <v>97.9</v>
      </c>
    </row>
    <row r="846" spans="27:28">
      <c r="AA846" s="19">
        <v>30407</v>
      </c>
      <c r="AB846">
        <v>98.6</v>
      </c>
    </row>
    <row r="847" spans="27:28">
      <c r="AA847" s="19">
        <v>30437</v>
      </c>
      <c r="AB847">
        <v>99.2</v>
      </c>
    </row>
    <row r="848" spans="27:28">
      <c r="AA848" s="19">
        <v>30468</v>
      </c>
      <c r="AB848">
        <v>99.5</v>
      </c>
    </row>
    <row r="849" spans="27:28">
      <c r="AA849" s="19">
        <v>30498</v>
      </c>
      <c r="AB849">
        <v>99.9</v>
      </c>
    </row>
    <row r="850" spans="27:28">
      <c r="AA850" s="19">
        <v>30529</v>
      </c>
      <c r="AB850">
        <v>100.2</v>
      </c>
    </row>
    <row r="851" spans="27:28">
      <c r="AA851" s="19">
        <v>30560</v>
      </c>
      <c r="AB851">
        <v>100.7</v>
      </c>
    </row>
    <row r="852" spans="27:28">
      <c r="AA852" s="19">
        <v>30590</v>
      </c>
      <c r="AB852">
        <v>101</v>
      </c>
    </row>
    <row r="853" spans="27:28">
      <c r="AA853" s="19">
        <v>30621</v>
      </c>
      <c r="AB853">
        <v>101.2</v>
      </c>
    </row>
    <row r="854" spans="27:28">
      <c r="AA854" s="19">
        <v>30651</v>
      </c>
      <c r="AB854">
        <v>101.3</v>
      </c>
    </row>
    <row r="855" spans="27:28">
      <c r="AA855" s="19">
        <v>30682</v>
      </c>
      <c r="AB855">
        <v>101.9</v>
      </c>
    </row>
    <row r="856" spans="27:28">
      <c r="AA856" s="19">
        <v>30713</v>
      </c>
      <c r="AB856">
        <v>102.4</v>
      </c>
    </row>
    <row r="857" spans="27:28">
      <c r="AA857" s="19">
        <v>30742</v>
      </c>
      <c r="AB857">
        <v>102.6</v>
      </c>
    </row>
    <row r="858" spans="27:28">
      <c r="AA858" s="19">
        <v>30773</v>
      </c>
      <c r="AB858">
        <v>103.1</v>
      </c>
    </row>
    <row r="859" spans="27:28">
      <c r="AA859" s="19">
        <v>30803</v>
      </c>
      <c r="AB859">
        <v>103.4</v>
      </c>
    </row>
    <row r="860" spans="27:28">
      <c r="AA860" s="19">
        <v>30834</v>
      </c>
      <c r="AB860">
        <v>103.7</v>
      </c>
    </row>
    <row r="861" spans="27:28">
      <c r="AA861" s="19">
        <v>30864</v>
      </c>
      <c r="AB861">
        <v>104.1</v>
      </c>
    </row>
    <row r="862" spans="27:28">
      <c r="AA862" s="19">
        <v>30895</v>
      </c>
      <c r="AB862">
        <v>104.5</v>
      </c>
    </row>
    <row r="863" spans="27:28">
      <c r="AA863" s="19">
        <v>30926</v>
      </c>
      <c r="AB863">
        <v>105</v>
      </c>
    </row>
    <row r="864" spans="27:28">
      <c r="AA864" s="19">
        <v>30956</v>
      </c>
      <c r="AB864">
        <v>105.3</v>
      </c>
    </row>
    <row r="865" spans="27:28">
      <c r="AA865" s="19">
        <v>30987</v>
      </c>
      <c r="AB865">
        <v>105.3</v>
      </c>
    </row>
    <row r="866" spans="27:28">
      <c r="AA866" s="19">
        <v>31017</v>
      </c>
      <c r="AB866">
        <v>105.3</v>
      </c>
    </row>
    <row r="867" spans="27:28">
      <c r="AA867" s="19">
        <v>31048</v>
      </c>
      <c r="AB867">
        <v>105.5</v>
      </c>
    </row>
    <row r="868" spans="27:28">
      <c r="AA868" s="19">
        <v>31079</v>
      </c>
      <c r="AB868">
        <v>106</v>
      </c>
    </row>
    <row r="869" spans="27:28">
      <c r="AA869" s="19">
        <v>31107</v>
      </c>
      <c r="AB869">
        <v>106.4</v>
      </c>
    </row>
    <row r="870" spans="27:28">
      <c r="AA870" s="19">
        <v>31138</v>
      </c>
      <c r="AB870">
        <v>106.9</v>
      </c>
    </row>
    <row r="871" spans="27:28">
      <c r="AA871" s="19">
        <v>31168</v>
      </c>
      <c r="AB871">
        <v>107.3</v>
      </c>
    </row>
    <row r="872" spans="27:28">
      <c r="AA872" s="19">
        <v>31199</v>
      </c>
      <c r="AB872">
        <v>107.6</v>
      </c>
    </row>
    <row r="873" spans="27:28">
      <c r="AA873" s="19">
        <v>31229</v>
      </c>
      <c r="AB873">
        <v>107.8</v>
      </c>
    </row>
    <row r="874" spans="27:28">
      <c r="AA874" s="19">
        <v>31260</v>
      </c>
      <c r="AB874">
        <v>108</v>
      </c>
    </row>
    <row r="875" spans="27:28">
      <c r="AA875" s="19">
        <v>31291</v>
      </c>
      <c r="AB875">
        <v>108.3</v>
      </c>
    </row>
    <row r="876" spans="27:28">
      <c r="AA876" s="19">
        <v>31321</v>
      </c>
      <c r="AB876">
        <v>108.7</v>
      </c>
    </row>
    <row r="877" spans="27:28">
      <c r="AA877" s="19">
        <v>31352</v>
      </c>
      <c r="AB877">
        <v>109</v>
      </c>
    </row>
    <row r="878" spans="27:28">
      <c r="AA878" s="19">
        <v>31382</v>
      </c>
      <c r="AB878">
        <v>109.3</v>
      </c>
    </row>
    <row r="879" spans="27:28">
      <c r="AA879" s="19">
        <v>31413</v>
      </c>
      <c r="AB879">
        <v>109.6</v>
      </c>
    </row>
    <row r="880" spans="27:28">
      <c r="AA880" s="19">
        <v>31444</v>
      </c>
      <c r="AB880">
        <v>109.3</v>
      </c>
    </row>
    <row r="881" spans="27:28">
      <c r="AA881" s="19">
        <v>31472</v>
      </c>
      <c r="AB881">
        <v>108.8</v>
      </c>
    </row>
    <row r="882" spans="27:28">
      <c r="AA882" s="19">
        <v>31503</v>
      </c>
      <c r="AB882">
        <v>108.6</v>
      </c>
    </row>
    <row r="883" spans="27:28">
      <c r="AA883" s="19">
        <v>31533</v>
      </c>
      <c r="AB883">
        <v>108.9</v>
      </c>
    </row>
    <row r="884" spans="27:28">
      <c r="AA884" s="19">
        <v>31564</v>
      </c>
      <c r="AB884">
        <v>109.5</v>
      </c>
    </row>
    <row r="885" spans="27:28">
      <c r="AA885" s="19">
        <v>31594</v>
      </c>
      <c r="AB885">
        <v>109.5</v>
      </c>
    </row>
    <row r="886" spans="27:28">
      <c r="AA886" s="19">
        <v>31625</v>
      </c>
      <c r="AB886">
        <v>109.7</v>
      </c>
    </row>
    <row r="887" spans="27:28">
      <c r="AA887" s="19">
        <v>31656</v>
      </c>
      <c r="AB887">
        <v>110.2</v>
      </c>
    </row>
    <row r="888" spans="27:28">
      <c r="AA888" s="19">
        <v>31686</v>
      </c>
      <c r="AB888">
        <v>110.3</v>
      </c>
    </row>
    <row r="889" spans="27:28">
      <c r="AA889" s="19">
        <v>31717</v>
      </c>
      <c r="AB889">
        <v>110.4</v>
      </c>
    </row>
    <row r="890" spans="27:28">
      <c r="AA890" s="19">
        <v>31747</v>
      </c>
      <c r="AB890">
        <v>110.5</v>
      </c>
    </row>
    <row r="891" spans="27:28">
      <c r="AA891" s="19">
        <v>31778</v>
      </c>
      <c r="AB891">
        <v>111.2</v>
      </c>
    </row>
    <row r="892" spans="27:28">
      <c r="AA892" s="19">
        <v>31809</v>
      </c>
      <c r="AB892">
        <v>111.6</v>
      </c>
    </row>
    <row r="893" spans="27:28">
      <c r="AA893" s="19">
        <v>31837</v>
      </c>
      <c r="AB893">
        <v>112.1</v>
      </c>
    </row>
    <row r="894" spans="27:28">
      <c r="AA894" s="19">
        <v>31868</v>
      </c>
      <c r="AB894">
        <v>112.7</v>
      </c>
    </row>
    <row r="895" spans="27:28">
      <c r="AA895" s="19">
        <v>31898</v>
      </c>
      <c r="AB895">
        <v>113.1</v>
      </c>
    </row>
    <row r="896" spans="27:28">
      <c r="AA896" s="19">
        <v>31929</v>
      </c>
      <c r="AB896">
        <v>113.5</v>
      </c>
    </row>
    <row r="897" spans="27:28">
      <c r="AA897" s="19">
        <v>31959</v>
      </c>
      <c r="AB897">
        <v>113.8</v>
      </c>
    </row>
    <row r="898" spans="27:28">
      <c r="AA898" s="19">
        <v>31990</v>
      </c>
      <c r="AB898">
        <v>114.4</v>
      </c>
    </row>
    <row r="899" spans="27:28">
      <c r="AA899" s="19">
        <v>32021</v>
      </c>
      <c r="AB899">
        <v>115</v>
      </c>
    </row>
    <row r="900" spans="27:28">
      <c r="AA900" s="19">
        <v>32051</v>
      </c>
      <c r="AB900">
        <v>115.3</v>
      </c>
    </row>
    <row r="901" spans="27:28">
      <c r="AA901" s="19">
        <v>32082</v>
      </c>
      <c r="AB901">
        <v>115.4</v>
      </c>
    </row>
    <row r="902" spans="27:28">
      <c r="AA902" s="19">
        <v>32112</v>
      </c>
      <c r="AB902">
        <v>115.4</v>
      </c>
    </row>
    <row r="903" spans="27:28">
      <c r="AA903" s="19">
        <v>32143</v>
      </c>
      <c r="AB903">
        <v>115.7</v>
      </c>
    </row>
    <row r="904" spans="27:28">
      <c r="AA904" s="19">
        <v>32174</v>
      </c>
      <c r="AB904">
        <v>116</v>
      </c>
    </row>
    <row r="905" spans="27:28">
      <c r="AA905" s="19">
        <v>32203</v>
      </c>
      <c r="AB905">
        <v>116.5</v>
      </c>
    </row>
    <row r="906" spans="27:28">
      <c r="AA906" s="19">
        <v>32234</v>
      </c>
      <c r="AB906">
        <v>117.1</v>
      </c>
    </row>
    <row r="907" spans="27:28">
      <c r="AA907" s="19">
        <v>32264</v>
      </c>
      <c r="AB907">
        <v>117.5</v>
      </c>
    </row>
    <row r="908" spans="27:28">
      <c r="AA908" s="19">
        <v>32295</v>
      </c>
      <c r="AB908">
        <v>118</v>
      </c>
    </row>
    <row r="909" spans="27:28">
      <c r="AA909" s="19">
        <v>32325</v>
      </c>
      <c r="AB909">
        <v>118.5</v>
      </c>
    </row>
    <row r="910" spans="27:28">
      <c r="AA910" s="19">
        <v>32356</v>
      </c>
      <c r="AB910">
        <v>119</v>
      </c>
    </row>
    <row r="911" spans="27:28">
      <c r="AA911" s="19">
        <v>32387</v>
      </c>
      <c r="AB911">
        <v>119.8</v>
      </c>
    </row>
    <row r="912" spans="27:28">
      <c r="AA912" s="19">
        <v>32417</v>
      </c>
      <c r="AB912">
        <v>120.2</v>
      </c>
    </row>
    <row r="913" spans="27:28">
      <c r="AA913" s="19">
        <v>32448</v>
      </c>
      <c r="AB913">
        <v>120.3</v>
      </c>
    </row>
    <row r="914" spans="27:28">
      <c r="AA914" s="19">
        <v>32478</v>
      </c>
      <c r="AB914">
        <v>120.5</v>
      </c>
    </row>
    <row r="915" spans="27:28">
      <c r="AA915" s="19">
        <v>32509</v>
      </c>
      <c r="AB915">
        <v>121.1</v>
      </c>
    </row>
    <row r="916" spans="27:28">
      <c r="AA916" s="19">
        <v>32540</v>
      </c>
      <c r="AB916">
        <v>121.6</v>
      </c>
    </row>
    <row r="917" spans="27:28">
      <c r="AA917" s="19">
        <v>32568</v>
      </c>
      <c r="AB917">
        <v>122.3</v>
      </c>
    </row>
    <row r="918" spans="27:28">
      <c r="AA918" s="19">
        <v>32599</v>
      </c>
      <c r="AB918">
        <v>123.1</v>
      </c>
    </row>
    <row r="919" spans="27:28">
      <c r="AA919" s="19">
        <v>32629</v>
      </c>
      <c r="AB919">
        <v>123.8</v>
      </c>
    </row>
    <row r="920" spans="27:28">
      <c r="AA920" s="19">
        <v>32660</v>
      </c>
      <c r="AB920">
        <v>124.1</v>
      </c>
    </row>
    <row r="921" spans="27:28">
      <c r="AA921" s="19">
        <v>32690</v>
      </c>
      <c r="AB921">
        <v>124.4</v>
      </c>
    </row>
    <row r="922" spans="27:28">
      <c r="AA922" s="19">
        <v>32721</v>
      </c>
      <c r="AB922">
        <v>124.6</v>
      </c>
    </row>
    <row r="923" spans="27:28">
      <c r="AA923" s="19">
        <v>32752</v>
      </c>
      <c r="AB923">
        <v>125</v>
      </c>
    </row>
    <row r="924" spans="27:28">
      <c r="AA924" s="19">
        <v>32782</v>
      </c>
      <c r="AB924">
        <v>125.6</v>
      </c>
    </row>
    <row r="925" spans="27:28">
      <c r="AA925" s="19">
        <v>32813</v>
      </c>
      <c r="AB925">
        <v>125.9</v>
      </c>
    </row>
    <row r="926" spans="27:28">
      <c r="AA926" s="19">
        <v>32843</v>
      </c>
      <c r="AB926">
        <v>126.1</v>
      </c>
    </row>
    <row r="927" spans="27:28">
      <c r="AA927" s="19">
        <v>32874</v>
      </c>
      <c r="AB927">
        <v>127.4</v>
      </c>
    </row>
    <row r="928" spans="27:28">
      <c r="AA928" s="19">
        <v>32905</v>
      </c>
      <c r="AB928">
        <v>128</v>
      </c>
    </row>
    <row r="929" spans="27:28">
      <c r="AA929" s="19">
        <v>32933</v>
      </c>
      <c r="AB929">
        <v>128.69999999999999</v>
      </c>
    </row>
    <row r="930" spans="27:28">
      <c r="AA930" s="19">
        <v>32964</v>
      </c>
      <c r="AB930">
        <v>128.9</v>
      </c>
    </row>
    <row r="931" spans="27:28">
      <c r="AA931" s="19">
        <v>32994</v>
      </c>
      <c r="AB931">
        <v>129.19999999999999</v>
      </c>
    </row>
    <row r="932" spans="27:28">
      <c r="AA932" s="19">
        <v>33025</v>
      </c>
      <c r="AB932">
        <v>129.9</v>
      </c>
    </row>
    <row r="933" spans="27:28">
      <c r="AA933" s="19">
        <v>33055</v>
      </c>
      <c r="AB933">
        <v>130.4</v>
      </c>
    </row>
    <row r="934" spans="27:28">
      <c r="AA934" s="19">
        <v>33086</v>
      </c>
      <c r="AB934">
        <v>131.6</v>
      </c>
    </row>
    <row r="935" spans="27:28">
      <c r="AA935" s="19">
        <v>33117</v>
      </c>
      <c r="AB935">
        <v>132.69999999999999</v>
      </c>
    </row>
    <row r="936" spans="27:28">
      <c r="AA936" s="19">
        <v>33147</v>
      </c>
      <c r="AB936">
        <v>133.5</v>
      </c>
    </row>
    <row r="937" spans="27:28">
      <c r="AA937" s="19">
        <v>33178</v>
      </c>
      <c r="AB937">
        <v>133.80000000000001</v>
      </c>
    </row>
    <row r="938" spans="27:28">
      <c r="AA938" s="19">
        <v>33208</v>
      </c>
      <c r="AB938">
        <v>133.80000000000001</v>
      </c>
    </row>
    <row r="939" spans="27:28">
      <c r="AA939" s="19">
        <v>33239</v>
      </c>
      <c r="AB939">
        <v>134.6</v>
      </c>
    </row>
    <row r="940" spans="27:28">
      <c r="AA940" s="19">
        <v>33270</v>
      </c>
      <c r="AB940">
        <v>134.80000000000001</v>
      </c>
    </row>
    <row r="941" spans="27:28">
      <c r="AA941" s="19">
        <v>33298</v>
      </c>
      <c r="AB941">
        <v>135</v>
      </c>
    </row>
    <row r="942" spans="27:28">
      <c r="AA942" s="19">
        <v>33329</v>
      </c>
      <c r="AB942">
        <v>135.19999999999999</v>
      </c>
    </row>
    <row r="943" spans="27:28">
      <c r="AA943" s="19">
        <v>33359</v>
      </c>
      <c r="AB943">
        <v>135.6</v>
      </c>
    </row>
    <row r="944" spans="27:28">
      <c r="AA944" s="19">
        <v>33390</v>
      </c>
      <c r="AB944">
        <v>136</v>
      </c>
    </row>
    <row r="945" spans="27:28">
      <c r="AA945" s="19">
        <v>33420</v>
      </c>
      <c r="AB945">
        <v>136.19999999999999</v>
      </c>
    </row>
    <row r="946" spans="27:28">
      <c r="AA946" s="19">
        <v>33451</v>
      </c>
      <c r="AB946">
        <v>136.6</v>
      </c>
    </row>
    <row r="947" spans="27:28">
      <c r="AA947" s="19">
        <v>33482</v>
      </c>
      <c r="AB947">
        <v>137.19999999999999</v>
      </c>
    </row>
    <row r="948" spans="27:28">
      <c r="AA948" s="19">
        <v>33512</v>
      </c>
      <c r="AB948">
        <v>137.4</v>
      </c>
    </row>
    <row r="949" spans="27:28">
      <c r="AA949" s="19">
        <v>33543</v>
      </c>
      <c r="AB949">
        <v>137.80000000000001</v>
      </c>
    </row>
    <row r="950" spans="27:28">
      <c r="AA950" s="19">
        <v>33573</v>
      </c>
      <c r="AB950">
        <v>137.9</v>
      </c>
    </row>
    <row r="951" spans="27:28">
      <c r="AA951" s="19">
        <v>33604</v>
      </c>
      <c r="AB951">
        <v>138.1</v>
      </c>
    </row>
    <row r="952" spans="27:28">
      <c r="AA952" s="19">
        <v>33635</v>
      </c>
      <c r="AB952">
        <v>138.6</v>
      </c>
    </row>
    <row r="953" spans="27:28">
      <c r="AA953" s="19">
        <v>33664</v>
      </c>
      <c r="AB953">
        <v>139.30000000000001</v>
      </c>
    </row>
    <row r="954" spans="27:28">
      <c r="AA954" s="19">
        <v>33695</v>
      </c>
      <c r="AB954">
        <v>139.5</v>
      </c>
    </row>
    <row r="955" spans="27:28">
      <c r="AA955" s="19">
        <v>33725</v>
      </c>
      <c r="AB955">
        <v>139.69999999999999</v>
      </c>
    </row>
    <row r="956" spans="27:28">
      <c r="AA956" s="19">
        <v>33756</v>
      </c>
      <c r="AB956">
        <v>140.19999999999999</v>
      </c>
    </row>
    <row r="957" spans="27:28">
      <c r="AA957" s="19">
        <v>33786</v>
      </c>
      <c r="AB957">
        <v>140.5</v>
      </c>
    </row>
    <row r="958" spans="27:28">
      <c r="AA958" s="19">
        <v>33817</v>
      </c>
      <c r="AB958">
        <v>140.9</v>
      </c>
    </row>
    <row r="959" spans="27:28">
      <c r="AA959" s="19">
        <v>33848</v>
      </c>
      <c r="AB959">
        <v>141.30000000000001</v>
      </c>
    </row>
    <row r="960" spans="27:28">
      <c r="AA960" s="19">
        <v>33878</v>
      </c>
      <c r="AB960">
        <v>141.80000000000001</v>
      </c>
    </row>
    <row r="961" spans="27:28">
      <c r="AA961" s="19">
        <v>33909</v>
      </c>
      <c r="AB961">
        <v>142</v>
      </c>
    </row>
    <row r="962" spans="27:28">
      <c r="AA962" s="19">
        <v>33939</v>
      </c>
      <c r="AB962">
        <v>141.9</v>
      </c>
    </row>
    <row r="963" spans="27:28">
      <c r="AA963" s="19">
        <v>33970</v>
      </c>
      <c r="AB963">
        <v>142.6</v>
      </c>
    </row>
    <row r="964" spans="27:28">
      <c r="AA964" s="19">
        <v>34001</v>
      </c>
      <c r="AB964">
        <v>143.1</v>
      </c>
    </row>
    <row r="965" spans="27:28">
      <c r="AA965" s="19">
        <v>34029</v>
      </c>
      <c r="AB965">
        <v>143.6</v>
      </c>
    </row>
    <row r="966" spans="27:28">
      <c r="AA966" s="19">
        <v>34060</v>
      </c>
      <c r="AB966">
        <v>144</v>
      </c>
    </row>
    <row r="967" spans="27:28">
      <c r="AA967" s="19">
        <v>34090</v>
      </c>
      <c r="AB967">
        <v>144.19999999999999</v>
      </c>
    </row>
    <row r="968" spans="27:28">
      <c r="AA968" s="19">
        <v>34121</v>
      </c>
      <c r="AB968">
        <v>144.4</v>
      </c>
    </row>
    <row r="969" spans="27:28">
      <c r="AA969" s="19">
        <v>34151</v>
      </c>
      <c r="AB969">
        <v>144.4</v>
      </c>
    </row>
    <row r="970" spans="27:28">
      <c r="AA970" s="19">
        <v>34182</v>
      </c>
      <c r="AB970">
        <v>144.80000000000001</v>
      </c>
    </row>
    <row r="971" spans="27:28">
      <c r="AA971" s="19">
        <v>34213</v>
      </c>
      <c r="AB971">
        <v>145.1</v>
      </c>
    </row>
    <row r="972" spans="27:28">
      <c r="AA972" s="19">
        <v>34243</v>
      </c>
      <c r="AB972">
        <v>145.69999999999999</v>
      </c>
    </row>
    <row r="973" spans="27:28">
      <c r="AA973" s="19">
        <v>34274</v>
      </c>
      <c r="AB973">
        <v>145.80000000000001</v>
      </c>
    </row>
    <row r="974" spans="27:28">
      <c r="AA974" s="19">
        <v>34304</v>
      </c>
      <c r="AB974">
        <v>145.80000000000001</v>
      </c>
    </row>
    <row r="975" spans="27:28">
      <c r="AA975" s="19">
        <v>34335</v>
      </c>
      <c r="AB975">
        <v>146.19999999999999</v>
      </c>
    </row>
    <row r="976" spans="27:28">
      <c r="AA976" s="19">
        <v>34366</v>
      </c>
      <c r="AB976">
        <v>146.69999999999999</v>
      </c>
    </row>
    <row r="977" spans="27:28">
      <c r="AA977" s="19">
        <v>34394</v>
      </c>
      <c r="AB977">
        <v>147.19999999999999</v>
      </c>
    </row>
    <row r="978" spans="27:28">
      <c r="AA978" s="19">
        <v>34425</v>
      </c>
      <c r="AB978">
        <v>147.4</v>
      </c>
    </row>
    <row r="979" spans="27:28">
      <c r="AA979" s="19">
        <v>34455</v>
      </c>
      <c r="AB979">
        <v>147.5</v>
      </c>
    </row>
    <row r="980" spans="27:28">
      <c r="AA980" s="19">
        <v>34486</v>
      </c>
      <c r="AB980">
        <v>148</v>
      </c>
    </row>
    <row r="981" spans="27:28">
      <c r="AA981" s="19">
        <v>34516</v>
      </c>
      <c r="AB981">
        <v>148.4</v>
      </c>
    </row>
    <row r="982" spans="27:28">
      <c r="AA982" s="19">
        <v>34547</v>
      </c>
      <c r="AB982">
        <v>149</v>
      </c>
    </row>
    <row r="983" spans="27:28">
      <c r="AA983" s="19">
        <v>34578</v>
      </c>
      <c r="AB983">
        <v>149.4</v>
      </c>
    </row>
    <row r="984" spans="27:28">
      <c r="AA984" s="19">
        <v>34608</v>
      </c>
      <c r="AB984">
        <v>149.5</v>
      </c>
    </row>
    <row r="985" spans="27:28">
      <c r="AA985" s="19">
        <v>34639</v>
      </c>
      <c r="AB985">
        <v>149.69999999999999</v>
      </c>
    </row>
    <row r="986" spans="27:28">
      <c r="AA986" s="19">
        <v>34669</v>
      </c>
      <c r="AB986">
        <v>149.69999999999999</v>
      </c>
    </row>
    <row r="987" spans="27:28">
      <c r="AA987" s="19">
        <v>34700</v>
      </c>
      <c r="AB987">
        <v>150.30000000000001</v>
      </c>
    </row>
    <row r="988" spans="27:28">
      <c r="AA988" s="19">
        <v>34731</v>
      </c>
      <c r="AB988">
        <v>150.9</v>
      </c>
    </row>
    <row r="989" spans="27:28">
      <c r="AA989" s="19">
        <v>34759</v>
      </c>
      <c r="AB989">
        <v>151.4</v>
      </c>
    </row>
    <row r="990" spans="27:28">
      <c r="AA990" s="19">
        <v>34790</v>
      </c>
      <c r="AB990">
        <v>151.9</v>
      </c>
    </row>
    <row r="991" spans="27:28">
      <c r="AA991" s="19">
        <v>34820</v>
      </c>
      <c r="AB991">
        <v>152.19999999999999</v>
      </c>
    </row>
    <row r="992" spans="27:28">
      <c r="AA992" s="19">
        <v>34851</v>
      </c>
      <c r="AB992">
        <v>152.5</v>
      </c>
    </row>
    <row r="993" spans="27:28">
      <c r="AA993" s="19">
        <v>34881</v>
      </c>
      <c r="AB993">
        <v>152.5</v>
      </c>
    </row>
    <row r="994" spans="27:28">
      <c r="AA994" s="19">
        <v>34912</v>
      </c>
      <c r="AB994">
        <v>152.9</v>
      </c>
    </row>
    <row r="995" spans="27:28">
      <c r="AA995" s="19">
        <v>34943</v>
      </c>
      <c r="AB995">
        <v>153.19999999999999</v>
      </c>
    </row>
    <row r="996" spans="27:28">
      <c r="AA996" s="19">
        <v>34973</v>
      </c>
      <c r="AB996">
        <v>153.69999999999999</v>
      </c>
    </row>
    <row r="997" spans="27:28">
      <c r="AA997" s="19">
        <v>35004</v>
      </c>
      <c r="AB997">
        <v>153.6</v>
      </c>
    </row>
    <row r="998" spans="27:28">
      <c r="AA998" s="19">
        <v>35034</v>
      </c>
      <c r="AB998">
        <v>153.5</v>
      </c>
    </row>
    <row r="999" spans="27:28">
      <c r="AA999" s="19">
        <v>35065</v>
      </c>
      <c r="AB999">
        <v>154.4</v>
      </c>
    </row>
    <row r="1000" spans="27:28">
      <c r="AA1000" s="19">
        <v>35096</v>
      </c>
      <c r="AB1000">
        <v>154.9</v>
      </c>
    </row>
    <row r="1001" spans="27:28">
      <c r="AA1001" s="19">
        <v>35125</v>
      </c>
      <c r="AB1001">
        <v>155.69999999999999</v>
      </c>
    </row>
    <row r="1002" spans="27:28">
      <c r="AA1002" s="19">
        <v>35156</v>
      </c>
      <c r="AB1002">
        <v>156.30000000000001</v>
      </c>
    </row>
    <row r="1003" spans="27:28">
      <c r="AA1003" s="19">
        <v>35186</v>
      </c>
      <c r="AB1003">
        <v>156.6</v>
      </c>
    </row>
    <row r="1004" spans="27:28">
      <c r="AA1004" s="19">
        <v>35217</v>
      </c>
      <c r="AB1004">
        <v>156.69999999999999</v>
      </c>
    </row>
    <row r="1005" spans="27:28">
      <c r="AA1005" s="19">
        <v>35247</v>
      </c>
      <c r="AB1005">
        <v>157</v>
      </c>
    </row>
    <row r="1006" spans="27:28">
      <c r="AA1006" s="19">
        <v>35278</v>
      </c>
      <c r="AB1006">
        <v>157.30000000000001</v>
      </c>
    </row>
    <row r="1007" spans="27:28">
      <c r="AA1007" s="19">
        <v>35309</v>
      </c>
      <c r="AB1007">
        <v>157.80000000000001</v>
      </c>
    </row>
    <row r="1008" spans="27:28">
      <c r="AA1008" s="19">
        <v>35339</v>
      </c>
      <c r="AB1008">
        <v>158.30000000000001</v>
      </c>
    </row>
    <row r="1009" spans="27:28">
      <c r="AA1009" s="19">
        <v>35370</v>
      </c>
      <c r="AB1009">
        <v>158.6</v>
      </c>
    </row>
    <row r="1010" spans="27:28">
      <c r="AA1010" s="19">
        <v>35400</v>
      </c>
      <c r="AB1010">
        <v>158.6</v>
      </c>
    </row>
    <row r="1011" spans="27:28">
      <c r="AA1011" s="19">
        <v>35431</v>
      </c>
      <c r="AB1011">
        <v>159.1</v>
      </c>
    </row>
    <row r="1012" spans="27:28">
      <c r="AA1012" s="19">
        <v>35462</v>
      </c>
      <c r="AB1012">
        <v>159.6</v>
      </c>
    </row>
    <row r="1013" spans="27:28">
      <c r="AA1013" s="19">
        <v>35490</v>
      </c>
      <c r="AB1013">
        <v>160</v>
      </c>
    </row>
    <row r="1014" spans="27:28">
      <c r="AA1014" s="19">
        <v>35521</v>
      </c>
      <c r="AB1014">
        <v>160.19999999999999</v>
      </c>
    </row>
    <row r="1015" spans="27:28">
      <c r="AA1015" s="19">
        <v>35551</v>
      </c>
      <c r="AB1015">
        <v>160.1</v>
      </c>
    </row>
    <row r="1016" spans="27:28">
      <c r="AA1016" s="19">
        <v>35582</v>
      </c>
      <c r="AB1016">
        <v>160.30000000000001</v>
      </c>
    </row>
    <row r="1017" spans="27:28">
      <c r="AA1017" s="19">
        <v>35612</v>
      </c>
      <c r="AB1017">
        <v>160.5</v>
      </c>
    </row>
    <row r="1018" spans="27:28">
      <c r="AA1018" s="19">
        <v>35643</v>
      </c>
      <c r="AB1018">
        <v>160.80000000000001</v>
      </c>
    </row>
    <row r="1019" spans="27:28">
      <c r="AA1019" s="19">
        <v>35674</v>
      </c>
      <c r="AB1019">
        <v>161.19999999999999</v>
      </c>
    </row>
    <row r="1020" spans="27:28">
      <c r="AA1020" s="19">
        <v>35704</v>
      </c>
      <c r="AB1020">
        <v>161.6</v>
      </c>
    </row>
    <row r="1021" spans="27:28">
      <c r="AA1021" s="19">
        <v>35735</v>
      </c>
      <c r="AB1021">
        <v>161.5</v>
      </c>
    </row>
    <row r="1022" spans="27:28">
      <c r="AA1022" s="19">
        <v>35765</v>
      </c>
      <c r="AB1022">
        <v>161.30000000000001</v>
      </c>
    </row>
    <row r="1023" spans="27:28">
      <c r="AA1023" s="19">
        <v>35796</v>
      </c>
      <c r="AB1023">
        <v>161.6</v>
      </c>
    </row>
    <row r="1024" spans="27:28">
      <c r="AA1024" s="19">
        <v>35827</v>
      </c>
      <c r="AB1024">
        <v>161.9</v>
      </c>
    </row>
    <row r="1025" spans="27:28">
      <c r="AA1025" s="19">
        <v>35855</v>
      </c>
      <c r="AB1025">
        <v>162.19999999999999</v>
      </c>
    </row>
    <row r="1026" spans="27:28">
      <c r="AA1026" s="19">
        <v>35886</v>
      </c>
      <c r="AB1026">
        <v>162.5</v>
      </c>
    </row>
    <row r="1027" spans="27:28">
      <c r="AA1027" s="19">
        <v>35916</v>
      </c>
      <c r="AB1027">
        <v>162.80000000000001</v>
      </c>
    </row>
    <row r="1028" spans="27:28">
      <c r="AA1028" s="19">
        <v>35947</v>
      </c>
      <c r="AB1028">
        <v>163</v>
      </c>
    </row>
    <row r="1029" spans="27:28">
      <c r="AA1029" s="19">
        <v>35977</v>
      </c>
      <c r="AB1029">
        <v>163.19999999999999</v>
      </c>
    </row>
    <row r="1030" spans="27:28">
      <c r="AA1030" s="19">
        <v>36008</v>
      </c>
      <c r="AB1030">
        <v>163.4</v>
      </c>
    </row>
    <row r="1031" spans="27:28">
      <c r="AA1031" s="19">
        <v>36039</v>
      </c>
      <c r="AB1031">
        <v>163.6</v>
      </c>
    </row>
    <row r="1032" spans="27:28">
      <c r="AA1032" s="19">
        <v>36069</v>
      </c>
      <c r="AB1032">
        <v>164</v>
      </c>
    </row>
    <row r="1033" spans="27:28">
      <c r="AA1033" s="19">
        <v>36100</v>
      </c>
      <c r="AB1033">
        <v>164</v>
      </c>
    </row>
    <row r="1034" spans="27:28">
      <c r="AA1034" s="19">
        <v>36130</v>
      </c>
      <c r="AB1034">
        <v>163.9</v>
      </c>
    </row>
    <row r="1035" spans="27:28">
      <c r="AA1035" s="19">
        <v>36161</v>
      </c>
      <c r="AB1035">
        <v>164.3</v>
      </c>
    </row>
    <row r="1036" spans="27:28">
      <c r="AA1036" s="19">
        <v>36192</v>
      </c>
      <c r="AB1036">
        <v>164.5</v>
      </c>
    </row>
    <row r="1037" spans="27:28">
      <c r="AA1037" s="19">
        <v>36220</v>
      </c>
      <c r="AB1037">
        <v>165</v>
      </c>
    </row>
    <row r="1038" spans="27:28">
      <c r="AA1038" s="19">
        <v>36251</v>
      </c>
      <c r="AB1038">
        <v>166.2</v>
      </c>
    </row>
    <row r="1039" spans="27:28">
      <c r="AA1039" s="19">
        <v>36281</v>
      </c>
      <c r="AB1039">
        <v>166.2</v>
      </c>
    </row>
    <row r="1040" spans="27:28">
      <c r="AA1040" s="19">
        <v>36312</v>
      </c>
      <c r="AB1040">
        <v>166.2</v>
      </c>
    </row>
    <row r="1041" spans="27:28">
      <c r="AA1041" s="19">
        <v>36342</v>
      </c>
      <c r="AB1041">
        <v>166.7</v>
      </c>
    </row>
    <row r="1042" spans="27:28">
      <c r="AA1042" s="19">
        <v>36373</v>
      </c>
      <c r="AB1042">
        <v>167.1</v>
      </c>
    </row>
    <row r="1043" spans="27:28">
      <c r="AA1043" s="19">
        <v>36404</v>
      </c>
      <c r="AB1043">
        <v>167.9</v>
      </c>
    </row>
    <row r="1044" spans="27:28">
      <c r="AA1044" s="19">
        <v>36434</v>
      </c>
      <c r="AB1044">
        <v>168.2</v>
      </c>
    </row>
    <row r="1045" spans="27:28">
      <c r="AA1045" s="19">
        <v>36465</v>
      </c>
      <c r="AB1045">
        <v>168.3</v>
      </c>
    </row>
    <row r="1046" spans="27:28">
      <c r="AA1046" s="19">
        <v>36495</v>
      </c>
      <c r="AB1046">
        <v>168.3</v>
      </c>
    </row>
    <row r="1047" spans="27:28">
      <c r="AA1047" s="19">
        <v>36526</v>
      </c>
      <c r="AB1047">
        <v>168.8</v>
      </c>
    </row>
    <row r="1048" spans="27:28">
      <c r="AA1048" s="19">
        <v>36557</v>
      </c>
      <c r="AB1048">
        <v>169.8</v>
      </c>
    </row>
    <row r="1049" spans="27:28">
      <c r="AA1049" s="19">
        <v>36586</v>
      </c>
      <c r="AB1049">
        <v>171.2</v>
      </c>
    </row>
    <row r="1050" spans="27:28">
      <c r="AA1050" s="19">
        <v>36617</v>
      </c>
      <c r="AB1050">
        <v>171.3</v>
      </c>
    </row>
    <row r="1051" spans="27:28">
      <c r="AA1051" s="19">
        <v>36647</v>
      </c>
      <c r="AB1051">
        <v>171.5</v>
      </c>
    </row>
    <row r="1052" spans="27:28">
      <c r="AA1052" s="19">
        <v>36678</v>
      </c>
      <c r="AB1052">
        <v>172.4</v>
      </c>
    </row>
    <row r="1053" spans="27:28">
      <c r="AA1053" s="19">
        <v>36708</v>
      </c>
      <c r="AB1053">
        <v>172.8</v>
      </c>
    </row>
    <row r="1054" spans="27:28">
      <c r="AA1054" s="19">
        <v>36739</v>
      </c>
      <c r="AB1054">
        <v>172.8</v>
      </c>
    </row>
    <row r="1055" spans="27:28">
      <c r="AA1055" s="19">
        <v>36770</v>
      </c>
      <c r="AB1055">
        <v>173.7</v>
      </c>
    </row>
    <row r="1056" spans="27:28">
      <c r="AA1056" s="19">
        <v>36800</v>
      </c>
      <c r="AB1056">
        <v>174</v>
      </c>
    </row>
    <row r="1057" spans="27:28">
      <c r="AA1057" s="19">
        <v>36831</v>
      </c>
      <c r="AB1057">
        <v>174.1</v>
      </c>
    </row>
    <row r="1058" spans="27:28">
      <c r="AA1058" s="19">
        <v>36861</v>
      </c>
      <c r="AB1058">
        <v>174</v>
      </c>
    </row>
    <row r="1059" spans="27:28">
      <c r="AA1059" s="19">
        <v>36892</v>
      </c>
      <c r="AB1059">
        <v>175.1</v>
      </c>
    </row>
    <row r="1060" spans="27:28">
      <c r="AA1060" s="19">
        <v>36923</v>
      </c>
      <c r="AB1060">
        <v>175.8</v>
      </c>
    </row>
    <row r="1061" spans="27:28">
      <c r="AA1061" s="19">
        <v>36951</v>
      </c>
      <c r="AB1061">
        <v>176.2</v>
      </c>
    </row>
    <row r="1062" spans="27:28">
      <c r="AA1062" s="19">
        <v>36982</v>
      </c>
      <c r="AB1062">
        <v>176.9</v>
      </c>
    </row>
    <row r="1063" spans="27:28">
      <c r="AA1063" s="19">
        <v>37012</v>
      </c>
      <c r="AB1063">
        <v>177.7</v>
      </c>
    </row>
    <row r="1064" spans="27:28">
      <c r="AA1064" s="19">
        <v>37043</v>
      </c>
      <c r="AB1064">
        <v>178</v>
      </c>
    </row>
    <row r="1065" spans="27:28">
      <c r="AA1065" s="19">
        <v>37073</v>
      </c>
      <c r="AB1065">
        <v>177.5</v>
      </c>
    </row>
    <row r="1066" spans="27:28">
      <c r="AA1066" s="19">
        <v>37104</v>
      </c>
      <c r="AB1066">
        <v>177.5</v>
      </c>
    </row>
    <row r="1067" spans="27:28">
      <c r="AA1067" s="19">
        <v>37135</v>
      </c>
      <c r="AB1067">
        <v>178.3</v>
      </c>
    </row>
    <row r="1068" spans="27:28">
      <c r="AA1068" s="19">
        <v>37165</v>
      </c>
      <c r="AB1068">
        <v>177.7</v>
      </c>
    </row>
    <row r="1069" spans="27:28">
      <c r="AA1069" s="19">
        <v>37196</v>
      </c>
      <c r="AB1069">
        <v>177.4</v>
      </c>
    </row>
    <row r="1070" spans="27:28">
      <c r="AA1070" s="19">
        <v>37226</v>
      </c>
      <c r="AB1070">
        <v>176.7</v>
      </c>
    </row>
    <row r="1071" spans="27:28">
      <c r="AA1071" s="19">
        <v>37257</v>
      </c>
      <c r="AB1071">
        <v>177.1</v>
      </c>
    </row>
    <row r="1072" spans="27:28">
      <c r="AA1072" s="19">
        <v>37288</v>
      </c>
      <c r="AB1072">
        <v>177.8</v>
      </c>
    </row>
    <row r="1073" spans="27:28">
      <c r="AA1073" s="19">
        <v>37316</v>
      </c>
      <c r="AB1073">
        <v>178.8</v>
      </c>
    </row>
    <row r="1074" spans="27:28">
      <c r="AA1074" s="19">
        <v>37347</v>
      </c>
      <c r="AB1074">
        <v>179.8</v>
      </c>
    </row>
    <row r="1075" spans="27:28">
      <c r="AA1075" s="19">
        <v>37377</v>
      </c>
      <c r="AB1075">
        <v>179.8</v>
      </c>
    </row>
    <row r="1076" spans="27:28">
      <c r="AA1076" s="19">
        <v>37408</v>
      </c>
      <c r="AB1076">
        <v>179.9</v>
      </c>
    </row>
    <row r="1077" spans="27:28">
      <c r="AA1077" s="19">
        <v>37438</v>
      </c>
      <c r="AB1077">
        <v>180.1</v>
      </c>
    </row>
    <row r="1078" spans="27:28">
      <c r="AA1078" s="19">
        <v>37469</v>
      </c>
      <c r="AB1078">
        <v>180.7</v>
      </c>
    </row>
    <row r="1079" spans="27:28">
      <c r="AA1079" s="19">
        <v>37500</v>
      </c>
      <c r="AB1079">
        <v>181</v>
      </c>
    </row>
    <row r="1080" spans="27:28">
      <c r="AA1080" s="19">
        <v>37530</v>
      </c>
      <c r="AB1080">
        <v>181.3</v>
      </c>
    </row>
    <row r="1081" spans="27:28">
      <c r="AA1081" s="19">
        <v>37561</v>
      </c>
      <c r="AB1081">
        <v>181.3</v>
      </c>
    </row>
    <row r="1082" spans="27:28">
      <c r="AA1082" s="19">
        <v>37591</v>
      </c>
      <c r="AB1082">
        <v>180.9</v>
      </c>
    </row>
    <row r="1083" spans="27:28">
      <c r="AA1083" s="19">
        <v>37622</v>
      </c>
      <c r="AB1083">
        <v>181.7</v>
      </c>
    </row>
    <row r="1084" spans="27:28">
      <c r="AA1084" s="19">
        <v>37653</v>
      </c>
      <c r="AB1084">
        <v>183.1</v>
      </c>
    </row>
    <row r="1085" spans="27:28">
      <c r="AA1085" s="19">
        <v>37681</v>
      </c>
      <c r="AB1085">
        <v>184.2</v>
      </c>
    </row>
    <row r="1086" spans="27:28">
      <c r="AA1086" s="19">
        <v>37712</v>
      </c>
      <c r="AB1086">
        <v>183.8</v>
      </c>
    </row>
    <row r="1087" spans="27:28">
      <c r="AA1087" s="19">
        <v>37742</v>
      </c>
      <c r="AB1087">
        <v>183.5</v>
      </c>
    </row>
    <row r="1088" spans="27:28">
      <c r="AA1088" s="19">
        <v>37773</v>
      </c>
      <c r="AB1088">
        <v>183.7</v>
      </c>
    </row>
    <row r="1089" spans="27:28">
      <c r="AA1089" s="19">
        <v>37803</v>
      </c>
      <c r="AB1089">
        <v>183.9</v>
      </c>
    </row>
    <row r="1090" spans="27:28">
      <c r="AA1090" s="19">
        <v>37834</v>
      </c>
      <c r="AB1090">
        <v>184.6</v>
      </c>
    </row>
    <row r="1091" spans="27:28">
      <c r="AA1091" s="19">
        <v>37865</v>
      </c>
      <c r="AB1091">
        <v>185.2</v>
      </c>
    </row>
    <row r="1092" spans="27:28">
      <c r="AA1092" s="19">
        <v>37895</v>
      </c>
      <c r="AB1092">
        <v>185</v>
      </c>
    </row>
    <row r="1093" spans="27:28">
      <c r="AA1093" s="19">
        <v>37926</v>
      </c>
      <c r="AB1093">
        <v>184.5</v>
      </c>
    </row>
    <row r="1094" spans="27:28">
      <c r="AA1094" s="19">
        <v>37956</v>
      </c>
      <c r="AB1094">
        <v>184.3</v>
      </c>
    </row>
    <row r="1095" spans="27:28">
      <c r="AA1095" s="19">
        <v>37987</v>
      </c>
      <c r="AB1095">
        <v>185.2</v>
      </c>
    </row>
    <row r="1096" spans="27:28">
      <c r="AA1096" s="19">
        <v>38018</v>
      </c>
      <c r="AB1096">
        <v>186.2</v>
      </c>
    </row>
    <row r="1097" spans="27:28">
      <c r="AA1097" s="19">
        <v>38047</v>
      </c>
      <c r="AB1097">
        <v>187.4</v>
      </c>
    </row>
    <row r="1098" spans="27:28">
      <c r="AA1098" s="19">
        <v>38078</v>
      </c>
      <c r="AB1098">
        <v>188</v>
      </c>
    </row>
    <row r="1099" spans="27:28">
      <c r="AA1099" s="19">
        <v>38108</v>
      </c>
      <c r="AB1099">
        <v>189.1</v>
      </c>
    </row>
    <row r="1100" spans="27:28">
      <c r="AA1100" s="19">
        <v>38139</v>
      </c>
      <c r="AB1100">
        <v>189.7</v>
      </c>
    </row>
    <row r="1101" spans="27:28">
      <c r="AA1101" s="19">
        <v>38169</v>
      </c>
      <c r="AB1101">
        <v>189.4</v>
      </c>
    </row>
    <row r="1102" spans="27:28">
      <c r="AA1102" s="19">
        <v>38200</v>
      </c>
      <c r="AB1102">
        <v>189.5</v>
      </c>
    </row>
    <row r="1103" spans="27:28">
      <c r="AA1103" s="19">
        <v>38231</v>
      </c>
      <c r="AB1103">
        <v>189.9</v>
      </c>
    </row>
    <row r="1104" spans="27:28">
      <c r="AA1104" s="19">
        <v>38261</v>
      </c>
      <c r="AB1104">
        <v>190.9</v>
      </c>
    </row>
    <row r="1105" spans="27:28">
      <c r="AA1105" s="19">
        <v>38292</v>
      </c>
      <c r="AB1105">
        <v>191</v>
      </c>
    </row>
    <row r="1106" spans="27:28">
      <c r="AA1106" s="19">
        <v>38322</v>
      </c>
      <c r="AB1106">
        <v>190.3</v>
      </c>
    </row>
    <row r="1107" spans="27:28">
      <c r="AA1107" s="19">
        <v>38353</v>
      </c>
      <c r="AB1107">
        <v>190.7</v>
      </c>
    </row>
    <row r="1108" spans="27:28">
      <c r="AA1108" s="19">
        <v>38384</v>
      </c>
      <c r="AB1108">
        <v>191.8</v>
      </c>
    </row>
    <row r="1109" spans="27:28">
      <c r="AA1109" s="19">
        <v>38412</v>
      </c>
      <c r="AB1109">
        <v>193.3</v>
      </c>
    </row>
    <row r="1110" spans="27:28">
      <c r="AA1110" s="19">
        <v>38443</v>
      </c>
      <c r="AB1110">
        <v>194.6</v>
      </c>
    </row>
    <row r="1111" spans="27:28">
      <c r="AA1111" s="19">
        <v>38473</v>
      </c>
      <c r="AB1111">
        <v>194.4</v>
      </c>
    </row>
    <row r="1112" spans="27:28">
      <c r="AA1112" s="19">
        <v>38504</v>
      </c>
      <c r="AB1112">
        <v>194.5</v>
      </c>
    </row>
    <row r="1113" spans="27:28">
      <c r="AA1113" s="19">
        <v>38534</v>
      </c>
      <c r="AB1113">
        <v>195.4</v>
      </c>
    </row>
    <row r="1114" spans="27:28">
      <c r="AA1114" s="19">
        <v>38565</v>
      </c>
      <c r="AB1114">
        <v>196.4</v>
      </c>
    </row>
    <row r="1115" spans="27:28">
      <c r="AA1115" s="19">
        <v>38596</v>
      </c>
      <c r="AB1115">
        <v>198.8</v>
      </c>
    </row>
    <row r="1116" spans="27:28">
      <c r="AA1116" s="19">
        <v>38626</v>
      </c>
      <c r="AB1116">
        <v>199.2</v>
      </c>
    </row>
    <row r="1117" spans="27:28">
      <c r="AA1117" s="19">
        <v>38657</v>
      </c>
      <c r="AB1117">
        <v>197.6</v>
      </c>
    </row>
    <row r="1118" spans="27:28">
      <c r="AA1118" s="19">
        <v>38687</v>
      </c>
      <c r="AB1118">
        <v>196.8</v>
      </c>
    </row>
    <row r="1119" spans="27:28">
      <c r="AA1119" s="19">
        <v>38718</v>
      </c>
      <c r="AB1119">
        <v>198.3</v>
      </c>
    </row>
    <row r="1120" spans="27:28">
      <c r="AA1120" s="19">
        <v>38749</v>
      </c>
      <c r="AB1120">
        <v>198.7</v>
      </c>
    </row>
    <row r="1121" spans="27:28">
      <c r="AA1121" s="19">
        <v>38777</v>
      </c>
      <c r="AB1121">
        <v>199.8</v>
      </c>
    </row>
    <row r="1122" spans="27:28">
      <c r="AA1122" s="19">
        <v>38808</v>
      </c>
      <c r="AB1122">
        <v>201.5</v>
      </c>
    </row>
    <row r="1123" spans="27:28">
      <c r="AA1123" s="19">
        <v>38838</v>
      </c>
      <c r="AB1123">
        <v>202.5</v>
      </c>
    </row>
    <row r="1124" spans="27:28">
      <c r="AA1124" s="19">
        <v>38869</v>
      </c>
      <c r="AB1124">
        <v>202.9</v>
      </c>
    </row>
    <row r="1125" spans="27:28">
      <c r="AA1125" s="19">
        <v>38899</v>
      </c>
      <c r="AB1125">
        <v>203.5</v>
      </c>
    </row>
    <row r="1126" spans="27:28">
      <c r="AA1126" s="19">
        <v>38930</v>
      </c>
      <c r="AB1126">
        <v>203.9</v>
      </c>
    </row>
    <row r="1127" spans="27:28">
      <c r="AA1127" s="19">
        <v>38961</v>
      </c>
      <c r="AB1127">
        <v>202.9</v>
      </c>
    </row>
    <row r="1128" spans="27:28">
      <c r="AA1128" s="19">
        <v>38991</v>
      </c>
      <c r="AB1128">
        <v>201.8</v>
      </c>
    </row>
    <row r="1129" spans="27:28">
      <c r="AA1129" s="19">
        <v>39022</v>
      </c>
      <c r="AB1129">
        <v>201.5</v>
      </c>
    </row>
    <row r="1130" spans="27:28">
      <c r="AA1130" s="19">
        <v>39052</v>
      </c>
      <c r="AB1130">
        <v>201.8</v>
      </c>
    </row>
    <row r="1131" spans="27:28">
      <c r="AA1131" s="19">
        <v>39083</v>
      </c>
      <c r="AB1131">
        <v>202.416</v>
      </c>
    </row>
    <row r="1132" spans="27:28">
      <c r="AA1132" s="19">
        <v>39114</v>
      </c>
      <c r="AB1132">
        <v>203.499</v>
      </c>
    </row>
    <row r="1133" spans="27:28">
      <c r="AA1133" s="19">
        <v>39142</v>
      </c>
      <c r="AB1133">
        <v>205.352</v>
      </c>
    </row>
    <row r="1134" spans="27:28">
      <c r="AA1134" s="19">
        <v>39173</v>
      </c>
      <c r="AB1134">
        <v>206.68600000000001</v>
      </c>
    </row>
    <row r="1135" spans="27:28">
      <c r="AA1135" s="19">
        <v>39203</v>
      </c>
      <c r="AB1135">
        <v>207.94900000000001</v>
      </c>
    </row>
    <row r="1136" spans="27:28">
      <c r="AA1136" s="19">
        <v>39234</v>
      </c>
      <c r="AB1136">
        <v>208.352</v>
      </c>
    </row>
    <row r="1137" spans="27:28">
      <c r="AA1137" s="19">
        <v>39264</v>
      </c>
      <c r="AB1137">
        <v>208.29900000000001</v>
      </c>
    </row>
    <row r="1138" spans="27:28">
      <c r="AA1138" s="19">
        <v>39295</v>
      </c>
      <c r="AB1138">
        <v>207.917</v>
      </c>
    </row>
    <row r="1139" spans="27:28">
      <c r="AA1139" s="19">
        <v>39326</v>
      </c>
      <c r="AB1139">
        <v>208.49</v>
      </c>
    </row>
    <row r="1140" spans="27:28">
      <c r="AA1140" s="19">
        <v>39356</v>
      </c>
      <c r="AB1140">
        <v>208.93600000000001</v>
      </c>
    </row>
    <row r="1141" spans="27:28">
      <c r="AA1141" s="19">
        <v>39387</v>
      </c>
      <c r="AB1141">
        <v>210.17699999999999</v>
      </c>
    </row>
    <row r="1142" spans="27:28">
      <c r="AA1142" s="19">
        <v>39417</v>
      </c>
      <c r="AB1142">
        <v>210.036</v>
      </c>
    </row>
    <row r="1143" spans="27:28">
      <c r="AA1143" s="19">
        <v>39448</v>
      </c>
      <c r="AB1143">
        <v>211.08</v>
      </c>
    </row>
    <row r="1144" spans="27:28">
      <c r="AA1144" s="19">
        <v>39479</v>
      </c>
      <c r="AB1144">
        <v>211.69300000000001</v>
      </c>
    </row>
    <row r="1145" spans="27:28">
      <c r="AA1145" s="19">
        <v>39508</v>
      </c>
      <c r="AB1145">
        <v>213.52799999999999</v>
      </c>
    </row>
    <row r="1146" spans="27:28">
      <c r="AA1146" s="19">
        <v>39539</v>
      </c>
      <c r="AB1146">
        <v>214.82300000000001</v>
      </c>
    </row>
    <row r="1147" spans="27:28">
      <c r="AA1147" s="19">
        <v>39569</v>
      </c>
      <c r="AB1147">
        <v>216.63200000000001</v>
      </c>
    </row>
    <row r="1148" spans="27:28">
      <c r="AA1148" s="19">
        <v>39600</v>
      </c>
      <c r="AB1148">
        <v>218.815</v>
      </c>
    </row>
    <row r="1149" spans="27:28">
      <c r="AA1149" s="19">
        <v>39630</v>
      </c>
      <c r="AB1149">
        <v>219.964</v>
      </c>
    </row>
    <row r="1150" spans="27:28">
      <c r="AA1150" s="19">
        <v>39661</v>
      </c>
      <c r="AB1150">
        <v>219.08600000000001</v>
      </c>
    </row>
    <row r="1151" spans="27:28">
      <c r="AA1151" s="19">
        <v>39692</v>
      </c>
      <c r="AB1151">
        <v>218.78299999999999</v>
      </c>
    </row>
    <row r="1152" spans="27:28">
      <c r="AA1152" s="19">
        <v>39722</v>
      </c>
      <c r="AB1152">
        <v>216.57300000000001</v>
      </c>
    </row>
    <row r="1153" spans="27:28">
      <c r="AA1153" s="19">
        <v>39753</v>
      </c>
      <c r="AB1153">
        <v>212.42500000000001</v>
      </c>
    </row>
    <row r="1154" spans="27:28">
      <c r="AA1154" s="19">
        <v>39783</v>
      </c>
      <c r="AB1154">
        <v>210.22800000000001</v>
      </c>
    </row>
    <row r="1155" spans="27:28">
      <c r="AA1155" s="19">
        <v>39814</v>
      </c>
      <c r="AB1155">
        <v>211.143</v>
      </c>
    </row>
    <row r="1156" spans="27:28">
      <c r="AA1156" s="19">
        <v>39845</v>
      </c>
      <c r="AB1156">
        <v>212.19300000000001</v>
      </c>
    </row>
    <row r="1157" spans="27:28">
      <c r="AA1157" s="19">
        <v>39873</v>
      </c>
      <c r="AB1157">
        <v>212.709</v>
      </c>
    </row>
    <row r="1158" spans="27:28">
      <c r="AA1158" s="19">
        <v>39904</v>
      </c>
      <c r="AB1158">
        <v>213.24</v>
      </c>
    </row>
    <row r="1159" spans="27:28">
      <c r="AA1159" s="19">
        <v>39934</v>
      </c>
      <c r="AB1159">
        <v>213.85599999999999</v>
      </c>
    </row>
    <row r="1160" spans="27:28">
      <c r="AA1160" s="19">
        <v>39965</v>
      </c>
      <c r="AB1160">
        <v>215.69300000000001</v>
      </c>
    </row>
    <row r="1161" spans="27:28">
      <c r="AA1161" s="19">
        <v>39995</v>
      </c>
      <c r="AB1161">
        <v>215.351</v>
      </c>
    </row>
    <row r="1162" spans="27:28">
      <c r="AA1162" s="19">
        <v>40026</v>
      </c>
      <c r="AB1162">
        <v>215.834</v>
      </c>
    </row>
    <row r="1163" spans="27:28">
      <c r="AA1163" s="19">
        <v>40057</v>
      </c>
      <c r="AB1163">
        <v>215.96899999999999</v>
      </c>
    </row>
    <row r="1164" spans="27:28">
      <c r="AA1164" s="19">
        <v>40088</v>
      </c>
      <c r="AB1164">
        <v>216.17699999999999</v>
      </c>
    </row>
    <row r="1165" spans="27:28">
      <c r="AA1165" s="19">
        <v>40119</v>
      </c>
      <c r="AB1165">
        <v>216.33</v>
      </c>
    </row>
    <row r="1166" spans="27:28">
      <c r="AA1166" s="19">
        <v>40150</v>
      </c>
      <c r="AB1166">
        <v>215.94900000000001</v>
      </c>
    </row>
    <row r="1167" spans="27:28">
      <c r="AA1167" s="19">
        <v>40181</v>
      </c>
      <c r="AB1167">
        <v>216.68700000000001</v>
      </c>
    </row>
    <row r="1168" spans="27:28">
      <c r="AA1168" s="19">
        <v>40212</v>
      </c>
      <c r="AB1168">
        <v>216.74100000000001</v>
      </c>
    </row>
    <row r="1169" spans="27:28">
      <c r="AA1169" s="19">
        <v>40243</v>
      </c>
      <c r="AB1169">
        <v>217.631</v>
      </c>
    </row>
    <row r="1170" spans="27:28">
      <c r="AA1170" s="19">
        <v>40274</v>
      </c>
      <c r="AB1170">
        <v>218.00899999999999</v>
      </c>
    </row>
    <row r="1171" spans="27:28">
      <c r="AA1171" s="19">
        <v>40305</v>
      </c>
      <c r="AB1171">
        <v>218.178</v>
      </c>
    </row>
    <row r="1172" spans="27:28">
      <c r="AA1172" s="19">
        <v>40336</v>
      </c>
      <c r="AB1172">
        <v>217.965</v>
      </c>
    </row>
    <row r="1173" spans="27:28">
      <c r="AA1173" s="19">
        <v>40367</v>
      </c>
      <c r="AB1173">
        <v>218.011</v>
      </c>
    </row>
    <row r="1174" spans="27:28">
      <c r="AA1174" s="19">
        <v>40398</v>
      </c>
      <c r="AB1174">
        <v>218.31200000000001</v>
      </c>
    </row>
    <row r="1175" spans="27:28">
      <c r="AA1175" s="19">
        <v>40429</v>
      </c>
      <c r="AB1175">
        <v>218.43899999999999</v>
      </c>
    </row>
    <row r="1176" spans="27:28">
      <c r="AA1176" s="19">
        <f>+AA1175+30</f>
        <v>40459</v>
      </c>
      <c r="AB1176">
        <v>218.71100000000001</v>
      </c>
    </row>
    <row r="1177" spans="27:28">
      <c r="AA1177" s="19">
        <f t="shared" ref="AA1177:AA1187" si="5">+AA1176+30</f>
        <v>40489</v>
      </c>
      <c r="AB1177">
        <v>218.803</v>
      </c>
    </row>
    <row r="1178" spans="27:28">
      <c r="AA1178" s="19">
        <f t="shared" si="5"/>
        <v>40519</v>
      </c>
      <c r="AB1178">
        <v>219.179</v>
      </c>
    </row>
    <row r="1179" spans="27:28">
      <c r="AA1179" s="19">
        <f t="shared" si="5"/>
        <v>40549</v>
      </c>
      <c r="AB1179">
        <v>220.22300000000001</v>
      </c>
    </row>
    <row r="1180" spans="27:28">
      <c r="AA1180" s="19">
        <f t="shared" si="5"/>
        <v>40579</v>
      </c>
      <c r="AB1180">
        <v>221.309</v>
      </c>
    </row>
    <row r="1181" spans="27:28">
      <c r="AA1181" s="19">
        <f t="shared" si="5"/>
        <v>40609</v>
      </c>
      <c r="AB1181">
        <v>223.46700000000001</v>
      </c>
    </row>
    <row r="1182" spans="27:28">
      <c r="AA1182" s="19">
        <f t="shared" si="5"/>
        <v>40639</v>
      </c>
      <c r="AB1182">
        <v>224.90600000000001</v>
      </c>
    </row>
    <row r="1183" spans="27:28">
      <c r="AA1183" s="19">
        <f t="shared" si="5"/>
        <v>40669</v>
      </c>
      <c r="AB1183">
        <v>225.964</v>
      </c>
    </row>
    <row r="1184" spans="27:28">
      <c r="AA1184" s="19">
        <f t="shared" si="5"/>
        <v>40699</v>
      </c>
      <c r="AB1184">
        <v>225.72200000000001</v>
      </c>
    </row>
    <row r="1185" spans="27:28">
      <c r="AA1185" s="19">
        <f t="shared" si="5"/>
        <v>40729</v>
      </c>
      <c r="AB1185">
        <v>225.922</v>
      </c>
    </row>
    <row r="1186" spans="27:28">
      <c r="AA1186" s="19">
        <f t="shared" si="5"/>
        <v>40759</v>
      </c>
      <c r="AB1186">
        <v>226.54499999999999</v>
      </c>
    </row>
    <row r="1187" spans="27:28">
      <c r="AA1187" s="19">
        <f t="shared" si="5"/>
        <v>40789</v>
      </c>
      <c r="AB1187">
        <v>226.88900000000001</v>
      </c>
    </row>
    <row r="1188" spans="27:28">
      <c r="AA1188" s="19">
        <f>AA1187+30</f>
        <v>40819</v>
      </c>
      <c r="AB1188">
        <v>226.42099999999999</v>
      </c>
    </row>
    <row r="1189" spans="27:28">
      <c r="AA1189" s="19">
        <f t="shared" ref="AA1189:AA1223" si="6">AA1188+30</f>
        <v>40849</v>
      </c>
      <c r="AB1189">
        <v>226.23</v>
      </c>
    </row>
    <row r="1190" spans="27:28">
      <c r="AA1190" s="19">
        <f t="shared" si="6"/>
        <v>40879</v>
      </c>
      <c r="AB1190">
        <v>225.672</v>
      </c>
    </row>
    <row r="1191" spans="27:28">
      <c r="AA1191" s="19">
        <v>40923</v>
      </c>
      <c r="AB1191">
        <v>226.66499999999999</v>
      </c>
    </row>
    <row r="1192" spans="27:28">
      <c r="AA1192" s="19">
        <f t="shared" si="6"/>
        <v>40953</v>
      </c>
      <c r="AB1192">
        <v>227.66300000000001</v>
      </c>
    </row>
    <row r="1193" spans="27:28">
      <c r="AA1193" s="19">
        <f t="shared" si="6"/>
        <v>40983</v>
      </c>
      <c r="AB1193">
        <v>229.392</v>
      </c>
    </row>
    <row r="1194" spans="27:28">
      <c r="AA1194" s="19">
        <f t="shared" si="6"/>
        <v>41013</v>
      </c>
      <c r="AB1194">
        <v>230.08500000000001</v>
      </c>
    </row>
    <row r="1195" spans="27:28">
      <c r="AA1195" s="19">
        <f t="shared" si="6"/>
        <v>41043</v>
      </c>
      <c r="AB1195">
        <v>229.815</v>
      </c>
    </row>
    <row r="1196" spans="27:28">
      <c r="AA1196" s="19">
        <f t="shared" si="6"/>
        <v>41073</v>
      </c>
      <c r="AB1196">
        <v>229.47800000000001</v>
      </c>
    </row>
    <row r="1197" spans="27:28">
      <c r="AA1197" s="19">
        <f t="shared" si="6"/>
        <v>41103</v>
      </c>
      <c r="AB1197">
        <v>229.10400000000001</v>
      </c>
    </row>
    <row r="1198" spans="27:28">
      <c r="AA1198" s="19">
        <f t="shared" si="6"/>
        <v>41133</v>
      </c>
      <c r="AB1198">
        <v>230.37899999999999</v>
      </c>
    </row>
    <row r="1199" spans="27:28">
      <c r="AA1199" s="19">
        <f t="shared" si="6"/>
        <v>41163</v>
      </c>
      <c r="AB1199">
        <v>231.40700000000001</v>
      </c>
    </row>
    <row r="1200" spans="27:28">
      <c r="AA1200" s="19">
        <f t="shared" si="6"/>
        <v>41193</v>
      </c>
      <c r="AB1200">
        <v>231.31700000000001</v>
      </c>
    </row>
    <row r="1201" spans="14:28">
      <c r="Q1201">
        <v>233.916</v>
      </c>
      <c r="R1201">
        <v>234.78100000000001</v>
      </c>
      <c r="S1201">
        <v>236.29300000000001</v>
      </c>
      <c r="T1201">
        <v>237.072</v>
      </c>
      <c r="U1201">
        <v>237.9</v>
      </c>
      <c r="V1201">
        <v>238.34299999999999</v>
      </c>
      <c r="W1201">
        <v>238.25</v>
      </c>
      <c r="X1201">
        <v>237.852</v>
      </c>
      <c r="AA1201" s="19">
        <f t="shared" si="6"/>
        <v>41223</v>
      </c>
      <c r="AB1201">
        <v>230.221</v>
      </c>
    </row>
    <row r="1202" spans="14:28">
      <c r="AA1202" s="19">
        <f t="shared" si="6"/>
        <v>41253</v>
      </c>
      <c r="AB1202">
        <v>229.601</v>
      </c>
    </row>
    <row r="1203" spans="14:28">
      <c r="N1203" s="29"/>
      <c r="O1203" s="29"/>
      <c r="P1203" s="29">
        <v>233.87700000000001</v>
      </c>
      <c r="Q1203" s="29">
        <v>234.149</v>
      </c>
      <c r="R1203" s="29">
        <v>233.54599999999999</v>
      </c>
      <c r="S1203" s="29">
        <v>233.06899999999999</v>
      </c>
      <c r="T1203" s="29">
        <v>233.04900000000001</v>
      </c>
      <c r="AA1203" s="19">
        <f t="shared" si="6"/>
        <v>41283</v>
      </c>
      <c r="AB1203">
        <v>230.28</v>
      </c>
    </row>
    <row r="1204" spans="14:28">
      <c r="AA1204" s="19">
        <f t="shared" si="6"/>
        <v>41313</v>
      </c>
      <c r="AB1204">
        <v>232.166</v>
      </c>
    </row>
    <row r="1205" spans="14:28">
      <c r="AA1205" s="19">
        <f t="shared" si="6"/>
        <v>41343</v>
      </c>
      <c r="AB1205">
        <v>232.773</v>
      </c>
    </row>
    <row r="1206" spans="14:28">
      <c r="AA1206" s="19">
        <f t="shared" si="6"/>
        <v>41373</v>
      </c>
      <c r="AB1206">
        <v>232.53100000000001</v>
      </c>
    </row>
    <row r="1207" spans="14:28">
      <c r="AA1207" s="19">
        <f t="shared" si="6"/>
        <v>41403</v>
      </c>
      <c r="AB1207">
        <v>232.94499999999999</v>
      </c>
    </row>
    <row r="1208" spans="14:28">
      <c r="AA1208" s="19">
        <f t="shared" si="6"/>
        <v>41433</v>
      </c>
      <c r="AB1208">
        <v>233.50399999999999</v>
      </c>
    </row>
    <row r="1209" spans="14:28">
      <c r="AA1209" s="19">
        <f t="shared" si="6"/>
        <v>41463</v>
      </c>
      <c r="AB1209">
        <v>233.596</v>
      </c>
    </row>
    <row r="1210" spans="14:28">
      <c r="AA1210" s="19">
        <f t="shared" si="6"/>
        <v>41493</v>
      </c>
      <c r="AB1210">
        <v>233.87700000000001</v>
      </c>
    </row>
    <row r="1211" spans="14:28">
      <c r="AA1211" s="19">
        <f t="shared" si="6"/>
        <v>41523</v>
      </c>
      <c r="AB1211">
        <v>234.149</v>
      </c>
    </row>
    <row r="1212" spans="14:28">
      <c r="AA1212" s="19">
        <f t="shared" si="6"/>
        <v>41553</v>
      </c>
      <c r="AB1212">
        <v>233.54599999999999</v>
      </c>
    </row>
    <row r="1213" spans="14:28">
      <c r="AA1213" s="19">
        <f t="shared" si="6"/>
        <v>41583</v>
      </c>
      <c r="AB1213">
        <v>233.06899999999999</v>
      </c>
    </row>
    <row r="1214" spans="14:28">
      <c r="AA1214" s="19">
        <f t="shared" si="6"/>
        <v>41613</v>
      </c>
      <c r="AB1214">
        <v>233.04900000000001</v>
      </c>
    </row>
    <row r="1215" spans="14:28">
      <c r="AA1215" s="19">
        <f t="shared" si="6"/>
        <v>41643</v>
      </c>
      <c r="AB1215">
        <v>233.916</v>
      </c>
    </row>
    <row r="1216" spans="14:28">
      <c r="AA1216" s="19">
        <f t="shared" si="6"/>
        <v>41673</v>
      </c>
      <c r="AB1216">
        <v>234.78100000000001</v>
      </c>
    </row>
    <row r="1217" spans="27:28">
      <c r="AA1217" s="19">
        <f t="shared" si="6"/>
        <v>41703</v>
      </c>
      <c r="AB1217">
        <v>236.29300000000001</v>
      </c>
    </row>
    <row r="1218" spans="27:28">
      <c r="AA1218" s="19">
        <f t="shared" si="6"/>
        <v>41733</v>
      </c>
      <c r="AB1218">
        <v>237.072</v>
      </c>
    </row>
    <row r="1219" spans="27:28">
      <c r="AA1219" s="19">
        <f t="shared" si="6"/>
        <v>41763</v>
      </c>
      <c r="AB1219">
        <v>237.9</v>
      </c>
    </row>
    <row r="1220" spans="27:28">
      <c r="AA1220" s="19">
        <f t="shared" si="6"/>
        <v>41793</v>
      </c>
      <c r="AB1220">
        <v>238.34299999999999</v>
      </c>
    </row>
    <row r="1221" spans="27:28">
      <c r="AA1221" s="19">
        <f t="shared" si="6"/>
        <v>41823</v>
      </c>
      <c r="AB1221">
        <v>238.25</v>
      </c>
    </row>
    <row r="1222" spans="27:28">
      <c r="AA1222" s="19">
        <f t="shared" si="6"/>
        <v>41853</v>
      </c>
      <c r="AB1222">
        <v>237.852</v>
      </c>
    </row>
    <row r="1223" spans="27:28">
      <c r="AA1223" s="19">
        <f t="shared" si="6"/>
        <v>41883</v>
      </c>
      <c r="AB1223" s="31">
        <v>236.38399999999999</v>
      </c>
    </row>
  </sheetData>
  <mergeCells count="10">
    <mergeCell ref="I76:M76"/>
    <mergeCell ref="I77:M77"/>
    <mergeCell ref="I78:M78"/>
    <mergeCell ref="I75:M75"/>
    <mergeCell ref="H8:W8"/>
    <mergeCell ref="H71:M71"/>
    <mergeCell ref="H72:M72"/>
    <mergeCell ref="H70:M70"/>
    <mergeCell ref="I73:M73"/>
    <mergeCell ref="H74:M74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307"/>
  <sheetViews>
    <sheetView topLeftCell="A64" zoomScale="90" zoomScaleNormal="90" workbookViewId="0">
      <selection activeCell="H75" sqref="H75"/>
    </sheetView>
  </sheetViews>
  <sheetFormatPr defaultRowHeight="12.75"/>
  <cols>
    <col min="4" max="4" width="10.7109375" customWidth="1"/>
    <col min="10" max="10" width="17.42578125" customWidth="1"/>
    <col min="11" max="11" width="13.28515625" customWidth="1"/>
    <col min="14" max="14" width="22.42578125" customWidth="1"/>
    <col min="15" max="15" width="10.140625" bestFit="1" customWidth="1"/>
    <col min="17" max="17" width="12.85546875" customWidth="1"/>
    <col min="19" max="19" width="12.140625" customWidth="1"/>
  </cols>
  <sheetData>
    <row r="1" spans="2:20">
      <c r="D1" s="1" t="s">
        <v>69</v>
      </c>
      <c r="K1" s="45" t="s">
        <v>52</v>
      </c>
      <c r="L1" s="45" t="s">
        <v>97</v>
      </c>
      <c r="M1" s="17"/>
      <c r="N1" s="16"/>
      <c r="O1" s="16"/>
    </row>
    <row r="2" spans="2:20">
      <c r="B2" t="s">
        <v>0</v>
      </c>
      <c r="C2" t="s">
        <v>12</v>
      </c>
      <c r="D2" s="31" t="s">
        <v>93</v>
      </c>
      <c r="K2" s="46">
        <v>17168</v>
      </c>
      <c r="L2" s="47">
        <v>12.226000000000001</v>
      </c>
      <c r="M2" s="17"/>
      <c r="N2" s="23" t="s">
        <v>53</v>
      </c>
    </row>
    <row r="3" spans="2:20">
      <c r="B3">
        <v>1947</v>
      </c>
      <c r="C3">
        <v>15.702</v>
      </c>
      <c r="D3" s="13">
        <f>AVERAGE(L2:L5)</f>
        <v>12.49225</v>
      </c>
      <c r="K3" s="46">
        <v>17258</v>
      </c>
      <c r="L3" s="47">
        <v>12.324</v>
      </c>
      <c r="M3" s="17"/>
      <c r="N3" s="43" t="s">
        <v>54</v>
      </c>
    </row>
    <row r="4" spans="2:20">
      <c r="B4">
        <v>1948</v>
      </c>
      <c r="C4">
        <v>16.598749999999999</v>
      </c>
      <c r="D4">
        <f>AVERAGE(L6:L9)</f>
        <v>13.1995</v>
      </c>
      <c r="K4" s="46">
        <v>17349</v>
      </c>
      <c r="L4" s="47">
        <v>12.553000000000001</v>
      </c>
      <c r="M4" s="16"/>
      <c r="N4" s="23" t="s">
        <v>55</v>
      </c>
    </row>
    <row r="5" spans="2:20">
      <c r="B5">
        <v>1949</v>
      </c>
      <c r="C5">
        <v>16.474499999999999</v>
      </c>
      <c r="D5">
        <f>AVERAGE(L10:L13)</f>
        <v>13.095749999999999</v>
      </c>
      <c r="K5" s="46">
        <v>17441</v>
      </c>
      <c r="L5" s="47">
        <v>12.866</v>
      </c>
      <c r="M5" s="17"/>
    </row>
    <row r="6" spans="2:20">
      <c r="B6">
        <v>1950</v>
      </c>
      <c r="C6">
        <v>16.675249999999998</v>
      </c>
      <c r="D6">
        <f>AVERAGE(L14:L17)</f>
        <v>13.251749999999999</v>
      </c>
      <c r="K6" s="46">
        <v>17533</v>
      </c>
      <c r="L6" s="47">
        <v>13.009</v>
      </c>
      <c r="M6" s="17"/>
      <c r="N6" s="23" t="s">
        <v>56</v>
      </c>
    </row>
    <row r="7" spans="2:20">
      <c r="B7">
        <v>1951</v>
      </c>
      <c r="C7">
        <v>17.805</v>
      </c>
      <c r="D7">
        <f>AVERAGE(L18:L21)</f>
        <v>14.154499999999999</v>
      </c>
      <c r="K7" s="46">
        <v>17624</v>
      </c>
      <c r="L7" s="47">
        <v>13.143000000000001</v>
      </c>
      <c r="M7" s="17"/>
      <c r="N7" s="23" t="s">
        <v>57</v>
      </c>
    </row>
    <row r="8" spans="2:20">
      <c r="B8">
        <v>1952</v>
      </c>
      <c r="C8">
        <v>18.169</v>
      </c>
      <c r="D8">
        <f>AVERAGE(L22:L25)</f>
        <v>14.444749999999999</v>
      </c>
      <c r="K8" s="46">
        <v>17715</v>
      </c>
      <c r="L8" s="47">
        <v>13.343999999999999</v>
      </c>
      <c r="M8" s="16"/>
      <c r="N8" s="23" t="s">
        <v>58</v>
      </c>
    </row>
    <row r="9" spans="2:20">
      <c r="B9">
        <v>1953</v>
      </c>
      <c r="C9">
        <v>18.415500000000002</v>
      </c>
      <c r="D9">
        <f>AVERAGE(L26:L29)</f>
        <v>14.634500000000003</v>
      </c>
      <c r="K9" s="46">
        <v>17807</v>
      </c>
      <c r="L9" s="47">
        <v>13.302</v>
      </c>
      <c r="M9" s="17"/>
    </row>
    <row r="10" spans="2:20">
      <c r="B10">
        <v>1954</v>
      </c>
      <c r="C10">
        <v>18.58475</v>
      </c>
      <c r="D10">
        <f>AVERAGE(L30:L33)</f>
        <v>14.757999999999999</v>
      </c>
      <c r="K10" s="46">
        <v>17899</v>
      </c>
      <c r="L10" s="47">
        <v>13.196999999999999</v>
      </c>
      <c r="M10" s="17"/>
      <c r="N10" s="23" t="s">
        <v>59</v>
      </c>
    </row>
    <row r="11" spans="2:20">
      <c r="B11">
        <v>1955</v>
      </c>
      <c r="C11">
        <v>18.676500000000001</v>
      </c>
      <c r="D11">
        <f>AVERAGE(L34:L37)</f>
        <v>14.8155</v>
      </c>
      <c r="K11" s="46">
        <v>17989</v>
      </c>
      <c r="L11" s="47">
        <v>13.116</v>
      </c>
      <c r="M11" s="16"/>
      <c r="N11" s="23" t="s">
        <v>75</v>
      </c>
    </row>
    <row r="12" spans="2:20">
      <c r="B12">
        <v>1956</v>
      </c>
      <c r="C12">
        <v>19.058500000000002</v>
      </c>
      <c r="D12">
        <f>AVERAGE(L38:L41)</f>
        <v>15.110749999999999</v>
      </c>
      <c r="K12" s="46">
        <v>18080</v>
      </c>
      <c r="L12" s="47">
        <v>13.04</v>
      </c>
      <c r="M12" s="16"/>
    </row>
    <row r="13" spans="2:20">
      <c r="B13">
        <v>1957</v>
      </c>
      <c r="C13">
        <v>19.639250000000001</v>
      </c>
      <c r="D13">
        <f>AVERAGE(L42:L45)</f>
        <v>15.569749999999999</v>
      </c>
      <c r="K13" s="46">
        <v>18172</v>
      </c>
      <c r="L13" s="47">
        <v>13.03</v>
      </c>
      <c r="M13" s="17"/>
      <c r="O13" s="24" t="s">
        <v>60</v>
      </c>
      <c r="P13" s="23" t="s">
        <v>61</v>
      </c>
      <c r="S13" t="s">
        <v>52</v>
      </c>
      <c r="T13" t="s">
        <v>91</v>
      </c>
    </row>
    <row r="14" spans="2:20">
      <c r="B14">
        <v>1958</v>
      </c>
      <c r="C14">
        <v>20.117249999999999</v>
      </c>
      <c r="D14">
        <f>AVERAGE(L46:L49)</f>
        <v>15.93825</v>
      </c>
      <c r="J14" s="34"/>
      <c r="K14" s="46">
        <v>18264</v>
      </c>
      <c r="L14" s="47">
        <v>13.009</v>
      </c>
      <c r="M14" s="17"/>
      <c r="N14" s="23" t="s">
        <v>1</v>
      </c>
      <c r="O14" s="25" t="s">
        <v>62</v>
      </c>
      <c r="P14" s="25" t="s">
        <v>63</v>
      </c>
      <c r="S14" s="21">
        <v>17168</v>
      </c>
      <c r="T14" s="13">
        <v>13.04</v>
      </c>
    </row>
    <row r="15" spans="2:20">
      <c r="B15">
        <v>1959</v>
      </c>
      <c r="C15">
        <v>20.4315</v>
      </c>
      <c r="D15">
        <f>AVERAGE(L50:L53)</f>
        <v>16.175750000000001</v>
      </c>
      <c r="J15" s="34"/>
      <c r="K15" s="46">
        <v>18354</v>
      </c>
      <c r="L15" s="47">
        <v>13.071</v>
      </c>
      <c r="M15" s="16"/>
      <c r="N15" s="23" t="s">
        <v>2</v>
      </c>
      <c r="O15" s="26">
        <v>35083</v>
      </c>
      <c r="P15" s="25" t="s">
        <v>64</v>
      </c>
      <c r="S15" s="21">
        <v>17258</v>
      </c>
      <c r="T15" s="13">
        <v>13.145</v>
      </c>
    </row>
    <row r="16" spans="2:20">
      <c r="B16">
        <v>1960</v>
      </c>
      <c r="C16">
        <v>20.766750000000002</v>
      </c>
      <c r="D16">
        <f>AVERAGE(L54:L57)</f>
        <v>16.44125</v>
      </c>
      <c r="J16" s="34"/>
      <c r="K16" s="46">
        <v>18445</v>
      </c>
      <c r="L16" s="47">
        <v>13.345000000000001</v>
      </c>
      <c r="M16" s="17"/>
      <c r="S16" s="21">
        <v>17349</v>
      </c>
      <c r="T16" s="13">
        <v>13.39</v>
      </c>
    </row>
    <row r="17" spans="2:20">
      <c r="B17">
        <v>1961</v>
      </c>
      <c r="C17">
        <v>20.984749999999998</v>
      </c>
      <c r="D17">
        <f>AVERAGE(L58:L61)</f>
        <v>16.611499999999999</v>
      </c>
      <c r="J17" s="34"/>
      <c r="K17" s="46">
        <v>18537</v>
      </c>
      <c r="L17" s="47">
        <v>13.582000000000001</v>
      </c>
      <c r="M17" s="17"/>
      <c r="N17" s="23" t="s">
        <v>3</v>
      </c>
      <c r="S17" s="21">
        <v>17441</v>
      </c>
      <c r="T17" s="13">
        <v>13.723000000000001</v>
      </c>
    </row>
    <row r="18" spans="2:20">
      <c r="B18">
        <v>1962</v>
      </c>
      <c r="C18">
        <v>21.231750000000002</v>
      </c>
      <c r="D18">
        <f>AVERAGE(L62:L65)</f>
        <v>16.806250000000002</v>
      </c>
      <c r="J18" s="34"/>
      <c r="K18" s="46">
        <v>18629</v>
      </c>
      <c r="L18" s="47">
        <v>14.013999999999999</v>
      </c>
      <c r="M18" s="16"/>
      <c r="N18" s="23" t="s">
        <v>4</v>
      </c>
      <c r="O18" s="26">
        <v>35083</v>
      </c>
      <c r="P18" s="25" t="s">
        <v>64</v>
      </c>
      <c r="S18" s="21">
        <v>17533</v>
      </c>
      <c r="T18" s="13">
        <v>13.875</v>
      </c>
    </row>
    <row r="19" spans="2:20">
      <c r="B19">
        <v>1963</v>
      </c>
      <c r="C19">
        <v>21.478999999999999</v>
      </c>
      <c r="D19">
        <f>AVERAGE(L66:L69)</f>
        <v>17.007250000000003</v>
      </c>
      <c r="J19" s="34"/>
      <c r="K19" s="46">
        <v>18719</v>
      </c>
      <c r="L19" s="47">
        <v>14.125999999999999</v>
      </c>
      <c r="M19" s="17"/>
      <c r="S19" s="21">
        <v>17624</v>
      </c>
      <c r="T19" s="13">
        <v>14.018000000000001</v>
      </c>
    </row>
    <row r="20" spans="2:20">
      <c r="B20">
        <v>1964</v>
      </c>
      <c r="C20">
        <v>21.786249999999999</v>
      </c>
      <c r="D20">
        <f>AVERAGE(L70:L73)</f>
        <v>17.253499999999999</v>
      </c>
      <c r="J20" s="34"/>
      <c r="K20" s="46">
        <v>18810</v>
      </c>
      <c r="L20" s="47">
        <v>14.145</v>
      </c>
      <c r="M20" s="17"/>
      <c r="N20" s="23" t="s">
        <v>5</v>
      </c>
      <c r="S20" s="21">
        <v>17715</v>
      </c>
      <c r="T20" s="13">
        <v>14.233000000000001</v>
      </c>
    </row>
    <row r="21" spans="2:20">
      <c r="B21">
        <v>1965</v>
      </c>
      <c r="C21">
        <v>22.103249999999999</v>
      </c>
      <c r="D21">
        <f>AVERAGE(L74:L77)</f>
        <v>17.502000000000002</v>
      </c>
      <c r="J21" s="34"/>
      <c r="K21" s="46">
        <v>18902</v>
      </c>
      <c r="L21" s="47">
        <v>14.333</v>
      </c>
      <c r="M21" s="16"/>
      <c r="N21" s="23" t="s">
        <v>6</v>
      </c>
      <c r="O21" s="26">
        <v>35083</v>
      </c>
      <c r="P21" s="25" t="s">
        <v>64</v>
      </c>
      <c r="S21" s="21">
        <v>17807</v>
      </c>
      <c r="T21" s="13">
        <v>14.188000000000001</v>
      </c>
    </row>
    <row r="22" spans="2:20">
      <c r="B22">
        <v>1966</v>
      </c>
      <c r="C22">
        <v>22.66225</v>
      </c>
      <c r="D22">
        <f>AVERAGE(L78:L81)</f>
        <v>17.944499999999998</v>
      </c>
      <c r="J22" s="34"/>
      <c r="K22" s="46">
        <v>18994</v>
      </c>
      <c r="L22" s="47">
        <v>14.394</v>
      </c>
      <c r="M22" s="17"/>
      <c r="S22" s="21">
        <v>17899</v>
      </c>
      <c r="T22" s="13">
        <v>14.076000000000001</v>
      </c>
    </row>
    <row r="23" spans="2:20">
      <c r="B23">
        <v>1967</v>
      </c>
      <c r="C23">
        <v>23.237000000000002</v>
      </c>
      <c r="D23">
        <f>AVERAGE(L82:L85)</f>
        <v>18.395250000000001</v>
      </c>
      <c r="J23" s="34"/>
      <c r="K23" s="46">
        <v>19085</v>
      </c>
      <c r="L23" s="47">
        <v>14.391</v>
      </c>
      <c r="M23" s="17"/>
      <c r="N23" s="23" t="s">
        <v>9</v>
      </c>
      <c r="S23" s="21">
        <v>17989</v>
      </c>
      <c r="T23" s="13">
        <v>13.99</v>
      </c>
    </row>
    <row r="24" spans="2:20">
      <c r="B24">
        <v>1968</v>
      </c>
      <c r="C24">
        <v>24.151499999999999</v>
      </c>
      <c r="D24">
        <f>AVERAGE(L86:L89)</f>
        <v>19.115250000000003</v>
      </c>
      <c r="J24" s="34"/>
      <c r="K24" s="46">
        <v>19176</v>
      </c>
      <c r="L24" s="47">
        <v>14.484999999999999</v>
      </c>
      <c r="M24" s="16"/>
      <c r="N24" s="23" t="s">
        <v>76</v>
      </c>
      <c r="O24" s="26">
        <v>41486</v>
      </c>
      <c r="P24" s="25" t="s">
        <v>64</v>
      </c>
      <c r="S24" s="21">
        <v>18080</v>
      </c>
      <c r="T24" s="13">
        <v>13.91</v>
      </c>
    </row>
    <row r="25" spans="2:20">
      <c r="B25">
        <v>1969</v>
      </c>
      <c r="C25">
        <v>25.254999999999999</v>
      </c>
      <c r="D25">
        <f>AVERAGE(L90:L93)</f>
        <v>19.976000000000003</v>
      </c>
      <c r="J25" s="34"/>
      <c r="K25" s="46">
        <v>19268</v>
      </c>
      <c r="L25" s="47">
        <v>14.509</v>
      </c>
      <c r="M25" s="17"/>
      <c r="S25" s="21">
        <v>18172</v>
      </c>
      <c r="T25" s="13">
        <v>13.898999999999999</v>
      </c>
    </row>
    <row r="26" spans="2:20">
      <c r="B26">
        <v>1970</v>
      </c>
      <c r="C26">
        <v>26.448499999999999</v>
      </c>
      <c r="D26">
        <f>AVERAGE(L94:L97)</f>
        <v>20.909999999999997</v>
      </c>
      <c r="J26" s="34"/>
      <c r="K26" s="46">
        <v>19360</v>
      </c>
      <c r="L26" s="47">
        <v>14.563000000000001</v>
      </c>
      <c r="M26" s="17"/>
      <c r="N26" s="23" t="s">
        <v>7</v>
      </c>
      <c r="S26" s="21">
        <v>18264</v>
      </c>
      <c r="T26" s="13">
        <v>13.875999999999999</v>
      </c>
    </row>
    <row r="27" spans="2:20">
      <c r="B27">
        <v>1971</v>
      </c>
      <c r="C27">
        <v>27.573500000000003</v>
      </c>
      <c r="D27">
        <f>AVERAGE(L98:L101)</f>
        <v>21.797999999999998</v>
      </c>
      <c r="J27" s="34"/>
      <c r="K27" s="46">
        <v>19450</v>
      </c>
      <c r="L27" s="47">
        <v>14.585000000000001</v>
      </c>
      <c r="M27" s="16"/>
      <c r="N27" s="23" t="s">
        <v>8</v>
      </c>
      <c r="O27" s="26">
        <v>35083</v>
      </c>
      <c r="P27" s="25" t="s">
        <v>64</v>
      </c>
      <c r="S27" s="21">
        <v>18354</v>
      </c>
      <c r="T27" s="13">
        <v>13.943</v>
      </c>
    </row>
    <row r="28" spans="2:20">
      <c r="B28">
        <v>1972</v>
      </c>
      <c r="C28">
        <v>28.527750000000001</v>
      </c>
      <c r="D28">
        <f>AVERAGE(L102:L105)</f>
        <v>22.54175</v>
      </c>
      <c r="J28" s="34"/>
      <c r="K28" s="46">
        <v>19541</v>
      </c>
      <c r="L28" s="47">
        <v>14.663</v>
      </c>
      <c r="M28" s="17"/>
      <c r="S28" s="21">
        <v>18445</v>
      </c>
      <c r="T28" s="13">
        <v>14.234999999999999</v>
      </c>
    </row>
    <row r="29" spans="2:20">
      <c r="B29">
        <v>1973</v>
      </c>
      <c r="C29">
        <v>30.080750000000002</v>
      </c>
      <c r="D29">
        <f>AVERAGE(L106:L109)</f>
        <v>23.755499999999998</v>
      </c>
      <c r="J29" s="34"/>
      <c r="K29" s="46">
        <v>19633</v>
      </c>
      <c r="L29" s="47">
        <v>14.727</v>
      </c>
      <c r="M29" s="17"/>
      <c r="N29" s="23" t="s">
        <v>65</v>
      </c>
      <c r="S29" s="21">
        <v>18537</v>
      </c>
      <c r="T29" s="13">
        <v>14.488</v>
      </c>
    </row>
    <row r="30" spans="2:20">
      <c r="B30">
        <v>1974</v>
      </c>
      <c r="C30">
        <v>33.191000000000003</v>
      </c>
      <c r="D30">
        <f>AVERAGE(L110:L113)</f>
        <v>26.228750000000002</v>
      </c>
      <c r="J30" s="34"/>
      <c r="K30" s="46">
        <v>19725</v>
      </c>
      <c r="L30" s="47">
        <v>14.801</v>
      </c>
      <c r="M30" s="16"/>
      <c r="N30" s="23" t="s">
        <v>66</v>
      </c>
      <c r="O30" s="26">
        <v>35083</v>
      </c>
      <c r="P30" s="25" t="s">
        <v>64</v>
      </c>
      <c r="S30" s="21">
        <v>18629</v>
      </c>
      <c r="T30" s="13">
        <v>14.949</v>
      </c>
    </row>
    <row r="31" spans="2:20">
      <c r="B31">
        <v>1975</v>
      </c>
      <c r="C31">
        <v>35.954750000000004</v>
      </c>
      <c r="D31">
        <f>AVERAGE(L114:L117)</f>
        <v>28.414999999999999</v>
      </c>
      <c r="J31" s="34"/>
      <c r="K31" s="46">
        <v>19815</v>
      </c>
      <c r="L31" s="47">
        <v>14.781000000000001</v>
      </c>
      <c r="M31" s="17"/>
      <c r="S31" s="21">
        <v>18719</v>
      </c>
      <c r="T31" s="13">
        <v>15.068</v>
      </c>
    </row>
    <row r="32" spans="2:20">
      <c r="B32">
        <v>1976</v>
      </c>
      <c r="C32">
        <v>37.948250000000002</v>
      </c>
      <c r="D32">
        <f>AVERAGE(L118:L121)</f>
        <v>29.973749999999999</v>
      </c>
      <c r="J32" s="34"/>
      <c r="K32" s="46">
        <v>19906</v>
      </c>
      <c r="L32" s="47">
        <v>14.731999999999999</v>
      </c>
      <c r="M32" s="17"/>
      <c r="N32" s="23" t="s">
        <v>10</v>
      </c>
      <c r="S32" s="21">
        <v>18810</v>
      </c>
      <c r="T32" s="13">
        <v>15.087999999999999</v>
      </c>
    </row>
    <row r="33" spans="2:20">
      <c r="B33">
        <v>1977</v>
      </c>
      <c r="C33">
        <v>40.409749999999995</v>
      </c>
      <c r="D33">
        <f>AVERAGE(L122:L125)</f>
        <v>31.923250000000003</v>
      </c>
      <c r="J33" s="34"/>
      <c r="K33" s="46">
        <v>19998</v>
      </c>
      <c r="L33" s="47">
        <v>14.718</v>
      </c>
      <c r="M33" s="17"/>
      <c r="N33" s="23" t="s">
        <v>77</v>
      </c>
      <c r="O33" s="26">
        <v>35083</v>
      </c>
      <c r="P33" s="25" t="s">
        <v>64</v>
      </c>
      <c r="S33" s="21">
        <v>18902</v>
      </c>
      <c r="T33" s="13">
        <v>15.288</v>
      </c>
    </row>
    <row r="34" spans="2:20">
      <c r="B34">
        <v>1978</v>
      </c>
      <c r="C34">
        <v>43.248499999999993</v>
      </c>
      <c r="D34">
        <f>AVERAGE(L126:L129)</f>
        <v>34.144500000000001</v>
      </c>
      <c r="J34" s="34"/>
      <c r="K34" s="46">
        <v>20090</v>
      </c>
      <c r="L34" s="47">
        <v>14.765000000000001</v>
      </c>
      <c r="M34" s="16"/>
      <c r="N34" s="23" t="s">
        <v>78</v>
      </c>
      <c r="S34" s="21">
        <v>18994</v>
      </c>
      <c r="T34" s="13">
        <v>15.353</v>
      </c>
    </row>
    <row r="35" spans="2:20">
      <c r="B35">
        <v>1979</v>
      </c>
      <c r="C35">
        <v>47.059000000000005</v>
      </c>
      <c r="D35">
        <f>AVERAGE(L130:L133)</f>
        <v>37.178250000000006</v>
      </c>
      <c r="J35" s="34"/>
      <c r="K35" s="46">
        <v>20180</v>
      </c>
      <c r="L35" s="47">
        <v>14.78</v>
      </c>
      <c r="M35" s="16"/>
      <c r="N35" s="23" t="s">
        <v>11</v>
      </c>
      <c r="S35" s="21">
        <v>19085</v>
      </c>
      <c r="T35" s="13">
        <v>15.35</v>
      </c>
    </row>
    <row r="36" spans="2:20">
      <c r="B36">
        <v>1980</v>
      </c>
      <c r="C36">
        <v>52.077500000000001</v>
      </c>
      <c r="D36">
        <f>AVERAGE(L134:L137)</f>
        <v>41.1815</v>
      </c>
      <c r="J36" s="34"/>
      <c r="K36" s="46">
        <v>20271</v>
      </c>
      <c r="L36" s="47">
        <v>14.837999999999999</v>
      </c>
      <c r="M36" s="17"/>
      <c r="N36" s="23" t="s">
        <v>67</v>
      </c>
      <c r="S36" s="21">
        <v>19176</v>
      </c>
      <c r="T36" s="13">
        <v>15.451000000000001</v>
      </c>
    </row>
    <row r="37" spans="2:20">
      <c r="B37">
        <v>1981</v>
      </c>
      <c r="C37">
        <v>56.719750000000005</v>
      </c>
      <c r="D37">
        <f>AVERAGE(L138:L141)</f>
        <v>44.871000000000002</v>
      </c>
      <c r="J37" s="34"/>
      <c r="K37" s="46">
        <v>20363</v>
      </c>
      <c r="L37" s="47">
        <v>14.879</v>
      </c>
      <c r="M37" s="16"/>
      <c r="S37" s="21">
        <v>19268</v>
      </c>
      <c r="T37" s="13">
        <v>15.477</v>
      </c>
    </row>
    <row r="38" spans="2:20">
      <c r="B38">
        <v>1982</v>
      </c>
      <c r="C38">
        <v>59.858499999999999</v>
      </c>
      <c r="D38">
        <f>AVERAGE(L142:L145)</f>
        <v>47.363500000000002</v>
      </c>
      <c r="J38" s="34"/>
      <c r="K38" s="46">
        <v>20455</v>
      </c>
      <c r="L38" s="47">
        <v>14.94</v>
      </c>
      <c r="M38" s="18"/>
      <c r="S38" s="21">
        <v>19360</v>
      </c>
      <c r="T38" s="13">
        <v>15.536</v>
      </c>
    </row>
    <row r="39" spans="2:20">
      <c r="B39">
        <v>1983</v>
      </c>
      <c r="C39">
        <v>62.436</v>
      </c>
      <c r="D39">
        <f>AVERAGE(L146:L149)</f>
        <v>49.378249999999994</v>
      </c>
      <c r="J39" s="34"/>
      <c r="K39" s="46">
        <v>20546</v>
      </c>
      <c r="L39" s="47">
        <v>15.04</v>
      </c>
      <c r="N39" s="23" t="s">
        <v>68</v>
      </c>
      <c r="S39" s="21">
        <v>19450</v>
      </c>
      <c r="T39" s="13">
        <v>15.56</v>
      </c>
    </row>
    <row r="40" spans="2:20">
      <c r="B40">
        <v>1984</v>
      </c>
      <c r="C40">
        <v>64.79525000000001</v>
      </c>
      <c r="D40">
        <f>AVERAGE(L150:L153)</f>
        <v>51.242999999999995</v>
      </c>
      <c r="J40" s="34"/>
      <c r="K40" s="46">
        <v>20637</v>
      </c>
      <c r="L40" s="47">
        <v>15.186999999999999</v>
      </c>
      <c r="S40" s="21">
        <v>19541</v>
      </c>
      <c r="T40" s="13">
        <v>15.644</v>
      </c>
    </row>
    <row r="41" spans="2:20">
      <c r="B41">
        <v>1985</v>
      </c>
      <c r="C41">
        <v>66.93549999999999</v>
      </c>
      <c r="D41">
        <f>AVERAGE(L154:L157)</f>
        <v>53.030749999999998</v>
      </c>
      <c r="J41" s="34"/>
      <c r="K41" s="46">
        <v>20729</v>
      </c>
      <c r="L41" s="47">
        <v>15.276</v>
      </c>
      <c r="N41" s="27">
        <v>41908</v>
      </c>
      <c r="S41" s="21">
        <v>19633</v>
      </c>
      <c r="T41" s="13">
        <v>15.712999999999999</v>
      </c>
    </row>
    <row r="42" spans="2:20">
      <c r="B42">
        <v>1986</v>
      </c>
      <c r="C42">
        <v>68.568749999999994</v>
      </c>
      <c r="D42">
        <f>AVERAGE(L158:L161)</f>
        <v>54.184249999999999</v>
      </c>
      <c r="J42" s="34"/>
      <c r="K42" s="46">
        <v>20821</v>
      </c>
      <c r="L42" s="47">
        <v>15.413</v>
      </c>
      <c r="S42" s="21">
        <v>19725</v>
      </c>
      <c r="T42" s="13">
        <v>15.792</v>
      </c>
    </row>
    <row r="43" spans="2:20">
      <c r="B43">
        <v>1987</v>
      </c>
      <c r="C43">
        <v>70.946749999999994</v>
      </c>
      <c r="D43">
        <f>AVERAGE(L162:L165)</f>
        <v>55.855000000000004</v>
      </c>
      <c r="J43" s="34"/>
      <c r="K43" s="46">
        <v>20911</v>
      </c>
      <c r="L43" s="47">
        <v>15.510999999999999</v>
      </c>
      <c r="S43" s="21">
        <v>19815</v>
      </c>
      <c r="T43" s="13">
        <v>15.77</v>
      </c>
    </row>
    <row r="44" spans="2:20">
      <c r="B44">
        <v>1988</v>
      </c>
      <c r="C44">
        <v>73.755499999999998</v>
      </c>
      <c r="D44">
        <f>AVERAGE(L166:L169)</f>
        <v>58.037499999999994</v>
      </c>
      <c r="J44" s="34"/>
      <c r="K44" s="46">
        <v>21002</v>
      </c>
      <c r="L44" s="47">
        <v>15.637</v>
      </c>
      <c r="S44" s="21">
        <v>19906</v>
      </c>
      <c r="T44" s="13">
        <v>15.718</v>
      </c>
    </row>
    <row r="45" spans="2:20">
      <c r="B45">
        <v>1989</v>
      </c>
      <c r="C45">
        <v>76.972250000000003</v>
      </c>
      <c r="D45">
        <f>AVERAGE(L170:L173)</f>
        <v>60.572000000000003</v>
      </c>
      <c r="J45" s="34"/>
      <c r="K45" s="46">
        <v>21094</v>
      </c>
      <c r="L45" s="47">
        <v>15.718</v>
      </c>
      <c r="S45" s="21">
        <v>19998</v>
      </c>
      <c r="T45" s="13">
        <v>15.702999999999999</v>
      </c>
    </row>
    <row r="46" spans="2:20">
      <c r="B46">
        <v>1990</v>
      </c>
      <c r="C46">
        <v>80.497749999999996</v>
      </c>
      <c r="D46">
        <f>AVERAGE(L174:L177)</f>
        <v>63.231499999999997</v>
      </c>
      <c r="J46" s="34"/>
      <c r="K46" s="46">
        <v>21186</v>
      </c>
      <c r="L46" s="47">
        <v>15.912000000000001</v>
      </c>
      <c r="S46" s="21">
        <v>20090</v>
      </c>
      <c r="T46" s="13">
        <v>15.755000000000001</v>
      </c>
    </row>
    <row r="47" spans="2:20">
      <c r="B47">
        <v>1991</v>
      </c>
      <c r="C47">
        <v>83.418499999999995</v>
      </c>
      <c r="D47">
        <f>AVERAGE(L178:L181)</f>
        <v>65.345500000000001</v>
      </c>
      <c r="J47" s="34"/>
      <c r="K47" s="46">
        <v>21276</v>
      </c>
      <c r="L47" s="47">
        <v>15.941000000000001</v>
      </c>
      <c r="S47" s="21">
        <v>20180</v>
      </c>
      <c r="T47" s="13">
        <v>15.771000000000001</v>
      </c>
    </row>
    <row r="48" spans="2:20">
      <c r="B48">
        <v>1992</v>
      </c>
      <c r="C48">
        <v>85.8245</v>
      </c>
      <c r="D48">
        <f>AVERAGE(L182:L185)</f>
        <v>67.087250000000012</v>
      </c>
      <c r="J48" s="34"/>
      <c r="K48" s="46">
        <v>21367</v>
      </c>
      <c r="L48" s="47">
        <v>15.952999999999999</v>
      </c>
      <c r="S48" s="21">
        <v>20271</v>
      </c>
      <c r="T48" s="13">
        <v>15.834</v>
      </c>
    </row>
    <row r="49" spans="2:20">
      <c r="B49">
        <v>1993</v>
      </c>
      <c r="C49">
        <v>87.803999999999988</v>
      </c>
      <c r="D49">
        <f>AVERAGE(L186:L189)</f>
        <v>68.758499999999998</v>
      </c>
      <c r="J49" s="34"/>
      <c r="K49" s="46">
        <v>21459</v>
      </c>
      <c r="L49" s="47">
        <v>15.946999999999999</v>
      </c>
      <c r="S49" s="21">
        <v>20363</v>
      </c>
      <c r="T49" s="13">
        <v>15.878</v>
      </c>
    </row>
    <row r="50" spans="2:20">
      <c r="B50">
        <v>1994</v>
      </c>
      <c r="C50">
        <v>89.653499999999994</v>
      </c>
      <c r="D50">
        <f>AVERAGE(L190:L193)</f>
        <v>70.192999999999998</v>
      </c>
      <c r="J50" s="34"/>
      <c r="K50" s="46">
        <v>21551</v>
      </c>
      <c r="L50" s="47">
        <v>16.056000000000001</v>
      </c>
      <c r="S50" s="21">
        <v>20455</v>
      </c>
      <c r="T50" s="13">
        <v>15.943</v>
      </c>
    </row>
    <row r="51" spans="2:20">
      <c r="B51">
        <v>1995</v>
      </c>
      <c r="C51">
        <v>91.576750000000004</v>
      </c>
      <c r="D51">
        <f>AVERAGE(L194:L197)</f>
        <v>71.671250000000001</v>
      </c>
      <c r="J51" s="34"/>
      <c r="K51" s="46">
        <v>21641</v>
      </c>
      <c r="L51" s="47">
        <v>16.120999999999999</v>
      </c>
      <c r="S51" s="21">
        <v>20546</v>
      </c>
      <c r="T51" s="13">
        <v>16.050999999999998</v>
      </c>
    </row>
    <row r="52" spans="2:20">
      <c r="B52">
        <v>1996</v>
      </c>
      <c r="C52">
        <v>93.546750000000003</v>
      </c>
      <c r="D52">
        <f>AVERAGE(L198:L201)</f>
        <v>73.203749999999999</v>
      </c>
      <c r="J52" s="34"/>
      <c r="K52" s="46">
        <v>21732</v>
      </c>
      <c r="L52" s="47">
        <v>16.219000000000001</v>
      </c>
      <c r="S52" s="21">
        <v>20637</v>
      </c>
      <c r="T52" s="13">
        <v>16.207999999999998</v>
      </c>
    </row>
    <row r="53" spans="2:20">
      <c r="B53">
        <v>1997</v>
      </c>
      <c r="C53">
        <v>95.124000000000009</v>
      </c>
      <c r="D53">
        <f>AVERAGE(L202:L205)</f>
        <v>74.478000000000009</v>
      </c>
      <c r="J53" s="34"/>
      <c r="K53" s="46">
        <v>21824</v>
      </c>
      <c r="L53" s="47">
        <v>16.306999999999999</v>
      </c>
      <c r="S53" s="21">
        <v>20729</v>
      </c>
      <c r="T53" s="13">
        <v>16.303000000000001</v>
      </c>
    </row>
    <row r="54" spans="2:20">
      <c r="B54">
        <v>1998</v>
      </c>
      <c r="C54">
        <v>95.977999999999994</v>
      </c>
      <c r="D54">
        <f>AVERAGE(L206:L209)</f>
        <v>75.07050000000001</v>
      </c>
      <c r="J54" s="34"/>
      <c r="K54" s="46">
        <v>21916</v>
      </c>
      <c r="L54" s="47">
        <v>16.327999999999999</v>
      </c>
      <c r="S54" s="21">
        <v>20821</v>
      </c>
      <c r="T54" s="13">
        <v>16.45</v>
      </c>
    </row>
    <row r="55" spans="2:20">
      <c r="B55">
        <v>1999</v>
      </c>
      <c r="C55">
        <v>97.574749999999995</v>
      </c>
      <c r="D55">
        <f>AVERAGE(L210:L213)</f>
        <v>76.16425000000001</v>
      </c>
      <c r="J55" s="34"/>
      <c r="K55" s="46">
        <v>22007</v>
      </c>
      <c r="L55" s="47">
        <v>16.414000000000001</v>
      </c>
      <c r="S55" s="21">
        <v>20911</v>
      </c>
      <c r="T55" s="13">
        <v>16.553999999999998</v>
      </c>
    </row>
    <row r="56" spans="2:20">
      <c r="B56">
        <v>2000</v>
      </c>
      <c r="C56">
        <v>99.999750000000006</v>
      </c>
      <c r="D56">
        <f>AVERAGE(L214:L217)</f>
        <v>78.090500000000006</v>
      </c>
      <c r="J56" s="34"/>
      <c r="K56" s="46">
        <v>22098</v>
      </c>
      <c r="L56" s="47">
        <v>16.475000000000001</v>
      </c>
      <c r="S56" s="21">
        <v>21002</v>
      </c>
      <c r="T56" s="13">
        <v>16.687000000000001</v>
      </c>
    </row>
    <row r="57" spans="2:20">
      <c r="B57">
        <v>2001</v>
      </c>
      <c r="C57">
        <v>102.09399999999999</v>
      </c>
      <c r="D57">
        <f>AVERAGE(L218:L221)</f>
        <v>79.65625</v>
      </c>
      <c r="J57" s="34"/>
      <c r="K57" s="46">
        <v>22190</v>
      </c>
      <c r="L57" s="47">
        <v>16.547999999999998</v>
      </c>
      <c r="S57" s="21">
        <v>21094</v>
      </c>
      <c r="T57" s="13">
        <v>16.773</v>
      </c>
    </row>
    <row r="58" spans="2:20">
      <c r="B58">
        <v>2002</v>
      </c>
      <c r="C58">
        <v>103.54175000000001</v>
      </c>
      <c r="D58">
        <f>AVERAGE(L222:L225)</f>
        <v>80.70174999999999</v>
      </c>
      <c r="J58" s="34"/>
      <c r="K58" s="46">
        <v>22282</v>
      </c>
      <c r="L58" s="47">
        <v>16.579000000000001</v>
      </c>
      <c r="S58" s="21">
        <v>21186</v>
      </c>
      <c r="T58" s="13">
        <v>16.978999999999999</v>
      </c>
    </row>
    <row r="59" spans="2:20">
      <c r="B59">
        <v>2003</v>
      </c>
      <c r="C59">
        <v>105.52025</v>
      </c>
      <c r="D59">
        <f>AVERAGE(L226:L229)</f>
        <v>82.397499999999994</v>
      </c>
      <c r="J59" s="34"/>
      <c r="K59" s="46">
        <v>22372</v>
      </c>
      <c r="L59" s="47">
        <v>16.577000000000002</v>
      </c>
      <c r="S59" s="21">
        <v>21276</v>
      </c>
      <c r="T59" s="13">
        <v>17.009</v>
      </c>
    </row>
    <row r="60" spans="2:20">
      <c r="B60">
        <v>2004</v>
      </c>
      <c r="C60">
        <v>108.24574999999999</v>
      </c>
      <c r="D60">
        <f>AVERAGE(L230:L233)</f>
        <v>84.443000000000012</v>
      </c>
      <c r="J60" s="34"/>
      <c r="K60" s="46">
        <v>22463</v>
      </c>
      <c r="L60" s="47">
        <v>16.635999999999999</v>
      </c>
      <c r="S60" s="21">
        <v>21367</v>
      </c>
      <c r="T60" s="13">
        <v>17.023</v>
      </c>
    </row>
    <row r="61" spans="2:20">
      <c r="B61">
        <v>2005</v>
      </c>
      <c r="C61">
        <v>111.31275000000001</v>
      </c>
      <c r="D61">
        <f>AVERAGE(L234:L237)</f>
        <v>86.875750000000011</v>
      </c>
      <c r="E61" s="13" t="e">
        <f>AVERAGE(O246:O249)</f>
        <v>#DIV/0!</v>
      </c>
      <c r="J61" s="34"/>
      <c r="K61" s="46">
        <v>22555</v>
      </c>
      <c r="L61" s="47">
        <v>16.654</v>
      </c>
      <c r="S61" s="21">
        <v>21459</v>
      </c>
      <c r="T61" s="13">
        <v>17.018000000000001</v>
      </c>
    </row>
    <row r="62" spans="2:20">
      <c r="B62">
        <f t="shared" ref="B62:B78" si="0">+B61+1</f>
        <v>2006</v>
      </c>
      <c r="C62" s="20">
        <f>+C61*D62/D61</f>
        <v>114.44709778620616</v>
      </c>
      <c r="D62">
        <f>AVERAGE(L238:L241)</f>
        <v>89.322000000000003</v>
      </c>
      <c r="E62" s="13" t="e">
        <f>AVERAGE(O250:O253)</f>
        <v>#DIV/0!</v>
      </c>
      <c r="J62" s="34"/>
      <c r="K62" s="46">
        <v>22647</v>
      </c>
      <c r="L62" s="47">
        <v>16.725999999999999</v>
      </c>
      <c r="S62" s="21">
        <v>21551</v>
      </c>
      <c r="T62" s="13">
        <v>17.137</v>
      </c>
    </row>
    <row r="63" spans="2:20">
      <c r="B63">
        <f t="shared" si="0"/>
        <v>2007</v>
      </c>
      <c r="C63" s="20">
        <f>+C62*D63/D62</f>
        <v>117.38412740825258</v>
      </c>
      <c r="D63">
        <f>AVERAGE(L242:L245)</f>
        <v>91.614249999999998</v>
      </c>
      <c r="E63" s="13" t="e">
        <f>AVERAGE(O254:O257)</f>
        <v>#DIV/0!</v>
      </c>
      <c r="J63" s="34"/>
      <c r="K63" s="46">
        <v>22737</v>
      </c>
      <c r="L63" s="47">
        <v>16.786000000000001</v>
      </c>
      <c r="S63" s="21">
        <v>21641</v>
      </c>
      <c r="T63" s="13">
        <v>17.204000000000001</v>
      </c>
    </row>
    <row r="64" spans="2:20">
      <c r="B64">
        <f t="shared" si="0"/>
        <v>2008</v>
      </c>
      <c r="C64" s="20">
        <f>+C63*D64/D63</f>
        <v>120.85801619122709</v>
      </c>
      <c r="D64">
        <f>AVERAGE(L246:L249)</f>
        <v>94.325499999999991</v>
      </c>
      <c r="E64" s="13" t="e">
        <f>AVERAGE(O258:O261)</f>
        <v>#DIV/0!</v>
      </c>
      <c r="J64" s="34"/>
      <c r="K64" s="46">
        <v>22828</v>
      </c>
      <c r="L64" s="47">
        <v>16.831</v>
      </c>
      <c r="S64" s="21">
        <v>21732</v>
      </c>
      <c r="T64" s="13">
        <v>17.306999999999999</v>
      </c>
    </row>
    <row r="65" spans="2:20">
      <c r="B65">
        <f t="shared" si="0"/>
        <v>2009</v>
      </c>
      <c r="C65" s="20" t="e">
        <f>+C64*E65/E64</f>
        <v>#DIV/0!</v>
      </c>
      <c r="D65">
        <f>AVERAGE(L250:L253)</f>
        <v>94.062749999999994</v>
      </c>
      <c r="E65" s="13" t="e">
        <f>AVERAGE(O262:O265)</f>
        <v>#DIV/0!</v>
      </c>
      <c r="J65" s="34"/>
      <c r="K65" s="46">
        <v>22920</v>
      </c>
      <c r="L65" s="47">
        <v>16.882000000000001</v>
      </c>
      <c r="S65" s="21">
        <v>21824</v>
      </c>
      <c r="T65" s="13">
        <v>17.401</v>
      </c>
    </row>
    <row r="66" spans="2:20">
      <c r="B66">
        <f t="shared" si="0"/>
        <v>2010</v>
      </c>
      <c r="C66" s="20" t="e">
        <f>+C65*E66/E65</f>
        <v>#DIV/0!</v>
      </c>
      <c r="D66" s="13">
        <f>AVERAGE(L254:L257)</f>
        <v>95.747250000000008</v>
      </c>
      <c r="E66" s="13" t="e">
        <f>AVERAGE(O266:O269)</f>
        <v>#DIV/0!</v>
      </c>
      <c r="J66" s="34"/>
      <c r="K66" s="46">
        <v>23012</v>
      </c>
      <c r="L66" s="47">
        <v>16.931000000000001</v>
      </c>
      <c r="S66" s="21">
        <v>21916</v>
      </c>
      <c r="T66" s="13">
        <v>17.423999999999999</v>
      </c>
    </row>
    <row r="67" spans="2:20">
      <c r="B67">
        <f t="shared" si="0"/>
        <v>2011</v>
      </c>
      <c r="D67">
        <f>AVERAGE(L258:L261)</f>
        <v>98.169499999999999</v>
      </c>
      <c r="J67" s="34"/>
      <c r="K67" s="46">
        <v>23102</v>
      </c>
      <c r="L67" s="47">
        <v>16.957000000000001</v>
      </c>
      <c r="S67" s="21">
        <v>22007</v>
      </c>
      <c r="T67" s="13">
        <v>17.515999999999998</v>
      </c>
    </row>
    <row r="68" spans="2:20">
      <c r="B68">
        <f t="shared" si="0"/>
        <v>2012</v>
      </c>
      <c r="D68">
        <f>AVERAGE(L262:L265)</f>
        <v>100</v>
      </c>
      <c r="J68" s="34"/>
      <c r="K68" s="46">
        <v>23193</v>
      </c>
      <c r="L68" s="47">
        <v>17.039000000000001</v>
      </c>
      <c r="S68" s="21">
        <v>22098</v>
      </c>
      <c r="T68" s="13">
        <v>17.582999999999998</v>
      </c>
    </row>
    <row r="69" spans="2:20">
      <c r="B69">
        <f t="shared" si="0"/>
        <v>2013</v>
      </c>
      <c r="D69">
        <f>AVERAGE(L266:L269)</f>
        <v>101.35425000000001</v>
      </c>
      <c r="J69" s="34"/>
      <c r="K69" s="46">
        <v>23285</v>
      </c>
      <c r="L69" s="47">
        <v>17.102</v>
      </c>
      <c r="S69" s="21">
        <v>22190</v>
      </c>
      <c r="T69" s="13">
        <v>17.661000000000001</v>
      </c>
    </row>
    <row r="70" spans="2:20">
      <c r="B70">
        <f t="shared" si="0"/>
        <v>2014</v>
      </c>
      <c r="D70" s="13">
        <f>AVERAGE(L270:L273)</f>
        <v>102.88650000000001</v>
      </c>
      <c r="J70" s="34"/>
      <c r="K70" s="46">
        <v>23377</v>
      </c>
      <c r="L70" s="47">
        <v>17.183</v>
      </c>
      <c r="S70" s="21">
        <v>22282</v>
      </c>
      <c r="T70" s="13">
        <v>17.693999999999999</v>
      </c>
    </row>
    <row r="71" spans="2:20">
      <c r="B71">
        <f t="shared" si="0"/>
        <v>2015</v>
      </c>
      <c r="D71" s="13">
        <f>AVERAGE(L274:L277)</f>
        <v>103.1155</v>
      </c>
      <c r="J71" s="34"/>
      <c r="K71" s="46">
        <v>23468</v>
      </c>
      <c r="L71" s="47">
        <v>17.22</v>
      </c>
      <c r="S71" s="21">
        <v>22372</v>
      </c>
      <c r="T71" s="13">
        <v>17.692</v>
      </c>
    </row>
    <row r="72" spans="2:20">
      <c r="B72">
        <f t="shared" si="0"/>
        <v>2016</v>
      </c>
      <c r="D72" s="13">
        <f>AVERAGE(L278:L281)</f>
        <v>104.14824999999999</v>
      </c>
      <c r="J72" s="34"/>
      <c r="K72" s="46">
        <v>23559</v>
      </c>
      <c r="L72" s="47">
        <v>17.277000000000001</v>
      </c>
      <c r="S72" s="21">
        <v>22463</v>
      </c>
      <c r="T72" s="13">
        <v>17.757000000000001</v>
      </c>
    </row>
    <row r="73" spans="2:20">
      <c r="B73">
        <f t="shared" si="0"/>
        <v>2017</v>
      </c>
      <c r="D73" s="13">
        <f>AVERAGE(L282:L285)</f>
        <v>106.05374999999999</v>
      </c>
      <c r="J73" s="34"/>
      <c r="K73" s="46">
        <v>23651</v>
      </c>
      <c r="L73" s="47">
        <v>17.334</v>
      </c>
      <c r="S73" s="21">
        <v>22555</v>
      </c>
      <c r="T73" s="13">
        <v>17.777000000000001</v>
      </c>
    </row>
    <row r="74" spans="2:20">
      <c r="B74">
        <f t="shared" si="0"/>
        <v>2018</v>
      </c>
      <c r="D74" s="13">
        <f>AVERAGE(L286:L289)</f>
        <v>108.31675</v>
      </c>
      <c r="J74" s="34"/>
      <c r="K74" s="46">
        <v>23743</v>
      </c>
      <c r="L74" s="47">
        <v>17.39</v>
      </c>
      <c r="S74" s="21">
        <v>22647</v>
      </c>
      <c r="T74" s="13">
        <v>17.856000000000002</v>
      </c>
    </row>
    <row r="75" spans="2:20">
      <c r="B75">
        <f t="shared" si="0"/>
        <v>2019</v>
      </c>
      <c r="D75" s="13">
        <f>AVERAGE(L290:L293)</f>
        <v>109.93300000000001</v>
      </c>
      <c r="J75" s="34"/>
      <c r="K75" s="46">
        <v>23833</v>
      </c>
      <c r="L75" s="47">
        <v>17.478000000000002</v>
      </c>
      <c r="S75" s="21">
        <v>22737</v>
      </c>
      <c r="T75" s="13">
        <v>17.917999999999999</v>
      </c>
    </row>
    <row r="76" spans="2:20">
      <c r="B76">
        <f t="shared" si="0"/>
        <v>2020</v>
      </c>
      <c r="D76" s="13">
        <f>AVERAGE(L294:L297)</f>
        <v>111.14449999999999</v>
      </c>
      <c r="J76" s="34"/>
      <c r="K76" s="46">
        <v>23924</v>
      </c>
      <c r="L76" s="47">
        <v>17.542999999999999</v>
      </c>
      <c r="S76" s="21">
        <v>22828</v>
      </c>
      <c r="T76" s="13">
        <v>17.965</v>
      </c>
    </row>
    <row r="77" spans="2:20">
      <c r="B77">
        <f t="shared" si="0"/>
        <v>2021</v>
      </c>
      <c r="D77" s="13">
        <f>AVERAGE(L298:L301)</f>
        <v>115.62075</v>
      </c>
      <c r="J77" s="34"/>
      <c r="K77" s="46">
        <v>24016</v>
      </c>
      <c r="L77" s="47">
        <v>17.597000000000001</v>
      </c>
      <c r="S77" s="21">
        <v>22920</v>
      </c>
      <c r="T77" s="13">
        <v>18.018000000000001</v>
      </c>
    </row>
    <row r="78" spans="2:20">
      <c r="B78">
        <f t="shared" si="0"/>
        <v>2022</v>
      </c>
      <c r="D78" s="13">
        <f>AVERAGE(L302:L305)</f>
        <v>122.86099999999999</v>
      </c>
      <c r="J78" s="34"/>
      <c r="K78" s="46">
        <v>24108</v>
      </c>
      <c r="L78" s="47">
        <v>17.733000000000001</v>
      </c>
      <c r="S78" s="21">
        <v>23012</v>
      </c>
      <c r="T78" s="13">
        <v>18.068999999999999</v>
      </c>
    </row>
    <row r="79" spans="2:20">
      <c r="J79" s="34"/>
      <c r="K79" s="46">
        <v>24198</v>
      </c>
      <c r="L79" s="47">
        <v>17.878</v>
      </c>
      <c r="S79" s="21">
        <v>23102</v>
      </c>
      <c r="T79" s="13">
        <v>18.094999999999999</v>
      </c>
    </row>
    <row r="80" spans="2:20">
      <c r="J80" s="34"/>
      <c r="K80" s="46">
        <v>24289</v>
      </c>
      <c r="L80" s="47">
        <v>18.013999999999999</v>
      </c>
      <c r="S80" s="21">
        <v>23193</v>
      </c>
      <c r="T80" s="13">
        <v>18.181000000000001</v>
      </c>
    </row>
    <row r="81" spans="10:20">
      <c r="J81" s="34"/>
      <c r="K81" s="46">
        <v>24381</v>
      </c>
      <c r="L81" s="47">
        <v>18.152999999999999</v>
      </c>
      <c r="S81" s="21">
        <v>23285</v>
      </c>
      <c r="T81" s="13">
        <v>18.248999999999999</v>
      </c>
    </row>
    <row r="82" spans="10:20">
      <c r="J82" s="34"/>
      <c r="K82" s="46">
        <v>24473</v>
      </c>
      <c r="L82" s="47">
        <v>18.206</v>
      </c>
      <c r="S82" s="21">
        <v>23377</v>
      </c>
      <c r="T82" s="13">
        <v>18.335999999999999</v>
      </c>
    </row>
    <row r="83" spans="10:20">
      <c r="J83" s="34"/>
      <c r="K83" s="46">
        <v>24563</v>
      </c>
      <c r="L83" s="47">
        <v>18.292000000000002</v>
      </c>
      <c r="S83" s="21">
        <v>23468</v>
      </c>
      <c r="T83" s="13">
        <v>18.378</v>
      </c>
    </row>
    <row r="84" spans="10:20">
      <c r="J84" s="34"/>
      <c r="K84" s="46">
        <v>24654</v>
      </c>
      <c r="L84" s="47">
        <v>18.462</v>
      </c>
      <c r="S84" s="21">
        <v>23559</v>
      </c>
      <c r="T84" s="13">
        <v>18.440000000000001</v>
      </c>
    </row>
    <row r="85" spans="10:20">
      <c r="J85" s="34"/>
      <c r="K85" s="46">
        <v>24746</v>
      </c>
      <c r="L85" s="47">
        <v>18.620999999999999</v>
      </c>
      <c r="S85" s="21">
        <v>23651</v>
      </c>
      <c r="T85" s="13">
        <v>18.503</v>
      </c>
    </row>
    <row r="86" spans="10:20">
      <c r="J86" s="34"/>
      <c r="K86" s="46">
        <v>24838</v>
      </c>
      <c r="L86" s="47">
        <v>18.818999999999999</v>
      </c>
      <c r="S86" s="21">
        <v>23743</v>
      </c>
      <c r="T86" s="13">
        <v>18.562000000000001</v>
      </c>
    </row>
    <row r="87" spans="10:20">
      <c r="J87" s="34"/>
      <c r="K87" s="46">
        <v>24929</v>
      </c>
      <c r="L87" s="47">
        <v>19.012</v>
      </c>
      <c r="S87" s="21">
        <v>23833</v>
      </c>
      <c r="T87" s="13">
        <v>18.655000000000001</v>
      </c>
    </row>
    <row r="88" spans="10:20">
      <c r="J88" s="34"/>
      <c r="K88" s="46">
        <v>25020</v>
      </c>
      <c r="L88" s="47">
        <v>19.209</v>
      </c>
      <c r="S88" s="21">
        <v>23924</v>
      </c>
      <c r="T88" s="13">
        <v>18.725000000000001</v>
      </c>
    </row>
    <row r="89" spans="10:20">
      <c r="J89" s="34"/>
      <c r="K89" s="46">
        <v>25112</v>
      </c>
      <c r="L89" s="47">
        <v>19.420999999999999</v>
      </c>
      <c r="S89" s="21">
        <v>24016</v>
      </c>
      <c r="T89" s="13">
        <v>18.782</v>
      </c>
    </row>
    <row r="90" spans="10:20">
      <c r="J90" s="34"/>
      <c r="K90" s="46">
        <v>25204</v>
      </c>
      <c r="L90" s="47">
        <v>19.609000000000002</v>
      </c>
      <c r="S90" s="21">
        <v>24108</v>
      </c>
      <c r="T90" s="13">
        <v>18.928000000000001</v>
      </c>
    </row>
    <row r="91" spans="10:20">
      <c r="J91" s="34"/>
      <c r="K91" s="46">
        <v>25294</v>
      </c>
      <c r="L91" s="47">
        <v>19.859000000000002</v>
      </c>
      <c r="S91" s="21">
        <v>24198</v>
      </c>
      <c r="T91" s="13">
        <v>19.082999999999998</v>
      </c>
    </row>
    <row r="92" spans="10:20">
      <c r="J92" s="34"/>
      <c r="K92" s="46">
        <v>25385</v>
      </c>
      <c r="L92" s="47">
        <v>20.102</v>
      </c>
      <c r="S92" s="21">
        <v>24289</v>
      </c>
      <c r="T92" s="13">
        <v>19.23</v>
      </c>
    </row>
    <row r="93" spans="10:20">
      <c r="J93" s="34"/>
      <c r="K93" s="46">
        <v>25477</v>
      </c>
      <c r="L93" s="47">
        <v>20.334</v>
      </c>
      <c r="S93" s="21">
        <v>24381</v>
      </c>
      <c r="T93" s="13">
        <v>19.379000000000001</v>
      </c>
    </row>
    <row r="94" spans="10:20">
      <c r="J94" s="34"/>
      <c r="K94" s="46">
        <v>25569</v>
      </c>
      <c r="L94" s="47">
        <v>20.57</v>
      </c>
      <c r="S94" s="21">
        <v>24473</v>
      </c>
      <c r="T94" s="13">
        <v>19.436</v>
      </c>
    </row>
    <row r="95" spans="10:20">
      <c r="J95" s="34"/>
      <c r="K95" s="46">
        <v>25659</v>
      </c>
      <c r="L95" s="47">
        <v>20.797999999999998</v>
      </c>
      <c r="S95" s="21">
        <v>24563</v>
      </c>
      <c r="T95" s="13">
        <v>19.527999999999999</v>
      </c>
    </row>
    <row r="96" spans="10:20">
      <c r="J96" s="34"/>
      <c r="K96" s="46">
        <v>25750</v>
      </c>
      <c r="L96" s="47">
        <v>21</v>
      </c>
      <c r="S96" s="21">
        <v>24654</v>
      </c>
      <c r="T96" s="13">
        <v>19.707999999999998</v>
      </c>
    </row>
    <row r="97" spans="10:20">
      <c r="J97" s="34"/>
      <c r="K97" s="46">
        <v>25842</v>
      </c>
      <c r="L97" s="47">
        <v>21.271999999999998</v>
      </c>
      <c r="S97" s="21">
        <v>24746</v>
      </c>
      <c r="T97" s="13">
        <v>19.876999999999999</v>
      </c>
    </row>
    <row r="98" spans="10:20">
      <c r="J98" s="34"/>
      <c r="K98" s="46">
        <v>25934</v>
      </c>
      <c r="L98" s="47">
        <v>21.474</v>
      </c>
      <c r="S98" s="21">
        <v>24838</v>
      </c>
      <c r="T98" s="13">
        <v>20.087</v>
      </c>
    </row>
    <row r="99" spans="10:20">
      <c r="J99" s="34"/>
      <c r="K99" s="46">
        <v>26024</v>
      </c>
      <c r="L99" s="47">
        <v>21.718</v>
      </c>
      <c r="S99" s="21">
        <v>24929</v>
      </c>
      <c r="T99" s="13">
        <v>20.291</v>
      </c>
    </row>
    <row r="100" spans="10:20">
      <c r="J100" s="34"/>
      <c r="K100" s="46">
        <v>26115</v>
      </c>
      <c r="L100" s="47">
        <v>21.931999999999999</v>
      </c>
      <c r="S100" s="21">
        <v>25020</v>
      </c>
      <c r="T100" s="13">
        <v>20.501999999999999</v>
      </c>
    </row>
    <row r="101" spans="10:20">
      <c r="J101" s="34"/>
      <c r="K101" s="46">
        <v>26207</v>
      </c>
      <c r="L101" s="47">
        <v>22.068000000000001</v>
      </c>
      <c r="S101" s="21">
        <v>25112</v>
      </c>
      <c r="T101" s="13">
        <v>20.728999999999999</v>
      </c>
    </row>
    <row r="102" spans="10:20">
      <c r="J102" s="34"/>
      <c r="K102" s="46">
        <v>26299</v>
      </c>
      <c r="L102" s="47">
        <v>22.300999999999998</v>
      </c>
      <c r="S102" s="21">
        <v>25204</v>
      </c>
      <c r="T102" s="13">
        <v>20.933</v>
      </c>
    </row>
    <row r="103" spans="10:20">
      <c r="J103" s="34"/>
      <c r="K103" s="46">
        <v>26390</v>
      </c>
      <c r="L103" s="47">
        <v>22.428999999999998</v>
      </c>
      <c r="S103" s="21">
        <v>25294</v>
      </c>
      <c r="T103" s="13">
        <v>21.201000000000001</v>
      </c>
    </row>
    <row r="104" spans="10:20">
      <c r="J104" s="34"/>
      <c r="K104" s="46">
        <v>26481</v>
      </c>
      <c r="L104" s="47">
        <v>22.626000000000001</v>
      </c>
      <c r="S104" s="21">
        <v>25385</v>
      </c>
      <c r="T104" s="13">
        <v>21.462</v>
      </c>
    </row>
    <row r="105" spans="10:20">
      <c r="J105" s="34"/>
      <c r="K105" s="46">
        <v>26573</v>
      </c>
      <c r="L105" s="47">
        <v>22.811</v>
      </c>
      <c r="S105" s="21">
        <v>25477</v>
      </c>
      <c r="T105" s="13">
        <v>21.71</v>
      </c>
    </row>
    <row r="106" spans="10:20">
      <c r="J106" s="34"/>
      <c r="K106" s="46">
        <v>26665</v>
      </c>
      <c r="L106" s="47">
        <v>23.085999999999999</v>
      </c>
      <c r="S106" s="21">
        <v>25569</v>
      </c>
      <c r="T106" s="13">
        <v>21.962</v>
      </c>
    </row>
    <row r="107" spans="10:20">
      <c r="J107" s="34"/>
      <c r="K107" s="46">
        <v>26755</v>
      </c>
      <c r="L107" s="47">
        <v>23.53</v>
      </c>
      <c r="S107" s="21">
        <v>25659</v>
      </c>
      <c r="T107" s="13">
        <v>22.204999999999998</v>
      </c>
    </row>
    <row r="108" spans="10:20">
      <c r="J108" s="34"/>
      <c r="K108" s="46">
        <v>26846</v>
      </c>
      <c r="L108" s="47">
        <v>23.957999999999998</v>
      </c>
      <c r="S108" s="21">
        <v>25750</v>
      </c>
      <c r="T108" s="13">
        <v>22.420999999999999</v>
      </c>
    </row>
    <row r="109" spans="10:20">
      <c r="J109" s="34"/>
      <c r="K109" s="46">
        <v>26938</v>
      </c>
      <c r="L109" s="47">
        <v>24.448</v>
      </c>
      <c r="S109" s="21">
        <v>25842</v>
      </c>
      <c r="T109" s="13">
        <v>22.712</v>
      </c>
    </row>
    <row r="110" spans="10:20">
      <c r="J110" s="34"/>
      <c r="K110" s="46">
        <v>27030</v>
      </c>
      <c r="L110" s="47">
        <v>25.175999999999998</v>
      </c>
      <c r="S110" s="21">
        <v>25934</v>
      </c>
      <c r="T110" s="13">
        <v>22.927</v>
      </c>
    </row>
    <row r="111" spans="10:20">
      <c r="J111" s="34"/>
      <c r="K111" s="46">
        <v>27120</v>
      </c>
      <c r="L111" s="47">
        <v>25.888999999999999</v>
      </c>
      <c r="S111" s="21">
        <v>26024</v>
      </c>
      <c r="T111" s="13">
        <v>23.189</v>
      </c>
    </row>
    <row r="112" spans="10:20">
      <c r="J112" s="34"/>
      <c r="K112" s="46">
        <v>27211</v>
      </c>
      <c r="L112" s="47">
        <v>26.587</v>
      </c>
      <c r="S112" s="21">
        <v>26115</v>
      </c>
      <c r="T112" s="13">
        <v>23.417000000000002</v>
      </c>
    </row>
    <row r="113" spans="10:20">
      <c r="J113" s="34"/>
      <c r="K113" s="46">
        <v>27303</v>
      </c>
      <c r="L113" s="47">
        <v>27.263000000000002</v>
      </c>
      <c r="S113" s="21">
        <v>26207</v>
      </c>
      <c r="T113" s="13">
        <v>23.562999999999999</v>
      </c>
    </row>
    <row r="114" spans="10:20">
      <c r="J114" s="34"/>
      <c r="K114" s="46">
        <v>27395</v>
      </c>
      <c r="L114" s="47">
        <v>27.776</v>
      </c>
      <c r="S114" s="21">
        <v>26299</v>
      </c>
      <c r="T114" s="13">
        <v>23.812000000000001</v>
      </c>
    </row>
    <row r="115" spans="10:20">
      <c r="J115" s="34"/>
      <c r="K115" s="46">
        <v>27485</v>
      </c>
      <c r="L115" s="47">
        <v>28.117000000000001</v>
      </c>
      <c r="S115" s="21">
        <v>26390</v>
      </c>
      <c r="T115" s="13">
        <v>23.95</v>
      </c>
    </row>
    <row r="116" spans="10:20">
      <c r="J116" s="34"/>
      <c r="K116" s="46">
        <v>27576</v>
      </c>
      <c r="L116" s="47">
        <v>28.643000000000001</v>
      </c>
      <c r="S116" s="21">
        <v>26481</v>
      </c>
      <c r="T116" s="13">
        <v>24.161000000000001</v>
      </c>
    </row>
    <row r="117" spans="10:20">
      <c r="J117" s="34"/>
      <c r="K117" s="46">
        <v>27668</v>
      </c>
      <c r="L117" s="47">
        <v>29.123999999999999</v>
      </c>
      <c r="S117" s="21">
        <v>26573</v>
      </c>
      <c r="T117" s="13">
        <v>24.358000000000001</v>
      </c>
    </row>
    <row r="118" spans="10:20">
      <c r="J118" s="34"/>
      <c r="K118" s="46">
        <v>27760</v>
      </c>
      <c r="L118" s="47">
        <v>29.443999999999999</v>
      </c>
      <c r="S118" s="21">
        <v>26665</v>
      </c>
      <c r="T118" s="13">
        <v>24.652000000000001</v>
      </c>
    </row>
    <row r="119" spans="10:20">
      <c r="J119" s="34"/>
      <c r="K119" s="46">
        <v>27851</v>
      </c>
      <c r="L119" s="47">
        <v>29.690999999999999</v>
      </c>
      <c r="S119" s="21">
        <v>26755</v>
      </c>
      <c r="T119" s="13">
        <v>25.126999999999999</v>
      </c>
    </row>
    <row r="120" spans="10:20">
      <c r="J120" s="34"/>
      <c r="K120" s="46">
        <v>27942</v>
      </c>
      <c r="L120" s="47">
        <v>30.141999999999999</v>
      </c>
      <c r="S120" s="21">
        <v>26846</v>
      </c>
      <c r="T120" s="13">
        <v>25.584</v>
      </c>
    </row>
    <row r="121" spans="10:20">
      <c r="J121" s="34"/>
      <c r="K121" s="46">
        <v>28034</v>
      </c>
      <c r="L121" s="47">
        <v>30.617999999999999</v>
      </c>
      <c r="S121" s="21">
        <v>26938</v>
      </c>
      <c r="T121" s="13">
        <v>26.108000000000001</v>
      </c>
    </row>
    <row r="122" spans="10:20">
      <c r="J122" s="34"/>
      <c r="K122" s="46">
        <v>28126</v>
      </c>
      <c r="L122" s="47">
        <v>31.17</v>
      </c>
      <c r="S122" s="21">
        <v>27030</v>
      </c>
      <c r="T122" s="13">
        <v>26.884</v>
      </c>
    </row>
    <row r="123" spans="10:20">
      <c r="J123" s="34"/>
      <c r="K123" s="46">
        <v>28216</v>
      </c>
      <c r="L123" s="47">
        <v>31.704000000000001</v>
      </c>
      <c r="S123" s="21">
        <v>27120</v>
      </c>
      <c r="T123" s="13">
        <v>27.645</v>
      </c>
    </row>
    <row r="124" spans="10:20">
      <c r="J124" s="34"/>
      <c r="K124" s="46">
        <v>28307</v>
      </c>
      <c r="L124" s="47">
        <v>32.180999999999997</v>
      </c>
      <c r="S124" s="21">
        <v>27211</v>
      </c>
      <c r="T124" s="13">
        <v>28.391999999999999</v>
      </c>
    </row>
    <row r="125" spans="10:20">
      <c r="J125" s="34"/>
      <c r="K125" s="46">
        <v>28399</v>
      </c>
      <c r="L125" s="47">
        <v>32.637999999999998</v>
      </c>
      <c r="S125" s="21">
        <v>27303</v>
      </c>
      <c r="T125" s="13">
        <v>29.114000000000001</v>
      </c>
    </row>
    <row r="126" spans="10:20">
      <c r="J126" s="34"/>
      <c r="K126" s="46">
        <v>28491</v>
      </c>
      <c r="L126" s="47">
        <v>33.173999999999999</v>
      </c>
      <c r="S126" s="21">
        <v>27395</v>
      </c>
      <c r="T126" s="13">
        <v>29.664000000000001</v>
      </c>
    </row>
    <row r="127" spans="10:20">
      <c r="J127" s="34"/>
      <c r="K127" s="46">
        <v>28581</v>
      </c>
      <c r="L127" s="47">
        <v>33.854999999999997</v>
      </c>
      <c r="S127" s="21">
        <v>27485</v>
      </c>
      <c r="T127" s="13">
        <v>30.03</v>
      </c>
    </row>
    <row r="128" spans="10:20">
      <c r="J128" s="34"/>
      <c r="K128" s="46">
        <v>28672</v>
      </c>
      <c r="L128" s="47">
        <v>34.448999999999998</v>
      </c>
      <c r="S128" s="21">
        <v>27576</v>
      </c>
      <c r="T128" s="13">
        <v>30.591999999999999</v>
      </c>
    </row>
    <row r="129" spans="10:20">
      <c r="J129" s="34"/>
      <c r="K129" s="46">
        <v>28764</v>
      </c>
      <c r="L129" s="47">
        <v>35.1</v>
      </c>
      <c r="S129" s="21">
        <v>27668</v>
      </c>
      <c r="T129" s="13">
        <v>31.105</v>
      </c>
    </row>
    <row r="130" spans="10:20">
      <c r="J130" s="34"/>
      <c r="K130" s="46">
        <v>28856</v>
      </c>
      <c r="L130" s="47">
        <v>35.762</v>
      </c>
      <c r="S130" s="21">
        <v>27760</v>
      </c>
      <c r="T130" s="13">
        <v>31.449000000000002</v>
      </c>
    </row>
    <row r="131" spans="10:20">
      <c r="J131" s="34"/>
      <c r="K131" s="46">
        <v>28946</v>
      </c>
      <c r="L131" s="47">
        <v>36.738999999999997</v>
      </c>
      <c r="S131" s="21">
        <v>27851</v>
      </c>
      <c r="T131" s="13">
        <v>31.710999999999999</v>
      </c>
    </row>
    <row r="132" spans="10:20">
      <c r="J132" s="34"/>
      <c r="K132" s="46">
        <v>29037</v>
      </c>
      <c r="L132" s="47">
        <v>37.65</v>
      </c>
      <c r="S132" s="21">
        <v>27942</v>
      </c>
      <c r="T132" s="13">
        <v>32.192</v>
      </c>
    </row>
    <row r="133" spans="10:20">
      <c r="J133" s="34"/>
      <c r="K133" s="46">
        <v>29129</v>
      </c>
      <c r="L133" s="47">
        <v>38.561999999999998</v>
      </c>
      <c r="S133" s="21">
        <v>28034</v>
      </c>
      <c r="T133" s="13">
        <v>32.700000000000003</v>
      </c>
    </row>
    <row r="134" spans="10:20">
      <c r="J134" s="34"/>
      <c r="K134" s="46">
        <v>29221</v>
      </c>
      <c r="L134" s="47">
        <v>39.719000000000001</v>
      </c>
      <c r="S134" s="21">
        <v>28126</v>
      </c>
      <c r="T134" s="13">
        <v>33.284999999999997</v>
      </c>
    </row>
    <row r="135" spans="10:20">
      <c r="J135" s="34"/>
      <c r="K135" s="46">
        <v>29312</v>
      </c>
      <c r="L135" s="47">
        <v>40.691000000000003</v>
      </c>
      <c r="S135" s="21">
        <v>28216</v>
      </c>
      <c r="T135" s="13">
        <v>33.854999999999997</v>
      </c>
    </row>
    <row r="136" spans="10:20">
      <c r="J136" s="34"/>
      <c r="K136" s="46">
        <v>29403</v>
      </c>
      <c r="L136" s="47">
        <v>41.643000000000001</v>
      </c>
      <c r="S136" s="21">
        <v>28307</v>
      </c>
      <c r="T136" s="13">
        <v>34.366</v>
      </c>
    </row>
    <row r="137" spans="10:20">
      <c r="J137" s="34"/>
      <c r="K137" s="46">
        <v>29495</v>
      </c>
      <c r="L137" s="47">
        <v>42.673000000000002</v>
      </c>
      <c r="S137" s="21">
        <v>28399</v>
      </c>
      <c r="T137" s="13">
        <v>34.859000000000002</v>
      </c>
    </row>
    <row r="138" spans="10:20">
      <c r="J138" s="34"/>
      <c r="K138" s="46">
        <v>29587</v>
      </c>
      <c r="L138" s="47">
        <v>43.78</v>
      </c>
      <c r="S138" s="21">
        <v>28491</v>
      </c>
      <c r="T138" s="13">
        <v>35.439</v>
      </c>
    </row>
    <row r="139" spans="10:20">
      <c r="J139" s="34"/>
      <c r="K139" s="46">
        <v>29677</v>
      </c>
      <c r="L139" s="47">
        <v>44.515000000000001</v>
      </c>
      <c r="S139" s="21">
        <v>28581</v>
      </c>
      <c r="T139" s="13">
        <v>36.17</v>
      </c>
    </row>
    <row r="140" spans="10:20">
      <c r="J140" s="34"/>
      <c r="K140" s="46">
        <v>29768</v>
      </c>
      <c r="L140" s="47">
        <v>45.247999999999998</v>
      </c>
      <c r="S140" s="21">
        <v>28672</v>
      </c>
      <c r="T140" s="13">
        <v>36.805999999999997</v>
      </c>
    </row>
    <row r="141" spans="10:20">
      <c r="J141" s="34"/>
      <c r="K141" s="46">
        <v>29860</v>
      </c>
      <c r="L141" s="47">
        <v>45.941000000000003</v>
      </c>
      <c r="S141" s="21">
        <v>28764</v>
      </c>
      <c r="T141" s="13">
        <v>37.502000000000002</v>
      </c>
    </row>
    <row r="142" spans="10:20">
      <c r="J142" s="34"/>
      <c r="K142" s="46">
        <v>29952</v>
      </c>
      <c r="L142" s="47">
        <v>46.524999999999999</v>
      </c>
      <c r="S142" s="21">
        <v>28856</v>
      </c>
      <c r="T142" s="13">
        <v>38.204999999999998</v>
      </c>
    </row>
    <row r="143" spans="10:20">
      <c r="J143" s="34"/>
      <c r="K143" s="46">
        <v>30042</v>
      </c>
      <c r="L143" s="47">
        <v>46.972999999999999</v>
      </c>
      <c r="S143" s="21">
        <v>28946</v>
      </c>
      <c r="T143" s="13">
        <v>39.246000000000002</v>
      </c>
    </row>
    <row r="144" spans="10:20">
      <c r="J144" s="34"/>
      <c r="K144" s="46">
        <v>30133</v>
      </c>
      <c r="L144" s="47">
        <v>47.715000000000003</v>
      </c>
      <c r="S144" s="21">
        <v>29037</v>
      </c>
      <c r="T144" s="13">
        <v>40.216999999999999</v>
      </c>
    </row>
    <row r="145" spans="10:20">
      <c r="J145" s="34"/>
      <c r="K145" s="46">
        <v>30225</v>
      </c>
      <c r="L145" s="47">
        <v>48.241</v>
      </c>
      <c r="S145" s="21">
        <v>29129</v>
      </c>
      <c r="T145" s="13">
        <v>41.186999999999998</v>
      </c>
    </row>
    <row r="146" spans="10:20">
      <c r="J146" s="34"/>
      <c r="K146" s="46">
        <v>30317</v>
      </c>
      <c r="L146" s="47">
        <v>48.64</v>
      </c>
      <c r="S146" s="21">
        <v>29221</v>
      </c>
      <c r="T146" s="13">
        <v>42.418999999999997</v>
      </c>
    </row>
    <row r="147" spans="10:20">
      <c r="J147" s="34"/>
      <c r="K147" s="46">
        <v>30407</v>
      </c>
      <c r="L147" s="47">
        <v>49.085000000000001</v>
      </c>
      <c r="S147" s="21">
        <v>29312</v>
      </c>
      <c r="T147" s="13">
        <v>43.456000000000003</v>
      </c>
    </row>
    <row r="148" spans="10:20">
      <c r="J148" s="34"/>
      <c r="K148" s="46">
        <v>30498</v>
      </c>
      <c r="L148" s="47">
        <v>49.73</v>
      </c>
      <c r="S148" s="21">
        <v>29403</v>
      </c>
      <c r="T148" s="13">
        <v>44.47</v>
      </c>
    </row>
    <row r="149" spans="10:20">
      <c r="J149" s="34"/>
      <c r="K149" s="46">
        <v>30590</v>
      </c>
      <c r="L149" s="47">
        <v>50.058</v>
      </c>
      <c r="S149" s="21">
        <v>29495</v>
      </c>
      <c r="T149" s="13">
        <v>45.567999999999998</v>
      </c>
    </row>
    <row r="150" spans="10:20">
      <c r="J150" s="34"/>
      <c r="K150" s="46">
        <v>30682</v>
      </c>
      <c r="L150" s="47">
        <v>50.598999999999997</v>
      </c>
      <c r="S150" s="21">
        <v>29587</v>
      </c>
      <c r="T150" s="13">
        <v>46.749000000000002</v>
      </c>
    </row>
    <row r="151" spans="10:20">
      <c r="J151" s="34"/>
      <c r="K151" s="46">
        <v>30773</v>
      </c>
      <c r="L151" s="47">
        <v>51.088999999999999</v>
      </c>
      <c r="S151" s="21">
        <v>29677</v>
      </c>
      <c r="T151" s="13">
        <v>47.53</v>
      </c>
    </row>
    <row r="152" spans="10:20">
      <c r="J152" s="34"/>
      <c r="K152" s="46">
        <v>30864</v>
      </c>
      <c r="L152" s="47">
        <v>51.482999999999997</v>
      </c>
      <c r="S152" s="21">
        <v>29768</v>
      </c>
      <c r="T152" s="13">
        <v>48.308</v>
      </c>
    </row>
    <row r="153" spans="10:20">
      <c r="J153" s="34"/>
      <c r="K153" s="46">
        <v>30956</v>
      </c>
      <c r="L153" s="47">
        <v>51.801000000000002</v>
      </c>
      <c r="S153" s="21">
        <v>29860</v>
      </c>
      <c r="T153" s="13">
        <v>49.043999999999997</v>
      </c>
    </row>
    <row r="154" spans="10:20">
      <c r="J154" s="34"/>
      <c r="K154" s="46">
        <v>31048</v>
      </c>
      <c r="L154" s="47">
        <v>52.411999999999999</v>
      </c>
      <c r="S154" s="21">
        <v>29952</v>
      </c>
      <c r="T154" s="13">
        <v>49.66</v>
      </c>
    </row>
    <row r="155" spans="10:20">
      <c r="J155" s="34"/>
      <c r="K155" s="46">
        <v>31138</v>
      </c>
      <c r="L155" s="47">
        <v>52.837000000000003</v>
      </c>
      <c r="S155" s="21">
        <v>30042</v>
      </c>
      <c r="T155" s="13">
        <v>50.134999999999998</v>
      </c>
    </row>
    <row r="156" spans="10:20">
      <c r="J156" s="34"/>
      <c r="K156" s="46">
        <v>31229</v>
      </c>
      <c r="L156" s="47">
        <v>53.250999999999998</v>
      </c>
      <c r="S156" s="21">
        <v>30133</v>
      </c>
      <c r="T156" s="13">
        <v>50.924999999999997</v>
      </c>
    </row>
    <row r="157" spans="10:20">
      <c r="J157" s="34"/>
      <c r="K157" s="46">
        <v>31321</v>
      </c>
      <c r="L157" s="47">
        <v>53.622999999999998</v>
      </c>
      <c r="S157" s="21">
        <v>30225</v>
      </c>
      <c r="T157" s="13">
        <v>51.491</v>
      </c>
    </row>
    <row r="158" spans="10:20">
      <c r="J158" s="34"/>
      <c r="K158" s="46">
        <v>31413</v>
      </c>
      <c r="L158" s="47">
        <v>54.003</v>
      </c>
      <c r="S158" s="21">
        <v>30317</v>
      </c>
      <c r="T158" s="13">
        <v>51.936</v>
      </c>
    </row>
    <row r="159" spans="10:20">
      <c r="J159" s="34"/>
      <c r="K159" s="46">
        <v>31503</v>
      </c>
      <c r="L159" s="47">
        <v>53.945999999999998</v>
      </c>
      <c r="S159" s="21">
        <v>30407</v>
      </c>
      <c r="T159" s="13">
        <v>52.415999999999997</v>
      </c>
    </row>
    <row r="160" spans="10:20">
      <c r="J160" s="34"/>
      <c r="K160" s="46">
        <v>31594</v>
      </c>
      <c r="L160" s="47">
        <v>54.23</v>
      </c>
      <c r="S160" s="21">
        <v>30498</v>
      </c>
      <c r="T160" s="13">
        <v>53.106000000000002</v>
      </c>
    </row>
    <row r="161" spans="10:20">
      <c r="J161" s="34"/>
      <c r="K161" s="46">
        <v>31686</v>
      </c>
      <c r="L161" s="47">
        <v>54.558</v>
      </c>
      <c r="S161" s="21">
        <v>30590</v>
      </c>
      <c r="T161" s="13">
        <v>53.457999999999998</v>
      </c>
    </row>
    <row r="162" spans="10:20">
      <c r="J162" s="34"/>
      <c r="K162" s="46">
        <v>31778</v>
      </c>
      <c r="L162" s="47">
        <v>55.072000000000003</v>
      </c>
      <c r="S162" s="21">
        <v>30682</v>
      </c>
      <c r="T162" s="13">
        <v>54.033999999999999</v>
      </c>
    </row>
    <row r="163" spans="10:20">
      <c r="J163" s="34"/>
      <c r="K163" s="46">
        <v>31868</v>
      </c>
      <c r="L163" s="47">
        <v>55.603000000000002</v>
      </c>
      <c r="S163" s="21">
        <v>30773</v>
      </c>
      <c r="T163" s="13">
        <v>54.558</v>
      </c>
    </row>
    <row r="164" spans="10:20">
      <c r="J164" s="34"/>
      <c r="K164" s="46">
        <v>31959</v>
      </c>
      <c r="L164" s="47">
        <v>56.13</v>
      </c>
      <c r="S164" s="21">
        <v>30864</v>
      </c>
      <c r="T164" s="13">
        <v>54.981000000000002</v>
      </c>
    </row>
    <row r="165" spans="10:20">
      <c r="J165" s="34"/>
      <c r="K165" s="46">
        <v>32051</v>
      </c>
      <c r="L165" s="47">
        <v>56.615000000000002</v>
      </c>
      <c r="S165" s="21">
        <v>30956</v>
      </c>
      <c r="T165" s="13">
        <v>55.323</v>
      </c>
    </row>
    <row r="166" spans="10:20">
      <c r="J166" s="34"/>
      <c r="K166" s="46">
        <v>32143</v>
      </c>
      <c r="L166" s="47">
        <v>57.061999999999998</v>
      </c>
      <c r="S166" s="21">
        <v>31048</v>
      </c>
      <c r="T166" s="13">
        <v>55.984999999999999</v>
      </c>
    </row>
    <row r="167" spans="10:20">
      <c r="J167" s="34"/>
      <c r="K167" s="46">
        <v>32234</v>
      </c>
      <c r="L167" s="47">
        <v>57.692</v>
      </c>
      <c r="S167" s="21">
        <v>31138</v>
      </c>
      <c r="T167" s="13">
        <v>56.456000000000003</v>
      </c>
    </row>
    <row r="168" spans="10:20">
      <c r="J168" s="34"/>
      <c r="K168" s="46">
        <v>32325</v>
      </c>
      <c r="L168" s="47">
        <v>58.402999999999999</v>
      </c>
      <c r="S168" s="21">
        <v>31229</v>
      </c>
      <c r="T168" s="13">
        <v>56.905999999999999</v>
      </c>
    </row>
    <row r="169" spans="10:20">
      <c r="J169" s="34"/>
      <c r="K169" s="46">
        <v>32417</v>
      </c>
      <c r="L169" s="47">
        <v>58.993000000000002</v>
      </c>
      <c r="S169" s="21">
        <v>31321</v>
      </c>
      <c r="T169" s="13">
        <v>57.295999999999999</v>
      </c>
    </row>
    <row r="170" spans="10:20">
      <c r="J170" s="34"/>
      <c r="K170" s="46">
        <v>32509</v>
      </c>
      <c r="L170" s="47">
        <v>59.670999999999999</v>
      </c>
      <c r="S170" s="21">
        <v>31413</v>
      </c>
      <c r="T170" s="13">
        <v>57.706000000000003</v>
      </c>
    </row>
    <row r="171" spans="10:20">
      <c r="J171" s="34"/>
      <c r="K171" s="46">
        <v>32599</v>
      </c>
      <c r="L171" s="47">
        <v>60.475000000000001</v>
      </c>
      <c r="S171" s="21">
        <v>31503</v>
      </c>
      <c r="T171" s="13">
        <v>57.637</v>
      </c>
    </row>
    <row r="172" spans="10:20">
      <c r="J172" s="34"/>
      <c r="K172" s="46">
        <v>32690</v>
      </c>
      <c r="L172" s="47">
        <v>60.832000000000001</v>
      </c>
      <c r="S172" s="21">
        <v>31594</v>
      </c>
      <c r="T172" s="13">
        <v>57.93</v>
      </c>
    </row>
    <row r="173" spans="10:20">
      <c r="J173" s="34"/>
      <c r="K173" s="46">
        <v>32782</v>
      </c>
      <c r="L173" s="47">
        <v>61.31</v>
      </c>
      <c r="S173" s="21">
        <v>31686</v>
      </c>
      <c r="T173" s="13">
        <v>58.274999999999999</v>
      </c>
    </row>
    <row r="174" spans="10:20">
      <c r="J174" s="34"/>
      <c r="K174" s="46">
        <v>32874</v>
      </c>
      <c r="L174" s="47">
        <v>62.198999999999998</v>
      </c>
      <c r="S174" s="21">
        <v>31778</v>
      </c>
      <c r="T174" s="13">
        <v>58.820999999999998</v>
      </c>
    </row>
    <row r="175" spans="10:20">
      <c r="J175" s="34"/>
      <c r="K175" s="46">
        <v>32964</v>
      </c>
      <c r="L175" s="47">
        <v>62.764000000000003</v>
      </c>
      <c r="S175" s="21">
        <v>31868</v>
      </c>
      <c r="T175" s="13">
        <v>59.38</v>
      </c>
    </row>
    <row r="176" spans="10:20">
      <c r="J176" s="34"/>
      <c r="K176" s="46">
        <v>33055</v>
      </c>
      <c r="L176" s="47">
        <v>63.561</v>
      </c>
      <c r="S176" s="21">
        <v>31959</v>
      </c>
      <c r="T176" s="13">
        <v>59.936999999999998</v>
      </c>
    </row>
    <row r="177" spans="10:20">
      <c r="J177" s="34"/>
      <c r="K177" s="46">
        <v>33147</v>
      </c>
      <c r="L177" s="47">
        <v>64.402000000000001</v>
      </c>
      <c r="S177" s="21">
        <v>32051</v>
      </c>
      <c r="T177" s="13">
        <v>60.463000000000001</v>
      </c>
    </row>
    <row r="178" spans="10:20">
      <c r="J178" s="34"/>
      <c r="K178" s="46">
        <v>33239</v>
      </c>
      <c r="L178" s="47">
        <v>64.739999999999995</v>
      </c>
      <c r="S178" s="21">
        <v>32143</v>
      </c>
      <c r="T178" s="13">
        <v>60.933999999999997</v>
      </c>
    </row>
    <row r="179" spans="10:20">
      <c r="J179" s="34"/>
      <c r="K179" s="46">
        <v>33329</v>
      </c>
      <c r="L179" s="47">
        <v>65.093999999999994</v>
      </c>
      <c r="S179" s="21">
        <v>32234</v>
      </c>
      <c r="T179" s="13">
        <v>61.606999999999999</v>
      </c>
    </row>
    <row r="180" spans="10:20">
      <c r="J180" s="34"/>
      <c r="K180" s="46">
        <v>33420</v>
      </c>
      <c r="L180" s="47">
        <v>65.536000000000001</v>
      </c>
      <c r="S180" s="21">
        <v>32325</v>
      </c>
      <c r="T180" s="13">
        <v>62.366</v>
      </c>
    </row>
    <row r="181" spans="10:20">
      <c r="J181" s="34"/>
      <c r="K181" s="46">
        <v>33512</v>
      </c>
      <c r="L181" s="47">
        <v>66.012</v>
      </c>
      <c r="S181" s="21">
        <v>32417</v>
      </c>
      <c r="T181" s="13">
        <v>62.99</v>
      </c>
    </row>
    <row r="182" spans="10:20">
      <c r="J182" s="34"/>
      <c r="K182" s="46">
        <v>33604</v>
      </c>
      <c r="L182" s="47">
        <v>66.424999999999997</v>
      </c>
      <c r="S182" s="21">
        <v>32509</v>
      </c>
      <c r="T182" s="13">
        <v>63.695999999999998</v>
      </c>
    </row>
    <row r="183" spans="10:20">
      <c r="J183" s="34"/>
      <c r="K183" s="46">
        <v>33695</v>
      </c>
      <c r="L183" s="47">
        <v>66.867000000000004</v>
      </c>
      <c r="S183" s="21">
        <v>32599</v>
      </c>
      <c r="T183" s="13">
        <v>64.543000000000006</v>
      </c>
    </row>
    <row r="184" spans="10:20">
      <c r="J184" s="34"/>
      <c r="K184" s="46">
        <v>33786</v>
      </c>
      <c r="L184" s="47">
        <v>67.293999999999997</v>
      </c>
      <c r="S184" s="21">
        <v>32690</v>
      </c>
      <c r="T184" s="13">
        <v>64.91</v>
      </c>
    </row>
    <row r="185" spans="10:20">
      <c r="J185" s="34"/>
      <c r="K185" s="46">
        <v>33878</v>
      </c>
      <c r="L185" s="47">
        <v>67.763000000000005</v>
      </c>
      <c r="S185" s="21">
        <v>32782</v>
      </c>
      <c r="T185" s="13">
        <v>65.417000000000002</v>
      </c>
    </row>
    <row r="186" spans="10:20">
      <c r="J186" s="34"/>
      <c r="K186" s="46">
        <v>33970</v>
      </c>
      <c r="L186" s="47">
        <v>68.167000000000002</v>
      </c>
      <c r="S186" s="21">
        <v>32874</v>
      </c>
      <c r="T186" s="13">
        <v>66.349999999999994</v>
      </c>
    </row>
    <row r="187" spans="10:20">
      <c r="J187" s="34"/>
      <c r="K187" s="46">
        <v>34060</v>
      </c>
      <c r="L187" s="47">
        <v>68.623999999999995</v>
      </c>
      <c r="S187" s="21">
        <v>32964</v>
      </c>
      <c r="T187" s="13">
        <v>66.945999999999998</v>
      </c>
    </row>
    <row r="188" spans="10:20">
      <c r="J188" s="34"/>
      <c r="K188" s="46">
        <v>34151</v>
      </c>
      <c r="L188" s="47">
        <v>68.923000000000002</v>
      </c>
      <c r="S188" s="21">
        <v>33055</v>
      </c>
      <c r="T188" s="13">
        <v>67.787000000000006</v>
      </c>
    </row>
    <row r="189" spans="10:20">
      <c r="J189" s="34"/>
      <c r="K189" s="46">
        <v>34243</v>
      </c>
      <c r="L189" s="47">
        <v>69.319999999999993</v>
      </c>
      <c r="S189" s="21">
        <v>33147</v>
      </c>
      <c r="T189" s="13">
        <v>68.676000000000002</v>
      </c>
    </row>
    <row r="190" spans="10:20">
      <c r="J190" s="34"/>
      <c r="K190" s="46">
        <v>34335</v>
      </c>
      <c r="L190" s="47">
        <v>69.567999999999998</v>
      </c>
      <c r="S190" s="21">
        <v>33239</v>
      </c>
      <c r="T190" s="13">
        <v>69.016999999999996</v>
      </c>
    </row>
    <row r="191" spans="10:20">
      <c r="J191" s="34"/>
      <c r="K191" s="46">
        <v>34425</v>
      </c>
      <c r="L191" s="47">
        <v>69.956000000000003</v>
      </c>
      <c r="S191" s="21">
        <v>33329</v>
      </c>
      <c r="T191" s="13">
        <v>69.384</v>
      </c>
    </row>
    <row r="192" spans="10:20">
      <c r="J192" s="34"/>
      <c r="K192" s="46">
        <v>34516</v>
      </c>
      <c r="L192" s="47">
        <v>70.459000000000003</v>
      </c>
      <c r="S192" s="21">
        <v>33420</v>
      </c>
      <c r="T192" s="13">
        <v>69.853999999999999</v>
      </c>
    </row>
    <row r="193" spans="10:20">
      <c r="J193" s="34"/>
      <c r="K193" s="46">
        <v>34608</v>
      </c>
      <c r="L193" s="47">
        <v>70.789000000000001</v>
      </c>
      <c r="S193" s="21">
        <v>33512</v>
      </c>
      <c r="T193" s="13">
        <v>70.355000000000004</v>
      </c>
    </row>
    <row r="194" spans="10:20">
      <c r="J194" s="34"/>
      <c r="K194" s="46">
        <v>34700</v>
      </c>
      <c r="L194" s="47">
        <v>71.135999999999996</v>
      </c>
      <c r="S194" s="21">
        <v>33604</v>
      </c>
      <c r="T194" s="13">
        <v>70.787999999999997</v>
      </c>
    </row>
    <row r="195" spans="10:20">
      <c r="J195" s="34"/>
      <c r="K195" s="46">
        <v>34790</v>
      </c>
      <c r="L195" s="47">
        <v>71.549000000000007</v>
      </c>
      <c r="S195" s="21">
        <v>33695</v>
      </c>
      <c r="T195" s="13">
        <v>71.257999999999996</v>
      </c>
    </row>
    <row r="196" spans="10:20">
      <c r="J196" s="34"/>
      <c r="K196" s="46">
        <v>34881</v>
      </c>
      <c r="L196" s="47">
        <v>71.841999999999999</v>
      </c>
      <c r="S196" s="21">
        <v>33786</v>
      </c>
      <c r="T196" s="13">
        <v>71.712000000000003</v>
      </c>
    </row>
    <row r="197" spans="10:20">
      <c r="J197" s="34"/>
      <c r="K197" s="46">
        <v>34973</v>
      </c>
      <c r="L197" s="47">
        <v>72.158000000000001</v>
      </c>
      <c r="S197" s="21">
        <v>33878</v>
      </c>
      <c r="T197" s="13">
        <v>72.216999999999999</v>
      </c>
    </row>
    <row r="198" spans="10:20">
      <c r="J198" s="34"/>
      <c r="K198" s="46">
        <v>35065</v>
      </c>
      <c r="L198" s="47">
        <v>72.558999999999997</v>
      </c>
      <c r="S198" s="21">
        <v>33970</v>
      </c>
      <c r="T198" s="13">
        <v>72.646000000000001</v>
      </c>
    </row>
    <row r="199" spans="10:20">
      <c r="J199" s="34"/>
      <c r="K199" s="46">
        <v>35156</v>
      </c>
      <c r="L199" s="47">
        <v>73.043999999999997</v>
      </c>
      <c r="S199" s="21">
        <v>34060</v>
      </c>
      <c r="T199" s="13">
        <v>73.135999999999996</v>
      </c>
    </row>
    <row r="200" spans="10:20">
      <c r="J200" s="34"/>
      <c r="K200" s="46">
        <v>35247</v>
      </c>
      <c r="L200" s="47">
        <v>73.355999999999995</v>
      </c>
      <c r="S200" s="21">
        <v>34151</v>
      </c>
      <c r="T200" s="13">
        <v>73.454999999999998</v>
      </c>
    </row>
    <row r="201" spans="10:20">
      <c r="J201" s="34"/>
      <c r="K201" s="46">
        <v>35339</v>
      </c>
      <c r="L201" s="47">
        <v>73.855999999999995</v>
      </c>
      <c r="S201" s="21">
        <v>34243</v>
      </c>
      <c r="T201" s="13">
        <v>73.876999999999995</v>
      </c>
    </row>
    <row r="202" spans="10:20">
      <c r="J202" s="34"/>
      <c r="K202" s="46">
        <v>35431</v>
      </c>
      <c r="L202" s="47">
        <v>74.182000000000002</v>
      </c>
      <c r="S202" s="21">
        <v>34335</v>
      </c>
      <c r="T202" s="13">
        <v>74.138999999999996</v>
      </c>
    </row>
    <row r="203" spans="10:20">
      <c r="J203" s="34"/>
      <c r="K203" s="46">
        <v>35521</v>
      </c>
      <c r="L203" s="47">
        <v>74.367999999999995</v>
      </c>
      <c r="S203" s="21">
        <v>34425</v>
      </c>
      <c r="T203" s="13">
        <v>74.552000000000007</v>
      </c>
    </row>
    <row r="204" spans="10:20">
      <c r="J204" s="34"/>
      <c r="K204" s="46">
        <v>35612</v>
      </c>
      <c r="L204" s="47">
        <v>74.563999999999993</v>
      </c>
      <c r="S204" s="21">
        <v>34516</v>
      </c>
      <c r="T204" s="13">
        <v>75.084000000000003</v>
      </c>
    </row>
    <row r="205" spans="10:20">
      <c r="J205" s="34"/>
      <c r="K205" s="46">
        <v>35704</v>
      </c>
      <c r="L205" s="47">
        <v>74.798000000000002</v>
      </c>
      <c r="S205" s="21">
        <v>34608</v>
      </c>
      <c r="T205" s="13">
        <v>75.436999999999998</v>
      </c>
    </row>
    <row r="206" spans="10:20">
      <c r="J206" s="34"/>
      <c r="K206" s="46">
        <v>35796</v>
      </c>
      <c r="L206" s="47">
        <v>74.804000000000002</v>
      </c>
      <c r="S206" s="21">
        <v>34700</v>
      </c>
      <c r="T206" s="13">
        <v>75.798000000000002</v>
      </c>
    </row>
    <row r="207" spans="10:20">
      <c r="J207" s="34"/>
      <c r="K207" s="46">
        <v>35886</v>
      </c>
      <c r="L207" s="47">
        <v>74.938999999999993</v>
      </c>
      <c r="S207" s="21">
        <v>34790</v>
      </c>
      <c r="T207" s="13">
        <v>76.225999999999999</v>
      </c>
    </row>
    <row r="208" spans="10:20">
      <c r="J208" s="34"/>
      <c r="K208" s="46">
        <v>35977</v>
      </c>
      <c r="L208" s="47">
        <v>75.17</v>
      </c>
      <c r="S208" s="21">
        <v>34881</v>
      </c>
      <c r="T208" s="13">
        <v>76.531000000000006</v>
      </c>
    </row>
    <row r="209" spans="10:20">
      <c r="J209" s="34"/>
      <c r="K209" s="46">
        <v>36069</v>
      </c>
      <c r="L209" s="47">
        <v>75.369</v>
      </c>
      <c r="S209" s="21">
        <v>34973</v>
      </c>
      <c r="T209" s="13">
        <v>76.867999999999995</v>
      </c>
    </row>
    <row r="210" spans="10:20">
      <c r="J210" s="34"/>
      <c r="K210" s="46">
        <v>36161</v>
      </c>
      <c r="L210" s="47">
        <v>75.516999999999996</v>
      </c>
      <c r="S210" s="21">
        <v>35065</v>
      </c>
      <c r="T210" s="13">
        <v>77.299000000000007</v>
      </c>
    </row>
    <row r="211" spans="10:20">
      <c r="J211" s="34"/>
      <c r="K211" s="46">
        <v>36251</v>
      </c>
      <c r="L211" s="47">
        <v>75.947000000000003</v>
      </c>
      <c r="S211" s="21">
        <v>35156</v>
      </c>
      <c r="T211" s="13">
        <v>77.81</v>
      </c>
    </row>
    <row r="212" spans="10:20">
      <c r="J212" s="34"/>
      <c r="K212" s="46">
        <v>36342</v>
      </c>
      <c r="L212" s="47">
        <v>76.364999999999995</v>
      </c>
      <c r="S212" s="21">
        <v>35247</v>
      </c>
      <c r="T212" s="13">
        <v>78.141999999999996</v>
      </c>
    </row>
    <row r="213" spans="10:20">
      <c r="J213" s="34"/>
      <c r="K213" s="46">
        <v>36434</v>
      </c>
      <c r="L213" s="47">
        <v>76.828000000000003</v>
      </c>
      <c r="S213" s="21">
        <v>35339</v>
      </c>
      <c r="T213" s="13">
        <v>78.671000000000006</v>
      </c>
    </row>
    <row r="214" spans="10:20">
      <c r="J214" s="34"/>
      <c r="K214" s="46">
        <v>36526</v>
      </c>
      <c r="L214" s="47">
        <v>77.451999999999998</v>
      </c>
      <c r="S214" s="21">
        <v>35431</v>
      </c>
      <c r="T214" s="13">
        <v>79.016999999999996</v>
      </c>
    </row>
    <row r="215" spans="10:20">
      <c r="J215" s="34"/>
      <c r="K215" s="46">
        <v>36617</v>
      </c>
      <c r="L215" s="47">
        <v>77.820999999999998</v>
      </c>
      <c r="S215" s="21">
        <v>35521</v>
      </c>
      <c r="T215" s="13">
        <v>79.212000000000003</v>
      </c>
    </row>
    <row r="216" spans="10:20">
      <c r="J216" s="34"/>
      <c r="K216" s="46">
        <v>36708</v>
      </c>
      <c r="L216" s="47">
        <v>78.322999999999993</v>
      </c>
      <c r="S216" s="21">
        <v>35612</v>
      </c>
      <c r="T216" s="13">
        <v>79.415000000000006</v>
      </c>
    </row>
    <row r="217" spans="10:20">
      <c r="J217" s="34"/>
      <c r="K217" s="46">
        <v>36800</v>
      </c>
      <c r="L217" s="47">
        <v>78.766000000000005</v>
      </c>
      <c r="S217" s="21">
        <v>35704</v>
      </c>
      <c r="T217" s="13">
        <v>79.662000000000006</v>
      </c>
    </row>
    <row r="218" spans="10:20">
      <c r="J218" s="34"/>
      <c r="K218" s="46">
        <v>36892</v>
      </c>
      <c r="L218" s="47">
        <v>79.349000000000004</v>
      </c>
      <c r="S218" s="21">
        <v>35796</v>
      </c>
      <c r="T218" s="13">
        <v>79.656999999999996</v>
      </c>
    </row>
    <row r="219" spans="10:20">
      <c r="J219" s="34"/>
      <c r="K219" s="46">
        <v>36982</v>
      </c>
      <c r="L219" s="47">
        <v>79.721000000000004</v>
      </c>
      <c r="S219" s="21">
        <v>35886</v>
      </c>
      <c r="T219" s="13">
        <v>79.799000000000007</v>
      </c>
    </row>
    <row r="220" spans="10:20">
      <c r="J220" s="34"/>
      <c r="K220" s="46">
        <v>37073</v>
      </c>
      <c r="L220" s="47">
        <v>79.760999999999996</v>
      </c>
      <c r="S220" s="21">
        <v>35977</v>
      </c>
      <c r="T220" s="13">
        <v>80.040999999999997</v>
      </c>
    </row>
    <row r="221" spans="10:20">
      <c r="J221" s="34"/>
      <c r="K221" s="46">
        <v>37165</v>
      </c>
      <c r="L221" s="47">
        <v>79.793999999999997</v>
      </c>
      <c r="S221" s="21">
        <v>36069</v>
      </c>
      <c r="T221" s="13">
        <v>80.244</v>
      </c>
    </row>
    <row r="222" spans="10:20">
      <c r="J222" s="34"/>
      <c r="K222" s="46">
        <v>37257</v>
      </c>
      <c r="L222" s="47">
        <v>79.953999999999994</v>
      </c>
      <c r="S222" s="21">
        <v>36161</v>
      </c>
      <c r="T222" s="13">
        <v>80.453000000000003</v>
      </c>
    </row>
    <row r="223" spans="10:20">
      <c r="J223" s="34"/>
      <c r="K223" s="46">
        <v>37347</v>
      </c>
      <c r="L223" s="47">
        <v>80.546999999999997</v>
      </c>
      <c r="S223" s="21">
        <v>36251</v>
      </c>
      <c r="T223" s="13">
        <v>80.884</v>
      </c>
    </row>
    <row r="224" spans="10:20">
      <c r="J224" s="34"/>
      <c r="K224" s="46">
        <v>37438</v>
      </c>
      <c r="L224" s="47">
        <v>80.963999999999999</v>
      </c>
      <c r="S224" s="21">
        <v>36342</v>
      </c>
      <c r="T224" s="13">
        <v>81.31</v>
      </c>
    </row>
    <row r="225" spans="10:20">
      <c r="J225" s="34"/>
      <c r="K225" s="46">
        <v>37530</v>
      </c>
      <c r="L225" s="47">
        <v>81.341999999999999</v>
      </c>
      <c r="S225" s="21">
        <v>36434</v>
      </c>
      <c r="T225" s="13">
        <v>81.792000000000002</v>
      </c>
    </row>
    <row r="226" spans="10:20">
      <c r="J226" s="34"/>
      <c r="K226" s="46">
        <v>37622</v>
      </c>
      <c r="L226" s="47">
        <v>81.963999999999999</v>
      </c>
      <c r="S226" s="21">
        <v>36526</v>
      </c>
      <c r="T226" s="13">
        <v>82.475999999999999</v>
      </c>
    </row>
    <row r="227" spans="10:20">
      <c r="J227" s="34"/>
      <c r="K227" s="46">
        <v>37712</v>
      </c>
      <c r="L227" s="47">
        <v>82.046000000000006</v>
      </c>
      <c r="S227" s="21">
        <v>36617</v>
      </c>
      <c r="T227" s="13">
        <v>82.852999999999994</v>
      </c>
    </row>
    <row r="228" spans="10:20">
      <c r="J228" s="34"/>
      <c r="K228" s="46">
        <v>37803</v>
      </c>
      <c r="L228" s="47">
        <v>82.587000000000003</v>
      </c>
      <c r="S228" s="21">
        <v>36708</v>
      </c>
      <c r="T228" s="13">
        <v>83.367999999999995</v>
      </c>
    </row>
    <row r="229" spans="10:20">
      <c r="J229" s="34"/>
      <c r="K229" s="46">
        <v>37895</v>
      </c>
      <c r="L229" s="47">
        <v>82.992999999999995</v>
      </c>
      <c r="S229" s="21">
        <v>36800</v>
      </c>
      <c r="T229" s="13">
        <v>83.828999999999994</v>
      </c>
    </row>
    <row r="230" spans="10:20">
      <c r="J230" s="34"/>
      <c r="K230" s="46">
        <v>37987</v>
      </c>
      <c r="L230" s="47">
        <v>83.632999999999996</v>
      </c>
      <c r="S230" s="21">
        <v>36892</v>
      </c>
      <c r="T230" s="13">
        <v>84.387</v>
      </c>
    </row>
    <row r="231" spans="10:20">
      <c r="J231" s="34"/>
      <c r="K231" s="46">
        <v>38078</v>
      </c>
      <c r="L231" s="47">
        <v>84.195999999999998</v>
      </c>
      <c r="S231" s="21">
        <v>36982</v>
      </c>
      <c r="T231" s="13">
        <v>84.79</v>
      </c>
    </row>
    <row r="232" spans="10:20">
      <c r="J232" s="34"/>
      <c r="K232" s="46">
        <v>38169</v>
      </c>
      <c r="L232" s="47">
        <v>84.61</v>
      </c>
      <c r="S232" s="21">
        <v>37073</v>
      </c>
      <c r="T232" s="13">
        <v>84.855000000000004</v>
      </c>
    </row>
    <row r="233" spans="10:20">
      <c r="J233" s="34"/>
      <c r="K233" s="46">
        <v>38261</v>
      </c>
      <c r="L233" s="47">
        <v>85.332999999999998</v>
      </c>
      <c r="S233" s="21">
        <v>37165</v>
      </c>
      <c r="T233" s="13">
        <v>84.911000000000001</v>
      </c>
    </row>
    <row r="234" spans="10:20">
      <c r="J234" s="34"/>
      <c r="K234" s="46">
        <v>38353</v>
      </c>
      <c r="L234" s="47">
        <v>85.828999999999994</v>
      </c>
      <c r="S234" s="21">
        <v>37257</v>
      </c>
      <c r="T234" s="13">
        <v>85.066999999999993</v>
      </c>
    </row>
    <row r="235" spans="10:20">
      <c r="J235" s="34"/>
      <c r="K235" s="46">
        <v>38443</v>
      </c>
      <c r="L235" s="47">
        <v>86.370999999999995</v>
      </c>
      <c r="S235" s="21">
        <v>37347</v>
      </c>
      <c r="T235" s="13">
        <v>85.721999999999994</v>
      </c>
    </row>
    <row r="236" spans="10:20">
      <c r="J236" s="34"/>
      <c r="K236" s="46">
        <v>38534</v>
      </c>
      <c r="L236" s="47">
        <v>87.304000000000002</v>
      </c>
      <c r="S236" s="21">
        <v>37438</v>
      </c>
      <c r="T236" s="13">
        <v>86.155000000000001</v>
      </c>
    </row>
    <row r="237" spans="10:20">
      <c r="J237" s="34"/>
      <c r="K237" s="46">
        <v>38626</v>
      </c>
      <c r="L237" s="47">
        <v>87.998999999999995</v>
      </c>
      <c r="S237" s="21">
        <v>37530</v>
      </c>
      <c r="T237" s="13">
        <v>86.55</v>
      </c>
    </row>
    <row r="238" spans="10:20">
      <c r="J238" s="34"/>
      <c r="K238" s="46">
        <v>38718</v>
      </c>
      <c r="L238" s="47">
        <v>88.456000000000003</v>
      </c>
      <c r="S238" s="21">
        <v>37622</v>
      </c>
      <c r="T238" s="13">
        <v>87.161000000000001</v>
      </c>
    </row>
    <row r="239" spans="10:20">
      <c r="J239" s="34"/>
      <c r="K239" s="46">
        <v>38808</v>
      </c>
      <c r="L239" s="47">
        <v>89.231999999999999</v>
      </c>
      <c r="S239" s="21">
        <v>37712</v>
      </c>
      <c r="T239" s="13">
        <v>87.234999999999999</v>
      </c>
    </row>
    <row r="240" spans="10:20">
      <c r="J240" s="34"/>
      <c r="K240" s="46">
        <v>38899</v>
      </c>
      <c r="L240" s="47">
        <v>89.873999999999995</v>
      </c>
      <c r="S240" s="21">
        <v>37803</v>
      </c>
      <c r="T240" s="13">
        <v>87.769000000000005</v>
      </c>
    </row>
    <row r="241" spans="10:20">
      <c r="J241" s="34"/>
      <c r="K241" s="46">
        <v>38991</v>
      </c>
      <c r="L241" s="47">
        <v>89.725999999999999</v>
      </c>
      <c r="S241" s="21">
        <v>37895</v>
      </c>
      <c r="T241" s="13">
        <v>88.123999999999995</v>
      </c>
    </row>
    <row r="242" spans="10:20">
      <c r="J242" s="34"/>
      <c r="K242" s="46">
        <v>39083</v>
      </c>
      <c r="L242" s="47">
        <v>90.546000000000006</v>
      </c>
      <c r="S242" s="21">
        <v>37987</v>
      </c>
      <c r="T242" s="13">
        <v>88.796999999999997</v>
      </c>
    </row>
    <row r="243" spans="10:20">
      <c r="J243" s="34"/>
      <c r="K243" s="46">
        <v>39173</v>
      </c>
      <c r="L243" s="47">
        <v>91.314999999999998</v>
      </c>
      <c r="S243" s="21">
        <v>38078</v>
      </c>
      <c r="T243" s="13">
        <v>89.421000000000006</v>
      </c>
    </row>
    <row r="244" spans="10:20">
      <c r="J244" s="34"/>
      <c r="K244" s="46">
        <v>39264</v>
      </c>
      <c r="L244" s="47">
        <v>91.831000000000003</v>
      </c>
      <c r="N244" s="1"/>
      <c r="S244" s="21">
        <v>38169</v>
      </c>
      <c r="T244" s="13">
        <v>89.941999999999993</v>
      </c>
    </row>
    <row r="245" spans="10:20">
      <c r="J245" s="34"/>
      <c r="K245" s="46">
        <v>39356</v>
      </c>
      <c r="L245" s="47">
        <v>92.765000000000001</v>
      </c>
      <c r="S245" s="21">
        <v>38261</v>
      </c>
      <c r="T245" s="13">
        <v>90.652000000000001</v>
      </c>
    </row>
    <row r="246" spans="10:20">
      <c r="J246" s="34"/>
      <c r="K246" s="46">
        <v>39448</v>
      </c>
      <c r="L246" s="47">
        <v>93.52</v>
      </c>
      <c r="N246" s="21"/>
      <c r="O246" s="13"/>
      <c r="Q246" s="21"/>
      <c r="R246" s="13"/>
      <c r="S246" s="21">
        <v>38353</v>
      </c>
      <c r="T246" s="13">
        <v>91.122</v>
      </c>
    </row>
    <row r="247" spans="10:20">
      <c r="J247" s="34"/>
      <c r="K247" s="46">
        <v>39539</v>
      </c>
      <c r="L247" s="47">
        <v>94.43</v>
      </c>
      <c r="N247" s="21"/>
      <c r="O247" s="13"/>
      <c r="Q247" s="21"/>
      <c r="R247" s="13"/>
      <c r="S247" s="21">
        <v>38443</v>
      </c>
      <c r="T247" s="13">
        <v>91.727999999999994</v>
      </c>
    </row>
    <row r="248" spans="10:20">
      <c r="J248" s="34"/>
      <c r="K248" s="46">
        <v>39630</v>
      </c>
      <c r="L248" s="47">
        <v>95.438000000000002</v>
      </c>
      <c r="N248" s="21"/>
      <c r="O248" s="13"/>
      <c r="Q248" s="21"/>
      <c r="R248" s="13"/>
      <c r="S248" s="21">
        <v>38534</v>
      </c>
      <c r="T248" s="13">
        <v>92.733999999999995</v>
      </c>
    </row>
    <row r="249" spans="10:20">
      <c r="J249" s="34"/>
      <c r="K249" s="46">
        <v>39722</v>
      </c>
      <c r="L249" s="47">
        <v>93.914000000000001</v>
      </c>
      <c r="N249" s="21"/>
      <c r="O249" s="13"/>
      <c r="Q249" s="21"/>
      <c r="R249" s="13"/>
      <c r="S249" s="21">
        <v>38626</v>
      </c>
      <c r="T249" s="13">
        <v>93.457999999999998</v>
      </c>
    </row>
    <row r="250" spans="10:20">
      <c r="J250" s="34"/>
      <c r="K250" s="46">
        <v>39814</v>
      </c>
      <c r="L250" s="47">
        <v>93.28</v>
      </c>
      <c r="N250" s="21"/>
      <c r="O250" s="13"/>
      <c r="Q250" s="21"/>
      <c r="R250" s="13"/>
      <c r="S250" s="21">
        <v>38718</v>
      </c>
      <c r="T250" s="13">
        <v>93.89</v>
      </c>
    </row>
    <row r="251" spans="10:20">
      <c r="J251" s="34"/>
      <c r="K251" s="46">
        <v>39904</v>
      </c>
      <c r="L251" s="47">
        <v>93.650999999999996</v>
      </c>
      <c r="N251" s="21"/>
      <c r="O251" s="13"/>
      <c r="Q251" s="21"/>
      <c r="R251" s="13"/>
      <c r="S251" s="21">
        <v>38808</v>
      </c>
      <c r="T251" s="13">
        <v>94.613</v>
      </c>
    </row>
    <row r="252" spans="10:20">
      <c r="J252" s="34"/>
      <c r="K252" s="46">
        <v>39995</v>
      </c>
      <c r="L252" s="47">
        <v>94.296000000000006</v>
      </c>
      <c r="N252" s="21"/>
      <c r="O252" s="13"/>
      <c r="Q252" s="21"/>
      <c r="R252" s="13"/>
      <c r="S252" s="21">
        <v>38899</v>
      </c>
      <c r="T252" s="13">
        <v>95.289000000000001</v>
      </c>
    </row>
    <row r="253" spans="10:20">
      <c r="J253" s="34"/>
      <c r="K253" s="46">
        <v>40087</v>
      </c>
      <c r="L253" s="47">
        <v>95.024000000000001</v>
      </c>
      <c r="N253" s="21"/>
      <c r="O253" s="13"/>
      <c r="Q253" s="21"/>
      <c r="R253" s="13"/>
      <c r="S253" s="21">
        <v>38991</v>
      </c>
      <c r="T253" s="13">
        <v>95.125</v>
      </c>
    </row>
    <row r="254" spans="10:20">
      <c r="J254" s="34"/>
      <c r="K254" s="46">
        <v>40179</v>
      </c>
      <c r="L254" s="47">
        <v>95.391000000000005</v>
      </c>
      <c r="N254" s="21"/>
      <c r="O254" s="13"/>
      <c r="Q254" s="21"/>
      <c r="R254" s="13"/>
      <c r="S254" s="21">
        <v>39083</v>
      </c>
      <c r="T254" s="13">
        <v>96.010999999999996</v>
      </c>
    </row>
    <row r="255" spans="10:20">
      <c r="J255" s="34"/>
      <c r="K255" s="46">
        <v>40269</v>
      </c>
      <c r="L255" s="47">
        <v>95.539000000000001</v>
      </c>
      <c r="N255" s="21"/>
      <c r="O255" s="13"/>
      <c r="Q255" s="21"/>
      <c r="R255" s="13"/>
      <c r="S255" s="21">
        <v>39173</v>
      </c>
      <c r="T255" s="13">
        <v>96.774000000000001</v>
      </c>
    </row>
    <row r="256" spans="10:20">
      <c r="J256" s="34"/>
      <c r="K256" s="46">
        <v>40360</v>
      </c>
      <c r="L256" s="47">
        <v>95.722999999999999</v>
      </c>
      <c r="N256" s="21"/>
      <c r="O256" s="13"/>
      <c r="Q256" s="21"/>
      <c r="R256" s="13"/>
      <c r="S256" s="21">
        <v>39264</v>
      </c>
      <c r="T256" s="13">
        <v>97.322000000000003</v>
      </c>
    </row>
    <row r="257" spans="10:20">
      <c r="J257" s="34"/>
      <c r="K257" s="46">
        <v>40452</v>
      </c>
      <c r="L257" s="47">
        <v>96.335999999999999</v>
      </c>
      <c r="N257" s="21"/>
      <c r="O257" s="13"/>
      <c r="Q257" s="21"/>
      <c r="R257" s="13"/>
      <c r="S257" s="21">
        <v>39356</v>
      </c>
      <c r="T257" s="13">
        <v>98.298000000000002</v>
      </c>
    </row>
    <row r="258" spans="10:20">
      <c r="J258" s="34"/>
      <c r="K258" s="46">
        <v>40544</v>
      </c>
      <c r="L258" s="47">
        <v>97.144999999999996</v>
      </c>
      <c r="N258" s="21"/>
      <c r="O258" s="13"/>
      <c r="Q258" s="21"/>
      <c r="R258" s="13"/>
      <c r="S258" s="21">
        <v>39448</v>
      </c>
      <c r="T258" s="13">
        <v>99.14</v>
      </c>
    </row>
    <row r="259" spans="10:20">
      <c r="J259" s="34"/>
      <c r="K259" s="46">
        <v>40634</v>
      </c>
      <c r="L259" s="47">
        <v>98.1</v>
      </c>
      <c r="N259" s="21"/>
      <c r="O259" s="13"/>
      <c r="Q259" s="21"/>
      <c r="R259" s="13"/>
      <c r="S259" s="21">
        <v>39539</v>
      </c>
      <c r="T259" s="13">
        <v>100.17700000000001</v>
      </c>
    </row>
    <row r="260" spans="10:20">
      <c r="J260" s="34"/>
      <c r="K260" s="46">
        <v>40725</v>
      </c>
      <c r="L260" s="47">
        <v>98.554000000000002</v>
      </c>
      <c r="N260" s="21"/>
      <c r="O260" s="13"/>
      <c r="Q260" s="21"/>
      <c r="R260" s="13"/>
      <c r="S260" s="21">
        <v>39630</v>
      </c>
      <c r="T260" s="13">
        <v>101.196</v>
      </c>
    </row>
    <row r="261" spans="10:20">
      <c r="J261" s="34"/>
      <c r="K261" s="46">
        <v>40817</v>
      </c>
      <c r="L261" s="47">
        <v>98.879000000000005</v>
      </c>
      <c r="N261" s="21"/>
      <c r="O261" s="13"/>
      <c r="Q261" s="21"/>
      <c r="R261" s="13"/>
      <c r="S261" s="21">
        <v>39722</v>
      </c>
      <c r="T261" s="13">
        <v>99.745000000000005</v>
      </c>
    </row>
    <row r="262" spans="10:20">
      <c r="J262" s="34"/>
      <c r="K262" s="46">
        <v>40909</v>
      </c>
      <c r="L262" s="47">
        <v>99.534000000000006</v>
      </c>
      <c r="N262" s="21"/>
      <c r="O262" s="13"/>
      <c r="Q262" s="21"/>
      <c r="R262" s="13"/>
      <c r="S262" s="21">
        <v>39814</v>
      </c>
      <c r="T262" s="13">
        <v>99.182000000000002</v>
      </c>
    </row>
    <row r="263" spans="10:20">
      <c r="J263" s="34"/>
      <c r="K263" s="46">
        <v>41000</v>
      </c>
      <c r="L263" s="47">
        <v>99.775000000000006</v>
      </c>
      <c r="N263" s="21"/>
      <c r="O263" s="13"/>
      <c r="Q263" s="21"/>
      <c r="R263" s="13"/>
      <c r="S263" s="21">
        <v>39904</v>
      </c>
      <c r="T263" s="13">
        <v>99.626999999999995</v>
      </c>
    </row>
    <row r="264" spans="10:20">
      <c r="J264" s="34"/>
      <c r="K264" s="46">
        <v>41091</v>
      </c>
      <c r="L264" s="13">
        <v>100.065</v>
      </c>
      <c r="M264" s="13"/>
      <c r="N264" s="21"/>
      <c r="O264" s="13"/>
      <c r="Q264" s="21"/>
      <c r="R264" s="13"/>
      <c r="S264" s="21">
        <v>39995</v>
      </c>
      <c r="T264" s="13">
        <v>100.254</v>
      </c>
    </row>
    <row r="265" spans="10:20">
      <c r="J265" s="34"/>
      <c r="K265" s="46">
        <v>41183</v>
      </c>
      <c r="L265" s="13">
        <v>100.626</v>
      </c>
      <c r="M265" s="13"/>
      <c r="N265" s="21"/>
      <c r="O265" s="13"/>
      <c r="Q265" s="21"/>
      <c r="R265" s="13"/>
      <c r="S265" s="21">
        <v>40087</v>
      </c>
      <c r="T265" s="13">
        <v>100.937</v>
      </c>
    </row>
    <row r="266" spans="10:20">
      <c r="J266" s="34"/>
      <c r="K266" s="46">
        <v>41275</v>
      </c>
      <c r="L266" s="13">
        <v>100.989</v>
      </c>
      <c r="M266" s="13"/>
      <c r="N266" s="21"/>
      <c r="O266" s="13"/>
      <c r="Q266" s="21"/>
      <c r="R266" s="13"/>
      <c r="S266" s="21">
        <v>40179</v>
      </c>
      <c r="T266" s="13">
        <v>101.282</v>
      </c>
    </row>
    <row r="267" spans="10:20">
      <c r="J267" s="34"/>
      <c r="K267" s="46">
        <v>41365</v>
      </c>
      <c r="L267" s="13">
        <v>101.06100000000001</v>
      </c>
      <c r="M267" s="13"/>
      <c r="N267" s="21"/>
      <c r="O267" s="13"/>
      <c r="Q267" s="21"/>
      <c r="R267" s="13"/>
      <c r="S267" s="21">
        <v>40269</v>
      </c>
      <c r="T267" s="13">
        <v>101.396</v>
      </c>
    </row>
    <row r="268" spans="10:20">
      <c r="J268" s="34"/>
      <c r="K268" s="46">
        <v>41456</v>
      </c>
      <c r="L268" s="13">
        <v>101.471</v>
      </c>
      <c r="M268" s="13"/>
      <c r="N268" s="21"/>
      <c r="O268" s="13"/>
      <c r="Q268" s="21"/>
      <c r="R268" s="13"/>
      <c r="S268" s="21">
        <v>40360</v>
      </c>
      <c r="T268" s="13">
        <v>101.696</v>
      </c>
    </row>
    <row r="269" spans="10:20">
      <c r="J269" s="34"/>
      <c r="K269" s="46">
        <v>41548</v>
      </c>
      <c r="L269" s="13">
        <v>101.896</v>
      </c>
      <c r="M269" s="13"/>
      <c r="N269" s="21"/>
      <c r="O269" s="13"/>
      <c r="Q269" s="21"/>
      <c r="R269" s="13"/>
      <c r="S269" s="21">
        <v>40452</v>
      </c>
      <c r="T269" s="13">
        <v>102.23699999999999</v>
      </c>
    </row>
    <row r="270" spans="10:20">
      <c r="J270" s="34"/>
      <c r="K270" s="46">
        <v>41640</v>
      </c>
      <c r="L270" s="13">
        <v>102.386</v>
      </c>
      <c r="M270" s="13"/>
      <c r="N270" s="21"/>
      <c r="O270" s="13"/>
      <c r="Q270" s="21"/>
      <c r="R270" s="13"/>
      <c r="S270" s="21">
        <v>40544</v>
      </c>
      <c r="T270" s="13">
        <v>103.002</v>
      </c>
    </row>
    <row r="271" spans="10:20">
      <c r="J271" s="34"/>
      <c r="K271" s="46">
        <v>41730</v>
      </c>
      <c r="L271" s="13">
        <v>102.899</v>
      </c>
      <c r="M271" s="13"/>
      <c r="N271" s="21"/>
      <c r="O271" s="13"/>
      <c r="Q271" s="21"/>
      <c r="R271" s="13"/>
      <c r="S271" s="21">
        <v>40634</v>
      </c>
      <c r="T271" s="13">
        <v>104.04300000000001</v>
      </c>
    </row>
    <row r="272" spans="10:20">
      <c r="J272" s="34"/>
      <c r="K272" s="46">
        <v>41821</v>
      </c>
      <c r="L272" s="13">
        <v>103.19</v>
      </c>
      <c r="M272" s="13"/>
      <c r="S272" s="21">
        <v>40725</v>
      </c>
      <c r="T272" s="13">
        <v>104.595</v>
      </c>
    </row>
    <row r="273" spans="10:20">
      <c r="J273" s="34"/>
      <c r="K273" s="46">
        <v>41913</v>
      </c>
      <c r="L273" s="13">
        <v>103.071</v>
      </c>
      <c r="M273" s="13"/>
      <c r="S273" s="21">
        <v>40817</v>
      </c>
      <c r="T273" s="13">
        <v>104.956</v>
      </c>
    </row>
    <row r="274" spans="10:20">
      <c r="J274" s="34"/>
      <c r="K274" s="46">
        <v>42005</v>
      </c>
      <c r="L274" s="13">
        <v>102.643</v>
      </c>
      <c r="M274" s="13"/>
      <c r="S274" s="21">
        <v>40909</v>
      </c>
      <c r="T274" s="13">
        <v>105.563</v>
      </c>
    </row>
    <row r="275" spans="10:20">
      <c r="J275" s="34"/>
      <c r="K275" s="46">
        <v>42095</v>
      </c>
      <c r="L275" s="13">
        <v>103.14100000000001</v>
      </c>
      <c r="M275" s="13"/>
      <c r="S275" s="21">
        <v>41000</v>
      </c>
      <c r="T275" s="13">
        <v>105.88500000000001</v>
      </c>
    </row>
    <row r="276" spans="10:20">
      <c r="J276" s="34"/>
      <c r="K276" s="46">
        <v>42186</v>
      </c>
      <c r="L276" s="13">
        <v>103.39</v>
      </c>
      <c r="M276" s="13"/>
      <c r="S276" s="21">
        <v>41091</v>
      </c>
      <c r="T276" s="13">
        <v>106.232</v>
      </c>
    </row>
    <row r="277" spans="10:20">
      <c r="J277" s="34"/>
      <c r="K277" s="46">
        <v>42278</v>
      </c>
      <c r="L277" s="13">
        <v>103.288</v>
      </c>
      <c r="M277" s="13"/>
      <c r="S277" s="21">
        <v>41183</v>
      </c>
      <c r="T277" s="13">
        <v>106.804</v>
      </c>
    </row>
    <row r="278" spans="10:20">
      <c r="J278" s="34"/>
      <c r="K278" s="46">
        <v>42370</v>
      </c>
      <c r="L278" s="13">
        <v>103.343</v>
      </c>
      <c r="M278" s="13"/>
      <c r="S278" s="21">
        <v>41275</v>
      </c>
      <c r="T278" s="13">
        <v>107.166</v>
      </c>
    </row>
    <row r="279" spans="10:20">
      <c r="J279" s="34"/>
      <c r="K279" s="46">
        <v>42461</v>
      </c>
      <c r="L279" s="13">
        <v>103.992</v>
      </c>
      <c r="M279" s="13"/>
      <c r="S279" s="21">
        <v>41365</v>
      </c>
      <c r="T279" s="13">
        <v>107.28400000000001</v>
      </c>
    </row>
    <row r="280" spans="10:20">
      <c r="J280" s="35"/>
      <c r="K280" s="46">
        <v>42552</v>
      </c>
      <c r="L280" s="13">
        <v>104.38200000000001</v>
      </c>
      <c r="M280" s="13"/>
      <c r="S280" s="21">
        <v>41456</v>
      </c>
      <c r="T280" s="13">
        <v>107.72799999999999</v>
      </c>
    </row>
    <row r="281" spans="10:20">
      <c r="J281" s="35"/>
      <c r="K281" s="46">
        <v>42644</v>
      </c>
      <c r="L281" s="13">
        <v>104.876</v>
      </c>
      <c r="M281" s="13"/>
      <c r="S281" s="21">
        <v>41548</v>
      </c>
      <c r="T281" s="13">
        <v>108.108</v>
      </c>
    </row>
    <row r="282" spans="10:20">
      <c r="J282" s="35"/>
      <c r="K282" s="46">
        <v>42736</v>
      </c>
      <c r="L282" s="13">
        <v>105.497</v>
      </c>
      <c r="M282" s="13"/>
      <c r="S282" s="21">
        <v>41640</v>
      </c>
      <c r="T282" s="13">
        <v>108.54</v>
      </c>
    </row>
    <row r="283" spans="10:20">
      <c r="J283" s="35"/>
      <c r="K283" s="46">
        <v>42826</v>
      </c>
      <c r="L283" s="13">
        <v>105.758</v>
      </c>
      <c r="M283" s="13"/>
      <c r="S283" s="21">
        <v>41730</v>
      </c>
      <c r="T283" s="13">
        <v>109.117</v>
      </c>
    </row>
    <row r="284" spans="10:20">
      <c r="J284" s="35"/>
      <c r="K284" s="46">
        <v>42917</v>
      </c>
      <c r="L284" s="13">
        <v>106.142</v>
      </c>
      <c r="M284" s="13"/>
      <c r="S284" s="21">
        <v>41821</v>
      </c>
      <c r="T284" s="13">
        <v>109.441</v>
      </c>
    </row>
    <row r="285" spans="10:20">
      <c r="J285" s="35"/>
      <c r="K285" s="46">
        <v>43009</v>
      </c>
      <c r="L285" s="13">
        <v>106.818</v>
      </c>
      <c r="M285" s="13"/>
      <c r="S285" s="21">
        <v>41913</v>
      </c>
      <c r="T285" s="13">
        <v>109.322</v>
      </c>
    </row>
    <row r="286" spans="10:20">
      <c r="J286" s="35"/>
      <c r="K286" s="46">
        <v>43101</v>
      </c>
      <c r="L286" s="13">
        <v>107.58799999999999</v>
      </c>
      <c r="M286" s="13"/>
      <c r="S286" s="21">
        <v>42005</v>
      </c>
      <c r="T286" s="13">
        <v>108.795</v>
      </c>
    </row>
    <row r="287" spans="10:20">
      <c r="J287" s="35"/>
      <c r="K287" s="46">
        <v>43191</v>
      </c>
      <c r="L287" s="13">
        <v>108.166</v>
      </c>
      <c r="M287" s="13"/>
      <c r="S287" s="21">
        <v>42095</v>
      </c>
      <c r="T287" s="13">
        <v>109.39100000000001</v>
      </c>
    </row>
    <row r="288" spans="10:20">
      <c r="J288" s="35"/>
      <c r="K288" s="46">
        <v>43282</v>
      </c>
      <c r="L288" s="13">
        <v>108.55200000000001</v>
      </c>
      <c r="M288" s="13"/>
    </row>
    <row r="289" spans="10:13">
      <c r="J289" s="35"/>
      <c r="K289" s="46">
        <v>43374</v>
      </c>
      <c r="L289" s="13">
        <v>108.961</v>
      </c>
      <c r="M289" s="13"/>
    </row>
    <row r="290" spans="10:13">
      <c r="J290" s="35"/>
      <c r="K290" s="46">
        <v>43466</v>
      </c>
      <c r="L290" s="13">
        <v>109.188</v>
      </c>
      <c r="M290" s="13"/>
    </row>
    <row r="291" spans="10:13">
      <c r="J291" s="35"/>
      <c r="K291" s="46">
        <v>43556</v>
      </c>
      <c r="L291" s="13">
        <v>109.857</v>
      </c>
      <c r="M291" s="13"/>
    </row>
    <row r="292" spans="10:13">
      <c r="J292" s="35"/>
      <c r="K292" s="46">
        <v>43647</v>
      </c>
      <c r="L292" s="13">
        <v>110.14400000000001</v>
      </c>
      <c r="M292" s="13"/>
    </row>
    <row r="293" spans="10:13">
      <c r="J293" s="35"/>
      <c r="K293" s="46">
        <v>43739</v>
      </c>
      <c r="L293" s="13">
        <v>110.54300000000001</v>
      </c>
      <c r="M293" s="13"/>
    </row>
    <row r="294" spans="10:13">
      <c r="J294" s="35"/>
      <c r="K294" s="46">
        <v>43831</v>
      </c>
      <c r="L294" s="13">
        <v>110.946</v>
      </c>
      <c r="M294" s="13"/>
    </row>
    <row r="295" spans="10:13">
      <c r="J295" s="35"/>
      <c r="K295" s="46">
        <v>43922</v>
      </c>
      <c r="L295" s="13">
        <v>110.44499999999999</v>
      </c>
      <c r="M295" s="13"/>
    </row>
    <row r="296" spans="10:13">
      <c r="K296" s="46">
        <v>44013</v>
      </c>
      <c r="L296" s="13">
        <v>111.366</v>
      </c>
      <c r="M296" s="13"/>
    </row>
    <row r="297" spans="10:13">
      <c r="K297" s="46">
        <v>44105</v>
      </c>
      <c r="L297" s="13">
        <v>111.821</v>
      </c>
      <c r="M297" s="13"/>
    </row>
    <row r="298" spans="10:13">
      <c r="K298" s="46">
        <v>44197</v>
      </c>
      <c r="L298" s="13">
        <v>113.059</v>
      </c>
      <c r="M298" s="13"/>
    </row>
    <row r="299" spans="10:13">
      <c r="K299" s="46">
        <v>44287</v>
      </c>
      <c r="L299" s="13">
        <v>114.83799999999999</v>
      </c>
      <c r="M299" s="13"/>
    </row>
    <row r="300" spans="10:13">
      <c r="K300" s="46">
        <v>44378</v>
      </c>
      <c r="L300" s="13">
        <v>116.413</v>
      </c>
      <c r="M300" s="13"/>
    </row>
    <row r="301" spans="10:13">
      <c r="K301" s="46">
        <v>44470</v>
      </c>
      <c r="L301" s="13">
        <v>118.173</v>
      </c>
      <c r="M301" s="13"/>
    </row>
    <row r="302" spans="10:13">
      <c r="K302" s="46">
        <v>44562</v>
      </c>
      <c r="L302" s="13">
        <v>120.32299999999999</v>
      </c>
      <c r="M302" s="13"/>
    </row>
    <row r="303" spans="10:13">
      <c r="K303" s="46">
        <v>44652</v>
      </c>
      <c r="L303" s="13">
        <v>122.459</v>
      </c>
      <c r="M303" s="13"/>
    </row>
    <row r="304" spans="10:13">
      <c r="K304" s="46">
        <v>44743</v>
      </c>
      <c r="L304" s="13">
        <v>123.76</v>
      </c>
      <c r="M304" s="13"/>
    </row>
    <row r="305" spans="11:13">
      <c r="K305" s="46">
        <v>44835</v>
      </c>
      <c r="L305" s="13">
        <v>124.902</v>
      </c>
      <c r="M305" s="13"/>
    </row>
    <row r="306" spans="11:13">
      <c r="K306" s="46">
        <v>44927</v>
      </c>
      <c r="L306" s="13">
        <v>126.166</v>
      </c>
      <c r="M306" s="13"/>
    </row>
    <row r="307" spans="11:13">
      <c r="K307" s="46">
        <v>45017</v>
      </c>
      <c r="L307" s="13">
        <v>126.953</v>
      </c>
      <c r="M307" s="13"/>
    </row>
  </sheetData>
  <phoneticPr fontId="2" type="noConversion"/>
  <hyperlinks>
    <hyperlink ref="D1" r:id="rId1" xr:uid="{00000000-0004-0000-0300-000000000000}"/>
  </hyperlinks>
  <pageMargins left="0.75" right="0.75" top="1" bottom="1" header="0.5" footer="0.5"/>
  <pageSetup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0"/>
  <sheetViews>
    <sheetView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E80" sqref="E80"/>
    </sheetView>
  </sheetViews>
  <sheetFormatPr defaultRowHeight="12.75"/>
  <sheetData>
    <row r="1" spans="1:19">
      <c r="A1" t="s">
        <v>0</v>
      </c>
      <c r="B1" t="s">
        <v>14</v>
      </c>
      <c r="C1" t="s">
        <v>45</v>
      </c>
      <c r="D1" t="s">
        <v>36</v>
      </c>
      <c r="E1" t="s">
        <v>40</v>
      </c>
      <c r="F1" t="s">
        <v>39</v>
      </c>
      <c r="G1" t="s">
        <v>41</v>
      </c>
      <c r="H1" t="s">
        <v>42</v>
      </c>
      <c r="I1" t="s">
        <v>43</v>
      </c>
      <c r="J1" t="s">
        <v>41</v>
      </c>
      <c r="K1" t="s">
        <v>15</v>
      </c>
      <c r="L1" t="s">
        <v>46</v>
      </c>
      <c r="M1" t="s">
        <v>37</v>
      </c>
      <c r="N1" t="s">
        <v>44</v>
      </c>
      <c r="O1" t="s">
        <v>13</v>
      </c>
      <c r="P1" t="s">
        <v>47</v>
      </c>
      <c r="Q1" t="s">
        <v>38</v>
      </c>
    </row>
    <row r="2" spans="1:19">
      <c r="A2">
        <v>1947</v>
      </c>
      <c r="B2" s="2">
        <f>PCE!D3</f>
        <v>12.49225</v>
      </c>
      <c r="C2" s="2">
        <f>+'CPI-U-RS'!D7</f>
        <v>37.5</v>
      </c>
      <c r="D2" s="2">
        <v>22.3</v>
      </c>
      <c r="E2">
        <f t="shared" ref="E2:E33" si="0">+C$22/C2</f>
        <v>1.496</v>
      </c>
      <c r="F2">
        <f t="shared" ref="F2:F33" si="1">+D$22/D2</f>
        <v>1.4977578475336322</v>
      </c>
      <c r="G2">
        <f t="shared" ref="G2:G33" si="2">+E2/F2</f>
        <v>0.99882634730538933</v>
      </c>
      <c r="H2">
        <f>+C$33/C2</f>
        <v>2.7840000000000003</v>
      </c>
      <c r="I2">
        <f>+D$33/D2</f>
        <v>2.9237668161434978</v>
      </c>
      <c r="J2">
        <f t="shared" ref="J2:J33" si="3">+H2/I2</f>
        <v>0.95219631901840496</v>
      </c>
      <c r="K2" s="2">
        <f>+B2/B$39</f>
        <v>0.24378451690962671</v>
      </c>
      <c r="L2" s="2">
        <f>+C2/C$39</f>
        <v>0.23408239700374533</v>
      </c>
      <c r="M2" s="2">
        <f>+D2/D$39</f>
        <v>0.21462945139557266</v>
      </c>
      <c r="N2" s="2">
        <v>0</v>
      </c>
      <c r="O2" s="2">
        <f>+B$39/B2</f>
        <v>4.1019832296023528</v>
      </c>
      <c r="P2" s="2">
        <f>+C$39/C2</f>
        <v>4.2719999999999994</v>
      </c>
      <c r="Q2" s="2">
        <f>+D$39/D2</f>
        <v>4.6591928251121075</v>
      </c>
      <c r="R2">
        <v>0</v>
      </c>
      <c r="S2">
        <f>+ROUND(J2,4)</f>
        <v>0.95220000000000005</v>
      </c>
    </row>
    <row r="3" spans="1:19">
      <c r="A3">
        <v>1948</v>
      </c>
      <c r="B3" s="2">
        <f>PCE!D4</f>
        <v>13.1995</v>
      </c>
      <c r="C3" s="2">
        <f>+'CPI-U-RS'!D8</f>
        <v>40.5</v>
      </c>
      <c r="D3" s="2">
        <v>24.1</v>
      </c>
      <c r="E3">
        <f t="shared" si="0"/>
        <v>1.3851851851851853</v>
      </c>
      <c r="F3">
        <f t="shared" si="1"/>
        <v>1.3858921161825726</v>
      </c>
      <c r="G3">
        <f t="shared" si="2"/>
        <v>0.99948990907074753</v>
      </c>
      <c r="H3">
        <f t="shared" ref="H3:H60" si="4">+C$33/C3</f>
        <v>2.5777777777777779</v>
      </c>
      <c r="I3">
        <f t="shared" ref="I3:I60" si="5">+D$33/D3</f>
        <v>2.7053941908713695</v>
      </c>
      <c r="J3">
        <f t="shared" si="3"/>
        <v>0.95282890252215402</v>
      </c>
      <c r="K3" s="2">
        <f t="shared" ref="K3:K59" si="6">+B3/$B$39</f>
        <v>0.25758640204515743</v>
      </c>
      <c r="L3" s="2">
        <f t="shared" ref="L3:M60" si="7">+C3/C$39</f>
        <v>0.25280898876404495</v>
      </c>
      <c r="M3" s="2">
        <f t="shared" si="7"/>
        <v>0.23195380173243504</v>
      </c>
      <c r="N3" s="2">
        <v>0</v>
      </c>
      <c r="O3" s="2">
        <f t="shared" ref="O3:O60" si="8">+B$39/B3</f>
        <v>3.8821925072919425</v>
      </c>
      <c r="P3" s="2">
        <f t="shared" ref="P3:Q59" si="9">+C$39/C3</f>
        <v>3.9555555555555553</v>
      </c>
      <c r="Q3" s="2">
        <f t="shared" si="9"/>
        <v>4.3112033195020745</v>
      </c>
      <c r="R3">
        <v>0</v>
      </c>
      <c r="S3">
        <f t="shared" ref="S3:S60" si="10">+ROUND(J3,4)</f>
        <v>0.95279999999999998</v>
      </c>
    </row>
    <row r="4" spans="1:19">
      <c r="A4">
        <v>1949</v>
      </c>
      <c r="B4" s="2">
        <f>PCE!D5</f>
        <v>13.095749999999999</v>
      </c>
      <c r="C4" s="2">
        <f>+'CPI-U-RS'!D9</f>
        <v>40</v>
      </c>
      <c r="D4" s="2">
        <v>23.8</v>
      </c>
      <c r="E4">
        <f t="shared" si="0"/>
        <v>1.4025000000000001</v>
      </c>
      <c r="F4">
        <f t="shared" si="1"/>
        <v>1.403361344537815</v>
      </c>
      <c r="G4">
        <f t="shared" si="2"/>
        <v>0.99938622754491035</v>
      </c>
      <c r="H4">
        <f t="shared" si="4"/>
        <v>2.6100000000000003</v>
      </c>
      <c r="I4">
        <f t="shared" si="5"/>
        <v>2.7394957983193278</v>
      </c>
      <c r="J4">
        <f t="shared" si="3"/>
        <v>0.9527300613496934</v>
      </c>
      <c r="K4" s="2">
        <f t="shared" si="6"/>
        <v>0.25556173526140158</v>
      </c>
      <c r="L4" s="2">
        <f t="shared" si="7"/>
        <v>0.24968789013732837</v>
      </c>
      <c r="M4" s="2">
        <f t="shared" si="7"/>
        <v>0.22906641000962463</v>
      </c>
      <c r="N4" s="2">
        <v>0</v>
      </c>
      <c r="O4" s="2">
        <f t="shared" si="8"/>
        <v>3.9129488574537539</v>
      </c>
      <c r="P4" s="2">
        <f t="shared" si="9"/>
        <v>4.0049999999999999</v>
      </c>
      <c r="Q4" s="2">
        <f t="shared" si="9"/>
        <v>4.3655462184873954</v>
      </c>
      <c r="R4">
        <v>0</v>
      </c>
      <c r="S4">
        <f t="shared" si="10"/>
        <v>0.95269999999999999</v>
      </c>
    </row>
    <row r="5" spans="1:19">
      <c r="A5">
        <v>1950</v>
      </c>
      <c r="B5" s="2">
        <f>PCE!D6</f>
        <v>13.251749999999999</v>
      </c>
      <c r="C5" s="2">
        <f>+'CPI-U-RS'!D10</f>
        <v>40.5</v>
      </c>
      <c r="D5" s="2">
        <v>24.1</v>
      </c>
      <c r="E5">
        <f t="shared" si="0"/>
        <v>1.3851851851851853</v>
      </c>
      <c r="F5">
        <f t="shared" si="1"/>
        <v>1.3858921161825726</v>
      </c>
      <c r="G5">
        <f t="shared" si="2"/>
        <v>0.99948990907074753</v>
      </c>
      <c r="H5">
        <f t="shared" si="4"/>
        <v>2.5777777777777779</v>
      </c>
      <c r="I5">
        <f t="shared" si="5"/>
        <v>2.7053941908713695</v>
      </c>
      <c r="J5">
        <f t="shared" si="3"/>
        <v>0.95282890252215402</v>
      </c>
      <c r="K5" s="2">
        <f t="shared" si="6"/>
        <v>0.25860605350974769</v>
      </c>
      <c r="L5" s="2">
        <f t="shared" si="7"/>
        <v>0.25280898876404495</v>
      </c>
      <c r="M5" s="2">
        <f t="shared" si="7"/>
        <v>0.23195380173243504</v>
      </c>
      <c r="N5" s="2">
        <v>0.25187969924812031</v>
      </c>
      <c r="O5" s="2">
        <f t="shared" si="8"/>
        <v>3.8668855056879279</v>
      </c>
      <c r="P5" s="2">
        <f t="shared" si="9"/>
        <v>3.9555555555555553</v>
      </c>
      <c r="Q5" s="2">
        <f t="shared" si="9"/>
        <v>4.3112033195020745</v>
      </c>
      <c r="R5">
        <v>0</v>
      </c>
      <c r="S5">
        <f t="shared" si="10"/>
        <v>0.95279999999999998</v>
      </c>
    </row>
    <row r="6" spans="1:19">
      <c r="A6">
        <v>1951</v>
      </c>
      <c r="B6" s="2">
        <f>PCE!D7</f>
        <v>14.154499999999999</v>
      </c>
      <c r="C6" s="2">
        <f>+'CPI-U-RS'!D11</f>
        <v>43.7</v>
      </c>
      <c r="D6" s="2">
        <v>26</v>
      </c>
      <c r="E6">
        <f t="shared" si="0"/>
        <v>1.2837528604118993</v>
      </c>
      <c r="F6">
        <f t="shared" si="1"/>
        <v>1.2846153846153845</v>
      </c>
      <c r="G6">
        <f t="shared" si="2"/>
        <v>0.99932857397333485</v>
      </c>
      <c r="H6">
        <f t="shared" si="4"/>
        <v>2.389016018306636</v>
      </c>
      <c r="I6">
        <f t="shared" si="5"/>
        <v>2.5076923076923077</v>
      </c>
      <c r="J6">
        <f t="shared" si="3"/>
        <v>0.95267509932473216</v>
      </c>
      <c r="K6" s="2">
        <f t="shared" si="6"/>
        <v>0.2762230938859942</v>
      </c>
      <c r="L6" s="2">
        <f t="shared" si="7"/>
        <v>0.27278401997503127</v>
      </c>
      <c r="M6" s="2">
        <f t="shared" si="7"/>
        <v>0.25024061597690084</v>
      </c>
      <c r="N6" s="2">
        <v>0.27255639097744355</v>
      </c>
      <c r="O6" s="2">
        <f t="shared" si="8"/>
        <v>3.6202621074569925</v>
      </c>
      <c r="P6" s="2">
        <f t="shared" si="9"/>
        <v>3.6659038901601826</v>
      </c>
      <c r="Q6" s="2">
        <f t="shared" si="9"/>
        <v>3.9961538461538462</v>
      </c>
      <c r="R6">
        <v>0</v>
      </c>
      <c r="S6">
        <f t="shared" si="10"/>
        <v>0.95269999999999999</v>
      </c>
    </row>
    <row r="7" spans="1:19">
      <c r="A7">
        <v>1952</v>
      </c>
      <c r="B7" s="2">
        <f>PCE!D8</f>
        <v>14.444749999999999</v>
      </c>
      <c r="C7" s="2">
        <f>+'CPI-U-RS'!D12</f>
        <v>44.5</v>
      </c>
      <c r="D7" s="2">
        <v>26.5</v>
      </c>
      <c r="E7">
        <f t="shared" si="0"/>
        <v>1.2606741573033708</v>
      </c>
      <c r="F7">
        <f t="shared" si="1"/>
        <v>1.260377358490566</v>
      </c>
      <c r="G7">
        <f t="shared" si="2"/>
        <v>1.0002354840880039</v>
      </c>
      <c r="H7">
        <f t="shared" si="4"/>
        <v>2.3460674157303374</v>
      </c>
      <c r="I7">
        <f t="shared" si="5"/>
        <v>2.4603773584905659</v>
      </c>
      <c r="J7">
        <f t="shared" si="3"/>
        <v>0.95353967050389488</v>
      </c>
      <c r="K7" s="2">
        <f t="shared" si="6"/>
        <v>0.28188728216536896</v>
      </c>
      <c r="L7" s="2">
        <f t="shared" si="7"/>
        <v>0.27777777777777779</v>
      </c>
      <c r="M7" s="2">
        <f t="shared" si="7"/>
        <v>0.2550529355149182</v>
      </c>
      <c r="N7" s="2">
        <v>0.27631578947368418</v>
      </c>
      <c r="O7" s="2">
        <f t="shared" si="8"/>
        <v>3.5475172640578756</v>
      </c>
      <c r="P7" s="2">
        <f t="shared" si="9"/>
        <v>3.5999999999999996</v>
      </c>
      <c r="Q7" s="2">
        <f t="shared" si="9"/>
        <v>3.9207547169811323</v>
      </c>
      <c r="R7">
        <v>0</v>
      </c>
      <c r="S7">
        <f t="shared" si="10"/>
        <v>0.95350000000000001</v>
      </c>
    </row>
    <row r="8" spans="1:19">
      <c r="A8">
        <v>1953</v>
      </c>
      <c r="B8" s="2">
        <f>PCE!D9</f>
        <v>14.634500000000003</v>
      </c>
      <c r="C8" s="2">
        <f>+'CPI-U-RS'!D13</f>
        <v>44.8</v>
      </c>
      <c r="D8" s="2">
        <v>26.7</v>
      </c>
      <c r="E8">
        <f t="shared" si="0"/>
        <v>1.252232142857143</v>
      </c>
      <c r="F8">
        <f t="shared" si="1"/>
        <v>1.2509363295880149</v>
      </c>
      <c r="G8">
        <f t="shared" si="2"/>
        <v>1.0010358746792132</v>
      </c>
      <c r="H8">
        <f t="shared" si="4"/>
        <v>2.3303571428571432</v>
      </c>
      <c r="I8">
        <f t="shared" si="5"/>
        <v>2.4419475655430714</v>
      </c>
      <c r="J8">
        <f t="shared" si="3"/>
        <v>0.95430269500438225</v>
      </c>
      <c r="K8" s="2">
        <f t="shared" si="6"/>
        <v>0.28559022695782849</v>
      </c>
      <c r="L8" s="2">
        <f t="shared" si="7"/>
        <v>0.27965043695380776</v>
      </c>
      <c r="M8" s="2">
        <f t="shared" si="7"/>
        <v>0.25697786333012512</v>
      </c>
      <c r="N8" s="2">
        <v>0.2781954887218045</v>
      </c>
      <c r="O8" s="2">
        <f t="shared" si="8"/>
        <v>3.501520379924151</v>
      </c>
      <c r="P8" s="2">
        <f t="shared" si="9"/>
        <v>3.5758928571428572</v>
      </c>
      <c r="Q8" s="2">
        <f t="shared" si="9"/>
        <v>3.8913857677902626</v>
      </c>
      <c r="R8">
        <v>0</v>
      </c>
      <c r="S8">
        <f t="shared" si="10"/>
        <v>0.95430000000000004</v>
      </c>
    </row>
    <row r="9" spans="1:19">
      <c r="A9">
        <v>1954</v>
      </c>
      <c r="B9" s="2">
        <f>PCE!D10</f>
        <v>14.757999999999999</v>
      </c>
      <c r="C9" s="2">
        <f>+'CPI-U-RS'!D14</f>
        <v>45.2</v>
      </c>
      <c r="D9" s="2">
        <v>26.9</v>
      </c>
      <c r="E9">
        <f t="shared" si="0"/>
        <v>1.2411504424778761</v>
      </c>
      <c r="F9">
        <f t="shared" si="1"/>
        <v>1.241635687732342</v>
      </c>
      <c r="G9">
        <f t="shared" si="2"/>
        <v>0.99960918870224147</v>
      </c>
      <c r="H9">
        <f t="shared" si="4"/>
        <v>2.3097345132743361</v>
      </c>
      <c r="I9">
        <f t="shared" si="5"/>
        <v>2.4237918215613385</v>
      </c>
      <c r="J9">
        <f t="shared" si="3"/>
        <v>0.95294261360551591</v>
      </c>
      <c r="K9" s="2">
        <f t="shared" si="6"/>
        <v>0.28800031223776906</v>
      </c>
      <c r="L9" s="2">
        <f t="shared" si="7"/>
        <v>0.28214731585518105</v>
      </c>
      <c r="M9" s="2">
        <f t="shared" si="7"/>
        <v>0.25890279114533205</v>
      </c>
      <c r="N9" s="2">
        <v>0.28195488721804507</v>
      </c>
      <c r="O9" s="2">
        <f t="shared" si="8"/>
        <v>3.4722184577856079</v>
      </c>
      <c r="P9" s="2">
        <f t="shared" si="9"/>
        <v>3.5442477876106189</v>
      </c>
      <c r="Q9" s="2">
        <f t="shared" si="9"/>
        <v>3.8624535315985136</v>
      </c>
      <c r="R9">
        <v>0</v>
      </c>
      <c r="S9">
        <f t="shared" si="10"/>
        <v>0.95289999999999997</v>
      </c>
    </row>
    <row r="10" spans="1:19">
      <c r="A10">
        <v>1955</v>
      </c>
      <c r="B10" s="2">
        <f>PCE!D11</f>
        <v>14.8155</v>
      </c>
      <c r="C10" s="2">
        <f>+'CPI-U-RS'!D15</f>
        <v>45</v>
      </c>
      <c r="D10" s="2">
        <v>26.8</v>
      </c>
      <c r="E10">
        <f t="shared" si="0"/>
        <v>1.2466666666666666</v>
      </c>
      <c r="F10">
        <f t="shared" si="1"/>
        <v>1.2462686567164178</v>
      </c>
      <c r="G10">
        <f t="shared" si="2"/>
        <v>1.000319361277445</v>
      </c>
      <c r="H10">
        <f t="shared" si="4"/>
        <v>2.3200000000000003</v>
      </c>
      <c r="I10">
        <f t="shared" si="5"/>
        <v>2.4328358208955225</v>
      </c>
      <c r="J10">
        <f t="shared" si="3"/>
        <v>0.95361963190184051</v>
      </c>
      <c r="K10" s="2">
        <f t="shared" si="6"/>
        <v>0.28912241672033256</v>
      </c>
      <c r="L10" s="2">
        <f t="shared" si="7"/>
        <v>0.2808988764044944</v>
      </c>
      <c r="M10" s="2">
        <f t="shared" si="7"/>
        <v>0.25794032723772858</v>
      </c>
      <c r="N10" s="2">
        <v>0.28007518796992481</v>
      </c>
      <c r="O10" s="2">
        <f t="shared" si="8"/>
        <v>3.458742533157841</v>
      </c>
      <c r="P10" s="2">
        <f t="shared" si="9"/>
        <v>3.5599999999999996</v>
      </c>
      <c r="Q10" s="2">
        <f t="shared" si="9"/>
        <v>3.8768656716417911</v>
      </c>
      <c r="R10">
        <v>0</v>
      </c>
      <c r="S10">
        <f t="shared" si="10"/>
        <v>0.9536</v>
      </c>
    </row>
    <row r="11" spans="1:19">
      <c r="A11">
        <v>1956</v>
      </c>
      <c r="B11" s="2">
        <f>PCE!D12</f>
        <v>15.110749999999999</v>
      </c>
      <c r="C11" s="2">
        <f>+'CPI-U-RS'!D16</f>
        <v>45.7</v>
      </c>
      <c r="D11" s="2">
        <v>27.2</v>
      </c>
      <c r="E11">
        <f t="shared" si="0"/>
        <v>1.2275711159737417</v>
      </c>
      <c r="F11">
        <f t="shared" si="1"/>
        <v>1.2279411764705883</v>
      </c>
      <c r="G11">
        <f t="shared" si="2"/>
        <v>0.99969863336783749</v>
      </c>
      <c r="H11">
        <f t="shared" si="4"/>
        <v>2.2844638949671774</v>
      </c>
      <c r="I11">
        <f t="shared" si="5"/>
        <v>2.3970588235294121</v>
      </c>
      <c r="J11">
        <f t="shared" si="3"/>
        <v>0.95302788256299409</v>
      </c>
      <c r="K11" s="2">
        <f t="shared" si="6"/>
        <v>0.29488417930253891</v>
      </c>
      <c r="L11" s="2">
        <f t="shared" si="7"/>
        <v>0.28526841448189766</v>
      </c>
      <c r="M11" s="2">
        <f t="shared" si="7"/>
        <v>0.26179018286814243</v>
      </c>
      <c r="N11" s="2">
        <v>0.2857142857142857</v>
      </c>
      <c r="O11" s="2">
        <f t="shared" si="8"/>
        <v>3.3911619211488508</v>
      </c>
      <c r="P11" s="2">
        <f t="shared" si="9"/>
        <v>3.505470459518599</v>
      </c>
      <c r="Q11" s="2">
        <f t="shared" si="9"/>
        <v>3.819852941176471</v>
      </c>
      <c r="R11">
        <v>0</v>
      </c>
      <c r="S11">
        <f t="shared" si="10"/>
        <v>0.95299999999999996</v>
      </c>
    </row>
    <row r="12" spans="1:19">
      <c r="A12">
        <v>1957</v>
      </c>
      <c r="B12" s="2">
        <f>PCE!D13</f>
        <v>15.569749999999999</v>
      </c>
      <c r="C12" s="2">
        <f>+'CPI-U-RS'!D17</f>
        <v>47.2</v>
      </c>
      <c r="D12" s="2">
        <v>28.1</v>
      </c>
      <c r="E12">
        <f t="shared" si="0"/>
        <v>1.1885593220338984</v>
      </c>
      <c r="F12">
        <f t="shared" si="1"/>
        <v>1.1886120996441281</v>
      </c>
      <c r="G12">
        <f t="shared" si="2"/>
        <v>0.99995559728001637</v>
      </c>
      <c r="H12">
        <f t="shared" si="4"/>
        <v>2.2118644067796609</v>
      </c>
      <c r="I12">
        <f t="shared" si="5"/>
        <v>2.3202846975088969</v>
      </c>
      <c r="J12">
        <f t="shared" si="3"/>
        <v>0.9532728501611728</v>
      </c>
      <c r="K12" s="2">
        <f t="shared" si="6"/>
        <v>0.30384150030248036</v>
      </c>
      <c r="L12" s="2">
        <f t="shared" si="7"/>
        <v>0.29463171036204749</v>
      </c>
      <c r="M12" s="2">
        <f t="shared" si="7"/>
        <v>0.27045235803657364</v>
      </c>
      <c r="N12" s="2">
        <v>0.2932330827067669</v>
      </c>
      <c r="O12" s="2">
        <f t="shared" si="8"/>
        <v>3.2911896465903432</v>
      </c>
      <c r="P12" s="2">
        <f t="shared" si="9"/>
        <v>3.3940677966101691</v>
      </c>
      <c r="Q12" s="2">
        <f t="shared" si="9"/>
        <v>3.697508896797153</v>
      </c>
      <c r="R12">
        <v>0</v>
      </c>
      <c r="S12">
        <f t="shared" si="10"/>
        <v>0.95330000000000004</v>
      </c>
    </row>
    <row r="13" spans="1:19">
      <c r="A13">
        <v>1958</v>
      </c>
      <c r="B13" s="2">
        <f>PCE!D14</f>
        <v>15.93825</v>
      </c>
      <c r="C13" s="2">
        <f>+'CPI-U-RS'!D18</f>
        <v>48.5</v>
      </c>
      <c r="D13" s="2">
        <v>28.9</v>
      </c>
      <c r="E13">
        <f t="shared" si="0"/>
        <v>1.1567010309278352</v>
      </c>
      <c r="F13">
        <f t="shared" si="1"/>
        <v>1.1557093425605536</v>
      </c>
      <c r="G13">
        <f t="shared" si="2"/>
        <v>1.0008580776591149</v>
      </c>
      <c r="H13">
        <f t="shared" si="4"/>
        <v>2.1525773195876288</v>
      </c>
      <c r="I13">
        <f t="shared" si="5"/>
        <v>2.2560553633217997</v>
      </c>
      <c r="J13">
        <f t="shared" si="3"/>
        <v>0.95413319840617272</v>
      </c>
      <c r="K13" s="2">
        <f t="shared" si="6"/>
        <v>0.31103272642116975</v>
      </c>
      <c r="L13" s="2">
        <f t="shared" si="7"/>
        <v>0.30274656679151063</v>
      </c>
      <c r="M13" s="2">
        <f t="shared" si="7"/>
        <v>0.27815206929740133</v>
      </c>
      <c r="N13" s="2">
        <v>0.30263157894736842</v>
      </c>
      <c r="O13" s="2">
        <f t="shared" si="8"/>
        <v>3.2150957601995196</v>
      </c>
      <c r="P13" s="2">
        <f t="shared" si="9"/>
        <v>3.3030927835051545</v>
      </c>
      <c r="Q13" s="2">
        <f t="shared" si="9"/>
        <v>3.5951557093425608</v>
      </c>
      <c r="R13">
        <v>0</v>
      </c>
      <c r="S13">
        <f t="shared" si="10"/>
        <v>0.95409999999999995</v>
      </c>
    </row>
    <row r="14" spans="1:19">
      <c r="A14">
        <v>1959</v>
      </c>
      <c r="B14" s="2">
        <f>PCE!D15</f>
        <v>16.175750000000001</v>
      </c>
      <c r="C14" s="2">
        <f>+'CPI-U-RS'!D19</f>
        <v>48.9</v>
      </c>
      <c r="D14" s="2">
        <v>29.1</v>
      </c>
      <c r="E14">
        <f t="shared" si="0"/>
        <v>1.147239263803681</v>
      </c>
      <c r="F14">
        <f t="shared" si="1"/>
        <v>1.1477663230240549</v>
      </c>
      <c r="G14">
        <f t="shared" si="2"/>
        <v>0.99954079570919518</v>
      </c>
      <c r="H14">
        <f t="shared" si="4"/>
        <v>2.1349693251533743</v>
      </c>
      <c r="I14">
        <f t="shared" si="5"/>
        <v>2.2405498281786942</v>
      </c>
      <c r="J14">
        <f t="shared" si="3"/>
        <v>0.9528774135270428</v>
      </c>
      <c r="K14" s="2">
        <f t="shared" si="6"/>
        <v>0.31566750580567104</v>
      </c>
      <c r="L14" s="2">
        <f t="shared" si="7"/>
        <v>0.30524344569288392</v>
      </c>
      <c r="M14" s="2">
        <f t="shared" si="7"/>
        <v>0.28007699711260825</v>
      </c>
      <c r="N14" s="2">
        <v>0.30451127819548873</v>
      </c>
      <c r="O14" s="2">
        <f t="shared" si="8"/>
        <v>3.1678902060182677</v>
      </c>
      <c r="P14" s="2">
        <f t="shared" si="9"/>
        <v>3.2760736196319016</v>
      </c>
      <c r="Q14" s="2">
        <f t="shared" si="9"/>
        <v>3.5704467353951892</v>
      </c>
      <c r="R14">
        <v>0</v>
      </c>
      <c r="S14">
        <f t="shared" si="10"/>
        <v>0.95289999999999997</v>
      </c>
    </row>
    <row r="15" spans="1:19">
      <c r="A15">
        <v>1960</v>
      </c>
      <c r="B15" s="2">
        <f>PCE!D16</f>
        <v>16.44125</v>
      </c>
      <c r="C15" s="2">
        <f>+'CPI-U-RS'!D20</f>
        <v>49.7</v>
      </c>
      <c r="D15" s="2">
        <v>29.6</v>
      </c>
      <c r="E15">
        <f t="shared" si="0"/>
        <v>1.1287726358148893</v>
      </c>
      <c r="F15">
        <f t="shared" si="1"/>
        <v>1.1283783783783783</v>
      </c>
      <c r="G15">
        <f t="shared" si="2"/>
        <v>1.0003494018000216</v>
      </c>
      <c r="H15">
        <f t="shared" si="4"/>
        <v>2.1006036217303823</v>
      </c>
      <c r="I15">
        <f t="shared" si="5"/>
        <v>2.2027027027027026</v>
      </c>
      <c r="J15">
        <f t="shared" si="3"/>
        <v>0.95364826998802632</v>
      </c>
      <c r="K15" s="2">
        <f t="shared" si="6"/>
        <v>0.32084870128602933</v>
      </c>
      <c r="L15" s="2">
        <f t="shared" si="7"/>
        <v>0.3102372034956305</v>
      </c>
      <c r="M15" s="2">
        <f t="shared" si="7"/>
        <v>0.28488931665062561</v>
      </c>
      <c r="N15" s="2">
        <v>0.31015037593984962</v>
      </c>
      <c r="O15" s="2">
        <f t="shared" si="8"/>
        <v>3.1167338249828931</v>
      </c>
      <c r="P15" s="2">
        <f t="shared" si="9"/>
        <v>3.2233400402414483</v>
      </c>
      <c r="Q15" s="2">
        <f t="shared" si="9"/>
        <v>3.5101351351351351</v>
      </c>
      <c r="R15">
        <v>0</v>
      </c>
      <c r="S15">
        <f t="shared" si="10"/>
        <v>0.9536</v>
      </c>
    </row>
    <row r="16" spans="1:19">
      <c r="A16">
        <v>1961</v>
      </c>
      <c r="B16" s="2">
        <f>PCE!D17</f>
        <v>16.611499999999999</v>
      </c>
      <c r="C16" s="2">
        <f>+'CPI-U-RS'!D21</f>
        <v>50.2</v>
      </c>
      <c r="D16" s="2">
        <v>29.9</v>
      </c>
      <c r="E16">
        <f t="shared" si="0"/>
        <v>1.1175298804780875</v>
      </c>
      <c r="F16">
        <f t="shared" si="1"/>
        <v>1.1170568561872909</v>
      </c>
      <c r="G16">
        <f t="shared" si="2"/>
        <v>1.0004234558770904</v>
      </c>
      <c r="H16">
        <f t="shared" si="4"/>
        <v>2.0796812749003983</v>
      </c>
      <c r="I16">
        <f t="shared" si="5"/>
        <v>2.1806020066889635</v>
      </c>
      <c r="J16">
        <f t="shared" si="3"/>
        <v>0.95371886686383289</v>
      </c>
      <c r="K16" s="2">
        <f t="shared" si="6"/>
        <v>0.3241711062974455</v>
      </c>
      <c r="L16" s="2">
        <f t="shared" si="7"/>
        <v>0.31335830212234711</v>
      </c>
      <c r="M16" s="2">
        <f t="shared" si="7"/>
        <v>0.28777670837343594</v>
      </c>
      <c r="N16" s="2">
        <v>0.31203007518796994</v>
      </c>
      <c r="O16" s="2">
        <f t="shared" si="8"/>
        <v>3.084790657074918</v>
      </c>
      <c r="P16" s="2">
        <f t="shared" si="9"/>
        <v>3.1912350597609556</v>
      </c>
      <c r="Q16" s="2">
        <f t="shared" si="9"/>
        <v>3.4749163879598668</v>
      </c>
      <c r="R16">
        <v>0</v>
      </c>
      <c r="S16">
        <f t="shared" si="10"/>
        <v>0.95369999999999999</v>
      </c>
    </row>
    <row r="17" spans="1:24">
      <c r="A17">
        <v>1962</v>
      </c>
      <c r="B17" s="2">
        <f>PCE!D18</f>
        <v>16.806250000000002</v>
      </c>
      <c r="C17" s="2">
        <f>+'CPI-U-RS'!D22</f>
        <v>50.7</v>
      </c>
      <c r="D17" s="2">
        <v>30.2</v>
      </c>
      <c r="E17">
        <f t="shared" si="0"/>
        <v>1.1065088757396448</v>
      </c>
      <c r="F17">
        <f t="shared" si="1"/>
        <v>1.1059602649006621</v>
      </c>
      <c r="G17">
        <f t="shared" si="2"/>
        <v>1.0004960493214754</v>
      </c>
      <c r="H17">
        <f t="shared" si="4"/>
        <v>2.059171597633136</v>
      </c>
      <c r="I17">
        <f t="shared" si="5"/>
        <v>2.1589403973509933</v>
      </c>
      <c r="J17">
        <f t="shared" si="3"/>
        <v>0.95378807129632992</v>
      </c>
      <c r="K17" s="2">
        <f t="shared" si="6"/>
        <v>0.32797162539273667</v>
      </c>
      <c r="L17" s="2">
        <f t="shared" si="7"/>
        <v>0.31647940074906372</v>
      </c>
      <c r="M17" s="2">
        <f t="shared" si="7"/>
        <v>0.29066410009624638</v>
      </c>
      <c r="N17" s="2">
        <v>0.31578947368421051</v>
      </c>
      <c r="O17" s="2">
        <f t="shared" si="8"/>
        <v>3.0490442543696537</v>
      </c>
      <c r="P17" s="2">
        <f t="shared" si="9"/>
        <v>3.1597633136094672</v>
      </c>
      <c r="Q17" s="2">
        <f t="shared" si="9"/>
        <v>3.4403973509933778</v>
      </c>
      <c r="R17">
        <v>0</v>
      </c>
      <c r="S17">
        <f t="shared" si="10"/>
        <v>0.95379999999999998</v>
      </c>
    </row>
    <row r="18" spans="1:24">
      <c r="A18">
        <v>1963</v>
      </c>
      <c r="B18" s="2">
        <f>PCE!D19</f>
        <v>17.007250000000003</v>
      </c>
      <c r="C18" s="2">
        <f>+'CPI-U-RS'!D23</f>
        <v>51.4</v>
      </c>
      <c r="D18" s="2">
        <v>30.6</v>
      </c>
      <c r="E18">
        <f t="shared" si="0"/>
        <v>1.0914396887159534</v>
      </c>
      <c r="F18">
        <f t="shared" si="1"/>
        <v>1.0915032679738561</v>
      </c>
      <c r="G18">
        <f t="shared" si="2"/>
        <v>0.99994175073976577</v>
      </c>
      <c r="H18">
        <f t="shared" si="4"/>
        <v>2.031128404669261</v>
      </c>
      <c r="I18">
        <f t="shared" si="5"/>
        <v>2.130718954248366</v>
      </c>
      <c r="J18">
        <f t="shared" si="3"/>
        <v>0.95325965004416235</v>
      </c>
      <c r="K18" s="2">
        <f t="shared" si="6"/>
        <v>0.33189411236656724</v>
      </c>
      <c r="L18" s="2">
        <f t="shared" si="7"/>
        <v>0.32084893882646692</v>
      </c>
      <c r="M18" s="2">
        <f t="shared" si="7"/>
        <v>0.29451395572666023</v>
      </c>
      <c r="N18" s="2">
        <v>0.32142857142857145</v>
      </c>
      <c r="O18" s="2">
        <f t="shared" si="8"/>
        <v>3.0130091578591474</v>
      </c>
      <c r="P18" s="2">
        <f t="shared" si="9"/>
        <v>3.1167315175097277</v>
      </c>
      <c r="Q18" s="2">
        <f t="shared" si="9"/>
        <v>3.3954248366013071</v>
      </c>
      <c r="R18">
        <v>0</v>
      </c>
      <c r="S18">
        <f t="shared" si="10"/>
        <v>0.95330000000000004</v>
      </c>
    </row>
    <row r="19" spans="1:24">
      <c r="A19">
        <v>1964</v>
      </c>
      <c r="B19" s="2">
        <f>PCE!D20</f>
        <v>17.253499999999999</v>
      </c>
      <c r="C19" s="2">
        <f>+'CPI-U-RS'!D24</f>
        <v>52.1</v>
      </c>
      <c r="D19" s="2">
        <v>31</v>
      </c>
      <c r="E19">
        <f t="shared" si="0"/>
        <v>1.0767754318618041</v>
      </c>
      <c r="F19">
        <f t="shared" si="1"/>
        <v>1.0774193548387097</v>
      </c>
      <c r="G19">
        <f t="shared" si="2"/>
        <v>0.99940234693760266</v>
      </c>
      <c r="H19">
        <f t="shared" si="4"/>
        <v>2.0038387715930903</v>
      </c>
      <c r="I19">
        <f t="shared" si="5"/>
        <v>2.1032258064516132</v>
      </c>
      <c r="J19">
        <f t="shared" si="3"/>
        <v>0.95274542821143848</v>
      </c>
      <c r="K19" s="2">
        <f t="shared" si="6"/>
        <v>0.33669964678102376</v>
      </c>
      <c r="L19" s="2">
        <f t="shared" si="7"/>
        <v>0.32521847690387018</v>
      </c>
      <c r="M19" s="2">
        <f t="shared" si="7"/>
        <v>0.29836381135707407</v>
      </c>
      <c r="N19" s="2">
        <v>0.32518796992481197</v>
      </c>
      <c r="O19" s="2">
        <f t="shared" si="8"/>
        <v>2.9700060857217374</v>
      </c>
      <c r="P19" s="2">
        <f t="shared" si="9"/>
        <v>3.0748560460652588</v>
      </c>
      <c r="Q19" s="2">
        <f t="shared" si="9"/>
        <v>3.3516129032258068</v>
      </c>
      <c r="R19">
        <v>0</v>
      </c>
      <c r="S19">
        <f t="shared" si="10"/>
        <v>0.95269999999999999</v>
      </c>
    </row>
    <row r="20" spans="1:24">
      <c r="A20">
        <v>1965</v>
      </c>
      <c r="B20" s="2">
        <f>PCE!D21</f>
        <v>17.502000000000002</v>
      </c>
      <c r="C20" s="2">
        <f>+'CPI-U-RS'!D25</f>
        <v>52.9</v>
      </c>
      <c r="D20" s="2">
        <v>31.5</v>
      </c>
      <c r="E20">
        <f t="shared" si="0"/>
        <v>1.060491493383743</v>
      </c>
      <c r="F20">
        <f t="shared" si="1"/>
        <v>1.0603174603174603</v>
      </c>
      <c r="G20">
        <f t="shared" si="2"/>
        <v>1.0001641329816737</v>
      </c>
      <c r="H20">
        <f t="shared" si="4"/>
        <v>1.9735349716446127</v>
      </c>
      <c r="I20">
        <f t="shared" si="5"/>
        <v>2.06984126984127</v>
      </c>
      <c r="J20">
        <f t="shared" si="3"/>
        <v>0.95347165041112414</v>
      </c>
      <c r="K20" s="2">
        <f t="shared" si="6"/>
        <v>0.34154908963175468</v>
      </c>
      <c r="L20" s="2">
        <f t="shared" si="7"/>
        <v>0.33021223470661676</v>
      </c>
      <c r="M20" s="2">
        <f t="shared" si="7"/>
        <v>0.30317613089509143</v>
      </c>
      <c r="N20" s="2">
        <v>0.3289473684210526</v>
      </c>
      <c r="O20" s="2">
        <f t="shared" si="8"/>
        <v>2.9278368186492965</v>
      </c>
      <c r="P20" s="2">
        <f t="shared" si="9"/>
        <v>3.0283553875236295</v>
      </c>
      <c r="Q20" s="2">
        <f t="shared" si="9"/>
        <v>3.2984126984126987</v>
      </c>
      <c r="R20">
        <v>0</v>
      </c>
      <c r="S20">
        <f t="shared" si="10"/>
        <v>0.95350000000000001</v>
      </c>
      <c r="U20">
        <f>+C35/C39</f>
        <v>0.79338327091136085</v>
      </c>
    </row>
    <row r="21" spans="1:24">
      <c r="A21">
        <v>1966</v>
      </c>
      <c r="B21" s="2">
        <f>PCE!D22</f>
        <v>17.944499999999998</v>
      </c>
      <c r="C21" s="2">
        <f>+'CPI-U-RS'!D26</f>
        <v>54.4</v>
      </c>
      <c r="D21" s="2">
        <v>32.4</v>
      </c>
      <c r="E21">
        <f t="shared" si="0"/>
        <v>1.03125</v>
      </c>
      <c r="F21">
        <f t="shared" si="1"/>
        <v>1.0308641975308641</v>
      </c>
      <c r="G21">
        <f t="shared" si="2"/>
        <v>1.000374251497006</v>
      </c>
      <c r="H21">
        <f t="shared" si="4"/>
        <v>1.9191176470588236</v>
      </c>
      <c r="I21">
        <f t="shared" si="5"/>
        <v>2.0123456790123457</v>
      </c>
      <c r="J21">
        <f t="shared" si="3"/>
        <v>0.95367195958137863</v>
      </c>
      <c r="K21" s="2">
        <f t="shared" si="6"/>
        <v>0.35018441543235174</v>
      </c>
      <c r="L21" s="2">
        <f t="shared" si="7"/>
        <v>0.33957553058676654</v>
      </c>
      <c r="M21" s="2">
        <f t="shared" si="7"/>
        <v>0.31183830606352259</v>
      </c>
      <c r="N21" s="2">
        <v>0.33834586466165412</v>
      </c>
      <c r="O21" s="2">
        <f t="shared" si="8"/>
        <v>2.8556382178383348</v>
      </c>
      <c r="P21" s="2">
        <f t="shared" si="9"/>
        <v>2.9448529411764706</v>
      </c>
      <c r="Q21" s="2">
        <f t="shared" si="9"/>
        <v>3.2067901234567904</v>
      </c>
      <c r="R21">
        <v>0</v>
      </c>
      <c r="S21">
        <f t="shared" si="10"/>
        <v>0.95369999999999999</v>
      </c>
      <c r="U21">
        <f>+L35/L39</f>
        <v>0.79338327091136085</v>
      </c>
    </row>
    <row r="22" spans="1:24">
      <c r="A22">
        <v>1967</v>
      </c>
      <c r="B22" s="2">
        <f>PCE!D23</f>
        <v>18.395250000000001</v>
      </c>
      <c r="C22" s="2">
        <f>+'CPI-U-RS'!D27</f>
        <v>56.1</v>
      </c>
      <c r="D22" s="2">
        <v>33.4</v>
      </c>
      <c r="E22">
        <f t="shared" si="0"/>
        <v>1</v>
      </c>
      <c r="F22">
        <f t="shared" si="1"/>
        <v>1</v>
      </c>
      <c r="G22">
        <f t="shared" si="2"/>
        <v>1</v>
      </c>
      <c r="H22">
        <f t="shared" si="4"/>
        <v>1.8609625668449199</v>
      </c>
      <c r="I22">
        <f t="shared" si="5"/>
        <v>1.9520958083832336</v>
      </c>
      <c r="J22">
        <f t="shared" si="3"/>
        <v>0.9533151799481645</v>
      </c>
      <c r="K22" s="2">
        <f t="shared" si="6"/>
        <v>0.3589807388326211</v>
      </c>
      <c r="L22" s="2">
        <f t="shared" si="7"/>
        <v>0.35018726591760302</v>
      </c>
      <c r="M22" s="2">
        <f t="shared" si="7"/>
        <v>0.32146294513955725</v>
      </c>
      <c r="N22" s="2">
        <v>0.34962406015037589</v>
      </c>
      <c r="O22" s="2">
        <f t="shared" si="8"/>
        <v>2.7856647775920411</v>
      </c>
      <c r="P22" s="2">
        <f t="shared" si="9"/>
        <v>2.855614973262032</v>
      </c>
      <c r="Q22" s="2">
        <f t="shared" si="9"/>
        <v>3.1107784431137726</v>
      </c>
      <c r="R22">
        <v>0</v>
      </c>
      <c r="S22">
        <f t="shared" si="10"/>
        <v>0.95330000000000004</v>
      </c>
    </row>
    <row r="23" spans="1:24">
      <c r="A23">
        <v>1968</v>
      </c>
      <c r="B23" s="2">
        <f>PCE!D24</f>
        <v>19.115250000000003</v>
      </c>
      <c r="C23" s="2">
        <f>+'CPI-U-RS'!D28</f>
        <v>58.3</v>
      </c>
      <c r="D23" s="2">
        <v>34.799999999999997</v>
      </c>
      <c r="E23">
        <f t="shared" si="0"/>
        <v>0.96226415094339635</v>
      </c>
      <c r="F23">
        <f t="shared" si="1"/>
        <v>0.95977011494252873</v>
      </c>
      <c r="G23">
        <f t="shared" si="2"/>
        <v>1.0025985764320418</v>
      </c>
      <c r="H23">
        <f t="shared" si="4"/>
        <v>1.7907375643224701</v>
      </c>
      <c r="I23">
        <f t="shared" si="5"/>
        <v>1.8735632183908049</v>
      </c>
      <c r="J23">
        <f t="shared" si="3"/>
        <v>0.95579244230708515</v>
      </c>
      <c r="K23" s="2">
        <f t="shared" si="6"/>
        <v>0.37303143844037245</v>
      </c>
      <c r="L23" s="2">
        <f t="shared" si="7"/>
        <v>0.36392009987515606</v>
      </c>
      <c r="M23" s="2">
        <f t="shared" si="7"/>
        <v>0.33493743984600571</v>
      </c>
      <c r="N23" s="2">
        <v>0.36278195488721804</v>
      </c>
      <c r="O23" s="2">
        <f t="shared" si="8"/>
        <v>2.6807392003766619</v>
      </c>
      <c r="P23" s="2">
        <f t="shared" si="9"/>
        <v>2.7478559176672386</v>
      </c>
      <c r="Q23" s="2">
        <f t="shared" si="9"/>
        <v>2.9856321839080464</v>
      </c>
      <c r="R23">
        <v>0</v>
      </c>
      <c r="S23">
        <f t="shared" si="10"/>
        <v>0.95579999999999998</v>
      </c>
    </row>
    <row r="24" spans="1:24">
      <c r="A24">
        <v>1969</v>
      </c>
      <c r="B24" s="2">
        <f>PCE!D25</f>
        <v>19.976000000000003</v>
      </c>
      <c r="C24" s="2">
        <f>+'CPI-U-RS'!D29</f>
        <v>60.9</v>
      </c>
      <c r="D24" s="2">
        <v>36.700000000000003</v>
      </c>
      <c r="E24">
        <f t="shared" si="0"/>
        <v>0.92118226600985231</v>
      </c>
      <c r="F24">
        <f t="shared" si="1"/>
        <v>0.9100817438692097</v>
      </c>
      <c r="G24">
        <f t="shared" si="2"/>
        <v>1.0121972803162151</v>
      </c>
      <c r="H24">
        <f t="shared" si="4"/>
        <v>1.7142857142857144</v>
      </c>
      <c r="I24">
        <f t="shared" si="5"/>
        <v>1.776566757493188</v>
      </c>
      <c r="J24">
        <f t="shared" si="3"/>
        <v>0.96494303242769508</v>
      </c>
      <c r="K24" s="2">
        <f t="shared" si="6"/>
        <v>0.38982885467283346</v>
      </c>
      <c r="L24" s="2">
        <f t="shared" si="7"/>
        <v>0.38014981273408244</v>
      </c>
      <c r="M24" s="2">
        <f t="shared" si="7"/>
        <v>0.35322425409047159</v>
      </c>
      <c r="N24" s="2">
        <v>0.37969924812030076</v>
      </c>
      <c r="O24" s="2">
        <f t="shared" si="8"/>
        <v>2.5652282739287138</v>
      </c>
      <c r="P24" s="2">
        <f t="shared" si="9"/>
        <v>2.6305418719211819</v>
      </c>
      <c r="Q24" s="2">
        <f t="shared" si="9"/>
        <v>2.8310626702997275</v>
      </c>
      <c r="R24">
        <v>0</v>
      </c>
      <c r="S24">
        <f t="shared" si="10"/>
        <v>0.96489999999999998</v>
      </c>
    </row>
    <row r="25" spans="1:24">
      <c r="A25">
        <v>1970</v>
      </c>
      <c r="B25" s="2">
        <f>PCE!D26</f>
        <v>20.909999999999997</v>
      </c>
      <c r="C25" s="2">
        <f>+'CPI-U-RS'!D30</f>
        <v>63.9</v>
      </c>
      <c r="D25" s="2">
        <v>38.799999999999997</v>
      </c>
      <c r="E25">
        <f t="shared" si="0"/>
        <v>0.8779342723004695</v>
      </c>
      <c r="F25">
        <f t="shared" si="1"/>
        <v>0.86082474226804129</v>
      </c>
      <c r="G25">
        <f t="shared" si="2"/>
        <v>1.0198757414747968</v>
      </c>
      <c r="H25">
        <f t="shared" si="4"/>
        <v>1.6338028169014085</v>
      </c>
      <c r="I25">
        <f t="shared" si="5"/>
        <v>1.6804123711340209</v>
      </c>
      <c r="J25">
        <f t="shared" si="3"/>
        <v>0.97226302600881354</v>
      </c>
      <c r="K25" s="2">
        <f t="shared" si="6"/>
        <v>0.4080557344417774</v>
      </c>
      <c r="L25" s="2">
        <f t="shared" si="7"/>
        <v>0.39887640449438205</v>
      </c>
      <c r="M25" s="2">
        <f t="shared" si="7"/>
        <v>0.37343599615014433</v>
      </c>
      <c r="N25" s="2">
        <v>0.39661654135338342</v>
      </c>
      <c r="O25" s="2">
        <f t="shared" si="8"/>
        <v>2.4506456241032999</v>
      </c>
      <c r="P25" s="2">
        <f t="shared" si="9"/>
        <v>2.5070422535211265</v>
      </c>
      <c r="Q25" s="2">
        <f t="shared" si="9"/>
        <v>2.677835051546392</v>
      </c>
      <c r="R25">
        <v>0</v>
      </c>
      <c r="S25">
        <f t="shared" si="10"/>
        <v>0.97230000000000005</v>
      </c>
    </row>
    <row r="26" spans="1:24">
      <c r="A26">
        <v>1971</v>
      </c>
      <c r="B26" s="2">
        <f>PCE!D27</f>
        <v>21.797999999999998</v>
      </c>
      <c r="C26" s="2">
        <f>+'CPI-U-RS'!D31</f>
        <v>66.7</v>
      </c>
      <c r="D26" s="2">
        <v>40.5</v>
      </c>
      <c r="E26">
        <f t="shared" si="0"/>
        <v>0.84107946026986502</v>
      </c>
      <c r="F26">
        <f t="shared" si="1"/>
        <v>0.82469135802469129</v>
      </c>
      <c r="G26">
        <f t="shared" si="2"/>
        <v>1.0198718006266327</v>
      </c>
      <c r="H26">
        <f t="shared" si="4"/>
        <v>1.5652173913043479</v>
      </c>
      <c r="I26">
        <f t="shared" si="5"/>
        <v>1.6098765432098767</v>
      </c>
      <c r="J26">
        <f t="shared" si="3"/>
        <v>0.97225926913843685</v>
      </c>
      <c r="K26" s="2">
        <f t="shared" si="6"/>
        <v>0.4253849306246707</v>
      </c>
      <c r="L26" s="2">
        <f t="shared" si="7"/>
        <v>0.41635455680399508</v>
      </c>
      <c r="M26" s="2">
        <f t="shared" si="7"/>
        <v>0.38979788257940323</v>
      </c>
      <c r="N26" s="2">
        <v>0.41541353383458646</v>
      </c>
      <c r="O26" s="2">
        <f t="shared" si="8"/>
        <v>2.3508120011010183</v>
      </c>
      <c r="P26" s="2">
        <f t="shared" si="9"/>
        <v>2.4017991004497747</v>
      </c>
      <c r="Q26" s="2">
        <f t="shared" si="9"/>
        <v>2.5654320987654322</v>
      </c>
      <c r="R26">
        <v>0</v>
      </c>
      <c r="S26">
        <f t="shared" si="10"/>
        <v>0.97230000000000005</v>
      </c>
    </row>
    <row r="27" spans="1:24">
      <c r="A27">
        <v>1972</v>
      </c>
      <c r="B27" s="2">
        <f>PCE!D28</f>
        <v>22.54175</v>
      </c>
      <c r="C27" s="2">
        <f>+'CPI-U-RS'!D32</f>
        <v>68.7</v>
      </c>
      <c r="D27" s="2">
        <v>41.8</v>
      </c>
      <c r="E27">
        <f t="shared" si="0"/>
        <v>0.81659388646288211</v>
      </c>
      <c r="F27">
        <f t="shared" si="1"/>
        <v>0.799043062200957</v>
      </c>
      <c r="G27">
        <f t="shared" si="2"/>
        <v>1.0219648040164213</v>
      </c>
      <c r="H27">
        <f t="shared" si="4"/>
        <v>1.5196506550218341</v>
      </c>
      <c r="I27">
        <f t="shared" si="5"/>
        <v>1.5598086124401915</v>
      </c>
      <c r="J27">
        <f t="shared" si="3"/>
        <v>0.97425456104160513</v>
      </c>
      <c r="K27" s="2">
        <f t="shared" si="6"/>
        <v>0.43989910817087219</v>
      </c>
      <c r="L27" s="2">
        <f t="shared" si="7"/>
        <v>0.42883895131086147</v>
      </c>
      <c r="M27" s="2">
        <f t="shared" si="7"/>
        <v>0.40230991337824829</v>
      </c>
      <c r="N27" s="2">
        <v>0.42669172932330829</v>
      </c>
      <c r="O27" s="2">
        <f t="shared" si="8"/>
        <v>2.2732485277318752</v>
      </c>
      <c r="P27" s="14">
        <f t="shared" si="9"/>
        <v>2.3318777292576418</v>
      </c>
      <c r="Q27" s="2">
        <f t="shared" si="9"/>
        <v>2.4856459330143545</v>
      </c>
      <c r="R27">
        <v>0</v>
      </c>
      <c r="S27">
        <f t="shared" si="10"/>
        <v>0.97430000000000005</v>
      </c>
    </row>
    <row r="28" spans="1:24">
      <c r="A28">
        <v>1973</v>
      </c>
      <c r="B28" s="2">
        <f>PCE!D29</f>
        <v>23.755499999999998</v>
      </c>
      <c r="C28" s="2">
        <f>+'CPI-U-RS'!D33</f>
        <v>73</v>
      </c>
      <c r="D28" s="2">
        <v>44.4</v>
      </c>
      <c r="E28">
        <f t="shared" si="0"/>
        <v>0.76849315068493151</v>
      </c>
      <c r="F28">
        <f t="shared" si="1"/>
        <v>0.75225225225225223</v>
      </c>
      <c r="G28">
        <f t="shared" si="2"/>
        <v>1.0215896973176934</v>
      </c>
      <c r="H28">
        <f t="shared" si="4"/>
        <v>1.43013698630137</v>
      </c>
      <c r="I28">
        <f t="shared" si="5"/>
        <v>1.4684684684684686</v>
      </c>
      <c r="J28">
        <f t="shared" si="3"/>
        <v>0.9738969661316077</v>
      </c>
      <c r="K28" s="2">
        <f t="shared" si="6"/>
        <v>0.46358527018324452</v>
      </c>
      <c r="L28" s="2">
        <f t="shared" si="7"/>
        <v>0.45568039950062428</v>
      </c>
      <c r="M28" s="2">
        <f t="shared" si="7"/>
        <v>0.42733397497593839</v>
      </c>
      <c r="N28" s="2">
        <v>0.45488721804511273</v>
      </c>
      <c r="O28" s="2">
        <f t="shared" si="8"/>
        <v>2.1571004609458861</v>
      </c>
      <c r="P28" s="2">
        <f t="shared" si="9"/>
        <v>2.1945205479452055</v>
      </c>
      <c r="Q28" s="2">
        <f t="shared" si="9"/>
        <v>2.3400900900900905</v>
      </c>
      <c r="R28">
        <v>0</v>
      </c>
      <c r="S28">
        <f t="shared" si="10"/>
        <v>0.97389999999999999</v>
      </c>
      <c r="X28">
        <f>60.6/62.1</f>
        <v>0.97584541062801933</v>
      </c>
    </row>
    <row r="29" spans="1:24">
      <c r="A29">
        <v>1974</v>
      </c>
      <c r="B29" s="2">
        <f>PCE!D30</f>
        <v>26.228750000000002</v>
      </c>
      <c r="C29" s="2">
        <f>+'CPI-U-RS'!D34</f>
        <v>80.3</v>
      </c>
      <c r="D29" s="2">
        <v>49.3</v>
      </c>
      <c r="E29">
        <f t="shared" si="0"/>
        <v>0.69863013698630139</v>
      </c>
      <c r="F29">
        <f t="shared" si="1"/>
        <v>0.67748478701825554</v>
      </c>
      <c r="G29">
        <f t="shared" si="2"/>
        <v>1.0312115495037324</v>
      </c>
      <c r="H29">
        <f t="shared" si="4"/>
        <v>1.3001245330012454</v>
      </c>
      <c r="I29">
        <f t="shared" si="5"/>
        <v>1.3225152129817446</v>
      </c>
      <c r="J29">
        <f t="shared" si="3"/>
        <v>0.98306962387977592</v>
      </c>
      <c r="K29" s="2">
        <f t="shared" si="6"/>
        <v>0.51185039907889862</v>
      </c>
      <c r="L29" s="2">
        <f t="shared" si="7"/>
        <v>0.50124843945068664</v>
      </c>
      <c r="M29" s="2">
        <f t="shared" si="7"/>
        <v>0.47449470644850811</v>
      </c>
      <c r="N29" s="2">
        <v>0.5</v>
      </c>
      <c r="O29" s="2">
        <f t="shared" si="8"/>
        <v>1.9536958490206355</v>
      </c>
      <c r="P29" s="2">
        <f t="shared" si="9"/>
        <v>1.9950186799501868</v>
      </c>
      <c r="Q29" s="2">
        <f t="shared" si="9"/>
        <v>2.1075050709939149</v>
      </c>
      <c r="R29">
        <v>0</v>
      </c>
      <c r="S29">
        <f t="shared" si="10"/>
        <v>0.98309999999999997</v>
      </c>
    </row>
    <row r="30" spans="1:24">
      <c r="A30">
        <v>1975</v>
      </c>
      <c r="B30" s="2">
        <f>PCE!D31</f>
        <v>28.414999999999999</v>
      </c>
      <c r="C30" s="2">
        <f>+'CPI-U-RS'!D35</f>
        <v>86.9</v>
      </c>
      <c r="D30" s="2">
        <v>53.8</v>
      </c>
      <c r="E30">
        <f t="shared" si="0"/>
        <v>0.64556962025316456</v>
      </c>
      <c r="F30">
        <f t="shared" si="1"/>
        <v>0.620817843866171</v>
      </c>
      <c r="G30">
        <f t="shared" si="2"/>
        <v>1.0398696278329418</v>
      </c>
      <c r="H30">
        <f t="shared" si="4"/>
        <v>1.2013808975834293</v>
      </c>
      <c r="I30">
        <f t="shared" si="5"/>
        <v>1.2118959107806693</v>
      </c>
      <c r="J30">
        <f t="shared" si="3"/>
        <v>0.99132350138019154</v>
      </c>
      <c r="K30" s="2">
        <f t="shared" si="6"/>
        <v>0.55451476299201841</v>
      </c>
      <c r="L30" s="2">
        <f t="shared" si="7"/>
        <v>0.54244694132334592</v>
      </c>
      <c r="M30" s="2">
        <f t="shared" si="7"/>
        <v>0.51780558229066409</v>
      </c>
      <c r="N30" s="2">
        <v>0.54135338345864659</v>
      </c>
      <c r="O30" s="2">
        <f t="shared" si="8"/>
        <v>1.8033784972725673</v>
      </c>
      <c r="P30" s="2">
        <f t="shared" si="9"/>
        <v>1.8434982738780206</v>
      </c>
      <c r="Q30" s="2">
        <f t="shared" si="9"/>
        <v>1.9312267657992568</v>
      </c>
      <c r="R30">
        <v>0</v>
      </c>
      <c r="S30">
        <f t="shared" si="10"/>
        <v>0.99129999999999996</v>
      </c>
    </row>
    <row r="31" spans="1:24">
      <c r="A31">
        <v>1976</v>
      </c>
      <c r="B31" s="2">
        <f>PCE!D32</f>
        <v>29.973749999999999</v>
      </c>
      <c r="C31" s="2">
        <f>+'CPI-U-RS'!D36</f>
        <v>91.9</v>
      </c>
      <c r="D31" s="2">
        <v>56.9</v>
      </c>
      <c r="E31">
        <f t="shared" si="0"/>
        <v>0.61044613710554951</v>
      </c>
      <c r="F31">
        <f t="shared" si="1"/>
        <v>0.58699472759226712</v>
      </c>
      <c r="G31">
        <f t="shared" si="2"/>
        <v>1.0399516527337056</v>
      </c>
      <c r="H31">
        <f t="shared" si="4"/>
        <v>1.1360174102285092</v>
      </c>
      <c r="I31">
        <f t="shared" si="5"/>
        <v>1.1458699472759228</v>
      </c>
      <c r="J31">
        <f t="shared" si="3"/>
        <v>0.99140169696322333</v>
      </c>
      <c r="K31" s="2">
        <f t="shared" si="6"/>
        <v>0.5849335518997717</v>
      </c>
      <c r="L31" s="2">
        <f t="shared" si="7"/>
        <v>0.57365792759051193</v>
      </c>
      <c r="M31" s="2">
        <f t="shared" si="7"/>
        <v>0.5476419634263715</v>
      </c>
      <c r="N31" s="2">
        <v>0.5714285714285714</v>
      </c>
      <c r="O31" s="2">
        <f t="shared" si="8"/>
        <v>1.7095958964093581</v>
      </c>
      <c r="P31" s="2">
        <f t="shared" si="9"/>
        <v>1.7431991294885743</v>
      </c>
      <c r="Q31" s="2">
        <f>+D$39/D31</f>
        <v>1.826010544815466</v>
      </c>
      <c r="R31">
        <v>0</v>
      </c>
      <c r="S31">
        <f t="shared" si="10"/>
        <v>0.99139999999999995</v>
      </c>
      <c r="V31">
        <f>+D32/D31</f>
        <v>1.0650263620386644</v>
      </c>
      <c r="W31">
        <f>97.7/91.9</f>
        <v>1.0631120783460282</v>
      </c>
    </row>
    <row r="32" spans="1:24">
      <c r="A32">
        <v>1977</v>
      </c>
      <c r="B32" s="2">
        <f>PCE!D33</f>
        <v>31.923250000000003</v>
      </c>
      <c r="C32" s="2">
        <f>+'CPI-U-RS'!D37</f>
        <v>97.7</v>
      </c>
      <c r="D32" s="2">
        <v>60.6</v>
      </c>
      <c r="E32">
        <f t="shared" si="0"/>
        <v>0.57420675537359267</v>
      </c>
      <c r="F32">
        <f t="shared" si="1"/>
        <v>0.55115511551155116</v>
      </c>
      <c r="G32">
        <f t="shared" si="2"/>
        <v>1.0418242328035843</v>
      </c>
      <c r="H32">
        <f t="shared" si="4"/>
        <v>1.068577277379734</v>
      </c>
      <c r="I32">
        <f t="shared" si="5"/>
        <v>1.0759075907590758</v>
      </c>
      <c r="J32">
        <f t="shared" si="3"/>
        <v>0.9931868559695074</v>
      </c>
      <c r="K32" s="2">
        <f t="shared" si="6"/>
        <v>0.62297777257381504</v>
      </c>
      <c r="L32" s="2">
        <f t="shared" si="7"/>
        <v>0.60986267166042452</v>
      </c>
      <c r="M32" s="2">
        <f t="shared" si="7"/>
        <v>0.58325312800769968</v>
      </c>
      <c r="N32" s="2">
        <v>0.60902255639097747</v>
      </c>
      <c r="O32" s="2">
        <f t="shared" si="8"/>
        <v>1.6051937067811075</v>
      </c>
      <c r="P32" s="2">
        <f t="shared" si="9"/>
        <v>1.6397134083930398</v>
      </c>
      <c r="Q32" s="2">
        <f t="shared" si="9"/>
        <v>1.7145214521452146</v>
      </c>
      <c r="R32">
        <v>0</v>
      </c>
      <c r="S32">
        <f t="shared" si="10"/>
        <v>0.99319999999999997</v>
      </c>
      <c r="U32">
        <f>(C32-C$33)/C$33</f>
        <v>-6.4176245210727997E-2</v>
      </c>
      <c r="V32">
        <f>+D33/D32</f>
        <v>1.0759075907590758</v>
      </c>
      <c r="W32">
        <f>+V32-U32</f>
        <v>1.1400838359698038</v>
      </c>
      <c r="X32" s="2">
        <f>+D32/$D$32*97.7</f>
        <v>97.7</v>
      </c>
    </row>
    <row r="33" spans="1:25">
      <c r="A33">
        <v>1978</v>
      </c>
      <c r="B33" s="2">
        <f>PCE!D34</f>
        <v>34.144500000000001</v>
      </c>
      <c r="C33" s="2">
        <f>+'CPI-U-RS'!D38</f>
        <v>104.4</v>
      </c>
      <c r="D33" s="2">
        <v>65.2</v>
      </c>
      <c r="E33">
        <f t="shared" si="0"/>
        <v>0.53735632183908044</v>
      </c>
      <c r="F33">
        <f t="shared" si="1"/>
        <v>0.51226993865030668</v>
      </c>
      <c r="G33">
        <f t="shared" si="2"/>
        <v>1.0489710234703009</v>
      </c>
      <c r="H33">
        <f t="shared" si="4"/>
        <v>1</v>
      </c>
      <c r="I33">
        <f t="shared" si="5"/>
        <v>1</v>
      </c>
      <c r="J33">
        <f t="shared" si="3"/>
        <v>1</v>
      </c>
      <c r="K33" s="2">
        <f t="shared" si="6"/>
        <v>0.66632515660675617</v>
      </c>
      <c r="L33" s="2">
        <f t="shared" si="7"/>
        <v>0.651685393258427</v>
      </c>
      <c r="M33" s="2">
        <f t="shared" si="7"/>
        <v>0.62752646775745913</v>
      </c>
      <c r="N33" s="2">
        <v>0.65037593984962394</v>
      </c>
      <c r="O33" s="2">
        <f t="shared" si="8"/>
        <v>1.5007687914598249</v>
      </c>
      <c r="P33" s="2">
        <f t="shared" si="9"/>
        <v>1.5344827586206895</v>
      </c>
      <c r="Q33" s="2">
        <f t="shared" si="9"/>
        <v>1.593558282208589</v>
      </c>
      <c r="R33">
        <v>0</v>
      </c>
      <c r="S33">
        <f t="shared" si="10"/>
        <v>1</v>
      </c>
      <c r="U33">
        <f>(C33-C$33)/C$33</f>
        <v>0</v>
      </c>
      <c r="V33">
        <f t="shared" ref="V33:V57" si="11">(D33-D$33)/D$33</f>
        <v>0</v>
      </c>
      <c r="W33">
        <f t="shared" ref="W33:W57" si="12">+V33-U33</f>
        <v>0</v>
      </c>
      <c r="X33" s="2">
        <f>+D33/$D$32*97.7</f>
        <v>105.11617161716171</v>
      </c>
      <c r="Y33">
        <f>+X33/X32</f>
        <v>1.0759075907590758</v>
      </c>
    </row>
    <row r="34" spans="1:25">
      <c r="A34">
        <v>1979</v>
      </c>
      <c r="B34" s="2">
        <f>PCE!D35</f>
        <v>37.178250000000006</v>
      </c>
      <c r="C34" s="2">
        <f>+'CPI-U-RS'!D39</f>
        <v>114.3</v>
      </c>
      <c r="D34" s="2">
        <v>72.599999999999994</v>
      </c>
      <c r="E34">
        <f t="shared" ref="E34:E63" si="13">+C$22/C34</f>
        <v>0.49081364829396329</v>
      </c>
      <c r="F34">
        <f t="shared" ref="F34:F60" si="14">+D$22/D34</f>
        <v>0.46005509641873282</v>
      </c>
      <c r="G34">
        <f t="shared" ref="G34:G60" si="15">+E34/F34</f>
        <v>1.0668584091659201</v>
      </c>
      <c r="H34">
        <f t="shared" si="4"/>
        <v>0.91338582677165359</v>
      </c>
      <c r="I34">
        <f t="shared" si="5"/>
        <v>0.8980716253443527</v>
      </c>
      <c r="J34">
        <f t="shared" ref="J34:J60" si="16">+H34/I34</f>
        <v>1.0170523163132215</v>
      </c>
      <c r="K34" s="2">
        <f t="shared" si="6"/>
        <v>0.7255283648498333</v>
      </c>
      <c r="L34" s="2">
        <f t="shared" si="7"/>
        <v>0.71348314606741581</v>
      </c>
      <c r="M34" s="2">
        <f t="shared" si="7"/>
        <v>0.69874879692011538</v>
      </c>
      <c r="N34" s="2">
        <v>0.71240601503759393</v>
      </c>
      <c r="O34" s="2">
        <f t="shared" si="8"/>
        <v>1.3783058643158295</v>
      </c>
      <c r="P34" s="2">
        <f t="shared" si="9"/>
        <v>1.4015748031496063</v>
      </c>
      <c r="Q34" s="2">
        <f t="shared" si="9"/>
        <v>1.4311294765840221</v>
      </c>
      <c r="R34">
        <v>0</v>
      </c>
      <c r="S34">
        <f t="shared" si="10"/>
        <v>1.0170999999999999</v>
      </c>
      <c r="U34">
        <f>(C34-C$33)/C$33</f>
        <v>9.4827586206896464E-2</v>
      </c>
      <c r="V34">
        <f t="shared" si="11"/>
        <v>0.11349693251533728</v>
      </c>
      <c r="W34">
        <f t="shared" si="12"/>
        <v>1.8669346308440818E-2</v>
      </c>
    </row>
    <row r="35" spans="1:25">
      <c r="A35">
        <v>1980</v>
      </c>
      <c r="B35" s="2">
        <f>PCE!D36</f>
        <v>41.1815</v>
      </c>
      <c r="C35" s="2">
        <f>+'CPI-U-RS'!D40</f>
        <v>127.1</v>
      </c>
      <c r="D35" s="2">
        <v>82.4</v>
      </c>
      <c r="E35">
        <f t="shared" si="13"/>
        <v>0.44138473642800946</v>
      </c>
      <c r="F35">
        <f t="shared" si="14"/>
        <v>0.40533980582524265</v>
      </c>
      <c r="G35">
        <f t="shared" si="15"/>
        <v>1.0889252180140117</v>
      </c>
      <c r="H35">
        <f t="shared" si="4"/>
        <v>0.82140047206923694</v>
      </c>
      <c r="I35">
        <f t="shared" si="5"/>
        <v>0.79126213592233008</v>
      </c>
      <c r="J35">
        <f t="shared" si="16"/>
        <v>1.0380889401611215</v>
      </c>
      <c r="K35" s="2">
        <f>+B35/$B$39</f>
        <v>0.80365123041195874</v>
      </c>
      <c r="L35" s="2">
        <f t="shared" si="7"/>
        <v>0.79338327091136085</v>
      </c>
      <c r="M35" s="2">
        <f t="shared" si="7"/>
        <v>0.79307025986525503</v>
      </c>
      <c r="N35" s="2">
        <v>0.79135338345864659</v>
      </c>
      <c r="O35" s="2">
        <f t="shared" si="8"/>
        <v>1.2443208722363195</v>
      </c>
      <c r="P35" s="2">
        <f t="shared" si="9"/>
        <v>1.2604248623131393</v>
      </c>
      <c r="Q35" s="2">
        <f t="shared" si="9"/>
        <v>1.2609223300970873</v>
      </c>
      <c r="R35">
        <v>0</v>
      </c>
      <c r="S35">
        <f t="shared" si="10"/>
        <v>1.0381</v>
      </c>
      <c r="U35">
        <f>(C35-C$33)/C$33</f>
        <v>0.21743295019157077</v>
      </c>
      <c r="V35">
        <f t="shared" si="11"/>
        <v>0.26380368098159512</v>
      </c>
      <c r="W35">
        <f t="shared" si="12"/>
        <v>4.637073079002435E-2</v>
      </c>
    </row>
    <row r="36" spans="1:25">
      <c r="A36">
        <v>1981</v>
      </c>
      <c r="B36" s="2">
        <f>PCE!D37</f>
        <v>44.871000000000002</v>
      </c>
      <c r="C36" s="2">
        <f>+'CPI-U-RS'!D41</f>
        <v>139.1</v>
      </c>
      <c r="D36" s="2">
        <v>90.9</v>
      </c>
      <c r="E36">
        <f t="shared" si="13"/>
        <v>0.40330697340043137</v>
      </c>
      <c r="F36">
        <f t="shared" si="14"/>
        <v>0.36743674367436741</v>
      </c>
      <c r="G36">
        <f t="shared" si="15"/>
        <v>1.0976228707215334</v>
      </c>
      <c r="H36">
        <f t="shared" si="4"/>
        <v>0.75053918044572254</v>
      </c>
      <c r="I36">
        <f t="shared" si="5"/>
        <v>0.71727172717271725</v>
      </c>
      <c r="J36">
        <f t="shared" si="16"/>
        <v>1.0463805445171193</v>
      </c>
      <c r="K36" s="2">
        <f t="shared" si="6"/>
        <v>0.87565130847140105</v>
      </c>
      <c r="L36" s="2">
        <f t="shared" si="7"/>
        <v>0.86828963795255931</v>
      </c>
      <c r="M36" s="2">
        <f t="shared" si="7"/>
        <v>0.87487969201154958</v>
      </c>
      <c r="N36" s="2">
        <v>0.86654135338345861</v>
      </c>
      <c r="O36" s="2">
        <f t="shared" si="8"/>
        <v>1.1420070869826835</v>
      </c>
      <c r="P36" s="2">
        <f t="shared" si="9"/>
        <v>1.1516894320632638</v>
      </c>
      <c r="Q36" s="2">
        <f t="shared" si="9"/>
        <v>1.143014301430143</v>
      </c>
      <c r="R36">
        <v>0</v>
      </c>
      <c r="S36">
        <f t="shared" si="10"/>
        <v>1.0464</v>
      </c>
      <c r="U36">
        <f>(C36-C$33)/C$33</f>
        <v>0.33237547892720293</v>
      </c>
      <c r="V36">
        <f t="shared" si="11"/>
        <v>0.39417177914110429</v>
      </c>
      <c r="W36">
        <f t="shared" si="12"/>
        <v>6.1796300213901367E-2</v>
      </c>
    </row>
    <row r="37" spans="1:25">
      <c r="A37">
        <v>1982</v>
      </c>
      <c r="B37" s="2">
        <f>PCE!D38</f>
        <v>47.363500000000002</v>
      </c>
      <c r="C37" s="2">
        <f>+'CPI-U-RS'!D42</f>
        <v>147.5</v>
      </c>
      <c r="D37" s="2">
        <v>96.5</v>
      </c>
      <c r="E37">
        <f t="shared" si="13"/>
        <v>0.38033898305084746</v>
      </c>
      <c r="F37">
        <f t="shared" si="14"/>
        <v>0.34611398963730566</v>
      </c>
      <c r="G37">
        <f t="shared" si="15"/>
        <v>1.0988835887546942</v>
      </c>
      <c r="H37">
        <f t="shared" si="4"/>
        <v>0.70779661016949158</v>
      </c>
      <c r="I37">
        <f t="shared" si="5"/>
        <v>0.67564766839378243</v>
      </c>
      <c r="J37">
        <f t="shared" si="16"/>
        <v>1.0475824061557659</v>
      </c>
      <c r="K37" s="2">
        <f t="shared" si="6"/>
        <v>0.92429209843295679</v>
      </c>
      <c r="L37" s="2">
        <f t="shared" si="7"/>
        <v>0.92072409488139828</v>
      </c>
      <c r="M37" s="2">
        <f t="shared" si="7"/>
        <v>0.92877767083734353</v>
      </c>
      <c r="N37" s="2">
        <v>0.92105263157894735</v>
      </c>
      <c r="O37" s="2">
        <f t="shared" si="8"/>
        <v>1.081909064997308</v>
      </c>
      <c r="P37" s="2">
        <f t="shared" si="9"/>
        <v>1.0861016949152542</v>
      </c>
      <c r="Q37" s="2">
        <f t="shared" si="9"/>
        <v>1.0766839378238342</v>
      </c>
      <c r="R37">
        <v>0</v>
      </c>
      <c r="S37">
        <f t="shared" si="10"/>
        <v>1.0476000000000001</v>
      </c>
      <c r="U37">
        <f t="shared" ref="U37:U57" si="17">(C37-C$33)/C$33</f>
        <v>0.41283524904214552</v>
      </c>
      <c r="V37">
        <f t="shared" si="11"/>
        <v>0.48006134969325148</v>
      </c>
      <c r="W37">
        <f t="shared" si="12"/>
        <v>6.7226100651105958E-2</v>
      </c>
    </row>
    <row r="38" spans="1:25">
      <c r="A38">
        <v>1983</v>
      </c>
      <c r="B38" s="2">
        <f>PCE!D39</f>
        <v>49.378249999999994</v>
      </c>
      <c r="C38" s="2">
        <f>+'CPI-U-RS'!D43</f>
        <v>153.80000000000001</v>
      </c>
      <c r="D38" s="2">
        <v>99.6</v>
      </c>
      <c r="E38">
        <f t="shared" si="13"/>
        <v>0.36475942782834847</v>
      </c>
      <c r="F38">
        <f t="shared" si="14"/>
        <v>0.3353413654618474</v>
      </c>
      <c r="G38">
        <f t="shared" si="15"/>
        <v>1.0877257189132787</v>
      </c>
      <c r="H38">
        <f t="shared" si="4"/>
        <v>0.67880364109232771</v>
      </c>
      <c r="I38">
        <f t="shared" si="5"/>
        <v>0.65461847389558236</v>
      </c>
      <c r="J38">
        <f t="shared" si="16"/>
        <v>1.0369454394600588</v>
      </c>
      <c r="K38" s="2">
        <f t="shared" si="6"/>
        <v>0.96360966375895241</v>
      </c>
      <c r="L38" s="2">
        <f t="shared" si="7"/>
        <v>0.96004993757802759</v>
      </c>
      <c r="M38" s="2">
        <f t="shared" si="7"/>
        <v>0.95861405197305094</v>
      </c>
      <c r="N38" s="14">
        <v>0.9586466165413533</v>
      </c>
      <c r="O38" s="2">
        <f t="shared" si="8"/>
        <v>1.037764602836269</v>
      </c>
      <c r="P38" s="2">
        <f t="shared" si="9"/>
        <v>1.0416124837451235</v>
      </c>
      <c r="Q38" s="2">
        <f t="shared" si="9"/>
        <v>1.0431726907630523</v>
      </c>
      <c r="R38">
        <v>0</v>
      </c>
      <c r="S38">
        <f t="shared" si="10"/>
        <v>1.0368999999999999</v>
      </c>
      <c r="U38">
        <f t="shared" si="17"/>
        <v>0.47318007662835254</v>
      </c>
      <c r="V38">
        <f t="shared" si="11"/>
        <v>0.52760736196319002</v>
      </c>
      <c r="W38">
        <f t="shared" si="12"/>
        <v>5.4427285334837483E-2</v>
      </c>
    </row>
    <row r="39" spans="1:25">
      <c r="A39">
        <v>1984</v>
      </c>
      <c r="B39" s="2">
        <f>PCE!D40</f>
        <v>51.242999999999995</v>
      </c>
      <c r="C39" s="2">
        <f>+'CPI-U-RS'!D44</f>
        <v>160.19999999999999</v>
      </c>
      <c r="D39" s="2">
        <v>103.9</v>
      </c>
      <c r="E39">
        <f t="shared" si="13"/>
        <v>0.35018726591760302</v>
      </c>
      <c r="F39">
        <f t="shared" si="14"/>
        <v>0.32146294513955725</v>
      </c>
      <c r="G39">
        <f t="shared" si="15"/>
        <v>1.0893549978694297</v>
      </c>
      <c r="H39">
        <f t="shared" si="4"/>
        <v>0.651685393258427</v>
      </c>
      <c r="I39">
        <f t="shared" si="5"/>
        <v>0.62752646775745913</v>
      </c>
      <c r="J39">
        <f t="shared" si="16"/>
        <v>1.0384986558213276</v>
      </c>
      <c r="K39" s="2">
        <f t="shared" si="6"/>
        <v>1</v>
      </c>
      <c r="L39" s="2">
        <f t="shared" si="7"/>
        <v>1</v>
      </c>
      <c r="M39" s="2">
        <f t="shared" si="7"/>
        <v>1</v>
      </c>
      <c r="N39" s="2">
        <v>1</v>
      </c>
      <c r="O39" s="2">
        <f>+B$39/B39</f>
        <v>1</v>
      </c>
      <c r="P39" s="2">
        <f>+C$39/C39</f>
        <v>1</v>
      </c>
      <c r="Q39" s="2">
        <f>+D$39/D39</f>
        <v>1</v>
      </c>
      <c r="R39">
        <v>0</v>
      </c>
      <c r="S39">
        <f t="shared" si="10"/>
        <v>1.0385</v>
      </c>
      <c r="U39">
        <f t="shared" si="17"/>
        <v>0.5344827586206895</v>
      </c>
      <c r="V39">
        <f t="shared" si="11"/>
        <v>0.59355828220858897</v>
      </c>
      <c r="W39">
        <f t="shared" si="12"/>
        <v>5.907552358789947E-2</v>
      </c>
    </row>
    <row r="40" spans="1:25">
      <c r="A40">
        <v>1985</v>
      </c>
      <c r="B40" s="2">
        <f>PCE!D41</f>
        <v>53.030749999999998</v>
      </c>
      <c r="C40" s="2">
        <f>+'CPI-U-RS'!D45</f>
        <v>165.6</v>
      </c>
      <c r="D40" s="2">
        <v>107.6</v>
      </c>
      <c r="E40">
        <f t="shared" si="13"/>
        <v>0.33876811594202899</v>
      </c>
      <c r="F40">
        <f t="shared" si="14"/>
        <v>0.3104089219330855</v>
      </c>
      <c r="G40">
        <f t="shared" si="15"/>
        <v>1.0913607567473749</v>
      </c>
      <c r="H40">
        <f t="shared" si="4"/>
        <v>0.63043478260869568</v>
      </c>
      <c r="I40">
        <f t="shared" si="5"/>
        <v>0.60594795539033464</v>
      </c>
      <c r="J40">
        <f t="shared" si="16"/>
        <v>1.0404107762069885</v>
      </c>
      <c r="K40" s="2">
        <f t="shared" si="6"/>
        <v>1.0348876919774408</v>
      </c>
      <c r="L40" s="2">
        <f t="shared" si="7"/>
        <v>1.0337078651685394</v>
      </c>
      <c r="M40" s="2">
        <f t="shared" si="7"/>
        <v>1.0356111645813282</v>
      </c>
      <c r="N40" s="2">
        <v>1.0357142857142858</v>
      </c>
      <c r="O40" s="2">
        <f t="shared" si="8"/>
        <v>0.9662884269975438</v>
      </c>
      <c r="P40" s="2">
        <f t="shared" si="9"/>
        <v>0.96739130434782605</v>
      </c>
      <c r="Q40" s="2">
        <f t="shared" si="9"/>
        <v>0.96561338289962839</v>
      </c>
      <c r="R40">
        <v>0</v>
      </c>
      <c r="S40">
        <f t="shared" si="10"/>
        <v>1.0404</v>
      </c>
      <c r="U40">
        <f t="shared" si="17"/>
        <v>0.58620689655172398</v>
      </c>
      <c r="V40">
        <f t="shared" si="11"/>
        <v>0.65030674846625747</v>
      </c>
      <c r="W40">
        <f t="shared" si="12"/>
        <v>6.409985191453349E-2</v>
      </c>
    </row>
    <row r="41" spans="1:25">
      <c r="A41">
        <v>1986</v>
      </c>
      <c r="B41" s="2">
        <f>PCE!D42</f>
        <v>54.184249999999999</v>
      </c>
      <c r="C41" s="2">
        <f>+'CPI-U-RS'!D46</f>
        <v>168.4</v>
      </c>
      <c r="D41" s="2">
        <v>109.6</v>
      </c>
      <c r="E41">
        <f t="shared" si="13"/>
        <v>0.3331353919239905</v>
      </c>
      <c r="F41">
        <f t="shared" si="14"/>
        <v>0.30474452554744524</v>
      </c>
      <c r="G41">
        <f t="shared" si="15"/>
        <v>1.0931628429601605</v>
      </c>
      <c r="H41">
        <f t="shared" si="4"/>
        <v>0.61995249406175779</v>
      </c>
      <c r="I41">
        <f t="shared" si="5"/>
        <v>0.59489051094890522</v>
      </c>
      <c r="J41">
        <f t="shared" si="16"/>
        <v>1.0421287323492123</v>
      </c>
      <c r="K41" s="2">
        <f t="shared" si="6"/>
        <v>1.0573980836406924</v>
      </c>
      <c r="L41" s="2">
        <f t="shared" si="7"/>
        <v>1.0511860174781524</v>
      </c>
      <c r="M41" s="2">
        <f t="shared" si="7"/>
        <v>1.0548604427333974</v>
      </c>
      <c r="N41" s="2">
        <v>1.0545112781954888</v>
      </c>
      <c r="O41" s="2">
        <f t="shared" si="8"/>
        <v>0.94571762089537081</v>
      </c>
      <c r="P41" s="2">
        <f t="shared" si="9"/>
        <v>0.95130641330166266</v>
      </c>
      <c r="Q41" s="2">
        <f t="shared" si="9"/>
        <v>0.94799270072992714</v>
      </c>
      <c r="R41">
        <v>0</v>
      </c>
      <c r="S41">
        <f t="shared" si="10"/>
        <v>1.0421</v>
      </c>
      <c r="U41">
        <f t="shared" si="17"/>
        <v>0.6130268199233716</v>
      </c>
      <c r="V41">
        <f t="shared" si="11"/>
        <v>0.68098159509202438</v>
      </c>
      <c r="W41">
        <f t="shared" si="12"/>
        <v>6.7954775168652781E-2</v>
      </c>
    </row>
    <row r="42" spans="1:25">
      <c r="A42">
        <v>1987</v>
      </c>
      <c r="B42" s="2">
        <f>PCE!D43</f>
        <v>55.855000000000004</v>
      </c>
      <c r="C42" s="2">
        <f>+'CPI-U-RS'!D47</f>
        <v>174.1</v>
      </c>
      <c r="D42" s="2">
        <v>113.6</v>
      </c>
      <c r="E42">
        <f t="shared" si="13"/>
        <v>0.32222860425043082</v>
      </c>
      <c r="F42">
        <f t="shared" si="14"/>
        <v>0.29401408450704225</v>
      </c>
      <c r="G42">
        <f t="shared" si="15"/>
        <v>1.0959631569715251</v>
      </c>
      <c r="H42">
        <f t="shared" si="4"/>
        <v>0.59965537047673756</v>
      </c>
      <c r="I42">
        <f t="shared" si="5"/>
        <v>0.573943661971831</v>
      </c>
      <c r="J42">
        <f t="shared" si="16"/>
        <v>1.0447983142048678</v>
      </c>
      <c r="K42" s="2">
        <f t="shared" si="6"/>
        <v>1.0900025369318738</v>
      </c>
      <c r="L42" s="2">
        <f t="shared" si="7"/>
        <v>1.0867665418227217</v>
      </c>
      <c r="M42" s="2">
        <f t="shared" si="7"/>
        <v>1.0933589990375361</v>
      </c>
      <c r="N42" s="2">
        <v>1.0939849624060149</v>
      </c>
      <c r="O42" s="2">
        <f t="shared" si="8"/>
        <v>0.91742905738071778</v>
      </c>
      <c r="P42" s="2">
        <f t="shared" si="9"/>
        <v>0.92016082711085578</v>
      </c>
      <c r="Q42" s="2">
        <f t="shared" si="9"/>
        <v>0.91461267605633811</v>
      </c>
      <c r="R42">
        <v>0</v>
      </c>
      <c r="S42">
        <f t="shared" si="10"/>
        <v>1.0448</v>
      </c>
      <c r="U42">
        <f t="shared" si="17"/>
        <v>0.66762452107279679</v>
      </c>
      <c r="V42">
        <f t="shared" si="11"/>
        <v>0.7423312883435581</v>
      </c>
      <c r="W42">
        <f t="shared" si="12"/>
        <v>7.470676727076131E-2</v>
      </c>
    </row>
    <row r="43" spans="1:25">
      <c r="A43">
        <v>1988</v>
      </c>
      <c r="B43" s="2">
        <f>PCE!D44</f>
        <v>58.037499999999994</v>
      </c>
      <c r="C43" s="2">
        <f>+'CPI-U-RS'!D48</f>
        <v>180.5</v>
      </c>
      <c r="D43" s="2">
        <v>118.3</v>
      </c>
      <c r="E43">
        <f t="shared" si="13"/>
        <v>0.310803324099723</v>
      </c>
      <c r="F43">
        <f t="shared" si="14"/>
        <v>0.28233305156382077</v>
      </c>
      <c r="G43">
        <f t="shared" si="15"/>
        <v>1.1008393185927317</v>
      </c>
      <c r="H43">
        <f t="shared" si="4"/>
        <v>0.57839335180055407</v>
      </c>
      <c r="I43">
        <f t="shared" si="5"/>
        <v>0.55114116652578193</v>
      </c>
      <c r="J43">
        <f t="shared" si="16"/>
        <v>1.0494468330982445</v>
      </c>
      <c r="K43" s="2">
        <f t="shared" si="6"/>
        <v>1.1325937201178697</v>
      </c>
      <c r="L43" s="2">
        <f t="shared" si="7"/>
        <v>1.1267166042446941</v>
      </c>
      <c r="M43" s="2">
        <f t="shared" si="7"/>
        <v>1.1385948026948989</v>
      </c>
      <c r="N43" s="2">
        <v>1.1390977443609021</v>
      </c>
      <c r="O43" s="2">
        <f t="shared" si="8"/>
        <v>0.88292914064182637</v>
      </c>
      <c r="P43" s="2">
        <f t="shared" si="9"/>
        <v>0.88753462603878108</v>
      </c>
      <c r="Q43" s="2">
        <f t="shared" si="9"/>
        <v>0.878275570583263</v>
      </c>
      <c r="R43">
        <v>0</v>
      </c>
      <c r="S43">
        <f t="shared" si="10"/>
        <v>1.0494000000000001</v>
      </c>
      <c r="U43">
        <f t="shared" si="17"/>
        <v>0.72892720306513403</v>
      </c>
      <c r="V43">
        <f t="shared" si="11"/>
        <v>0.81441717791411028</v>
      </c>
      <c r="W43">
        <f t="shared" si="12"/>
        <v>8.5489974848976247E-2</v>
      </c>
    </row>
    <row r="44" spans="1:25">
      <c r="A44">
        <v>1989</v>
      </c>
      <c r="B44" s="2">
        <f>PCE!D45</f>
        <v>60.572000000000003</v>
      </c>
      <c r="C44" s="2">
        <f>+'CPI-U-RS'!D49</f>
        <v>188.3</v>
      </c>
      <c r="D44" s="2">
        <v>124</v>
      </c>
      <c r="E44">
        <f t="shared" si="13"/>
        <v>0.29792883696229422</v>
      </c>
      <c r="F44">
        <f t="shared" si="14"/>
        <v>0.26935483870967741</v>
      </c>
      <c r="G44">
        <f t="shared" si="15"/>
        <v>1.1060831072851642</v>
      </c>
      <c r="H44">
        <f t="shared" si="4"/>
        <v>0.5544344131704726</v>
      </c>
      <c r="I44">
        <f t="shared" si="5"/>
        <v>0.52580645161290329</v>
      </c>
      <c r="J44">
        <f t="shared" si="16"/>
        <v>1.0544458164591808</v>
      </c>
      <c r="K44" s="2">
        <f t="shared" si="6"/>
        <v>1.1820541342232112</v>
      </c>
      <c r="L44" s="2">
        <f t="shared" si="7"/>
        <v>1.1754057428214733</v>
      </c>
      <c r="M44" s="2">
        <f t="shared" si="7"/>
        <v>1.1934552454282963</v>
      </c>
      <c r="N44" s="2">
        <v>1.1936090225563909</v>
      </c>
      <c r="O44" s="2">
        <f t="shared" si="8"/>
        <v>0.84598494353826836</v>
      </c>
      <c r="P44" s="2">
        <f t="shared" si="9"/>
        <v>0.85077004779607002</v>
      </c>
      <c r="Q44" s="2">
        <f t="shared" si="9"/>
        <v>0.83790322580645171</v>
      </c>
      <c r="R44">
        <v>0</v>
      </c>
      <c r="S44">
        <f t="shared" si="10"/>
        <v>1.0544</v>
      </c>
      <c r="U44">
        <f t="shared" si="17"/>
        <v>0.80363984674329503</v>
      </c>
      <c r="V44">
        <f t="shared" si="11"/>
        <v>0.90184049079754591</v>
      </c>
      <c r="W44">
        <f t="shared" si="12"/>
        <v>9.8200644054250885E-2</v>
      </c>
    </row>
    <row r="45" spans="1:25">
      <c r="A45">
        <v>1990</v>
      </c>
      <c r="B45" s="2">
        <f>PCE!D46</f>
        <v>63.231499999999997</v>
      </c>
      <c r="C45" s="2">
        <f>+'CPI-U-RS'!D50</f>
        <v>197.6</v>
      </c>
      <c r="D45" s="2">
        <v>130.69999999999999</v>
      </c>
      <c r="E45">
        <f t="shared" si="13"/>
        <v>0.28390688259109315</v>
      </c>
      <c r="F45">
        <f t="shared" si="14"/>
        <v>0.25554705432287683</v>
      </c>
      <c r="G45">
        <f t="shared" si="15"/>
        <v>1.1109769327741279</v>
      </c>
      <c r="H45">
        <f t="shared" si="4"/>
        <v>0.52834008097165996</v>
      </c>
      <c r="I45">
        <f t="shared" si="5"/>
        <v>0.49885233358837039</v>
      </c>
      <c r="J45">
        <f t="shared" si="16"/>
        <v>1.0591111745858275</v>
      </c>
      <c r="K45" s="2">
        <f t="shared" si="6"/>
        <v>1.2339539058993425</v>
      </c>
      <c r="L45" s="2">
        <f t="shared" si="7"/>
        <v>1.2334581772784021</v>
      </c>
      <c r="M45" s="2">
        <f t="shared" si="7"/>
        <v>1.2579403272377283</v>
      </c>
      <c r="N45" s="2">
        <v>1.2575187969924813</v>
      </c>
      <c r="O45" s="2">
        <f t="shared" si="8"/>
        <v>0.81040304278721831</v>
      </c>
      <c r="P45" s="2">
        <f t="shared" si="9"/>
        <v>0.81072874493927127</v>
      </c>
      <c r="Q45" s="2">
        <f t="shared" si="9"/>
        <v>0.79495026778882949</v>
      </c>
      <c r="R45">
        <v>0</v>
      </c>
      <c r="S45">
        <f t="shared" si="10"/>
        <v>1.0590999999999999</v>
      </c>
      <c r="U45">
        <f t="shared" si="17"/>
        <v>0.89272030651340983</v>
      </c>
      <c r="V45">
        <f t="shared" si="11"/>
        <v>1.0046012269938647</v>
      </c>
      <c r="W45">
        <f t="shared" si="12"/>
        <v>0.11188092048045484</v>
      </c>
    </row>
    <row r="46" spans="1:25">
      <c r="A46">
        <v>1991</v>
      </c>
      <c r="B46" s="2">
        <f>PCE!D47</f>
        <v>65.345500000000001</v>
      </c>
      <c r="C46" s="2">
        <f>+'CPI-U-RS'!D51</f>
        <v>204.8</v>
      </c>
      <c r="D46" s="2">
        <v>136.19999999999999</v>
      </c>
      <c r="E46">
        <f t="shared" si="13"/>
        <v>0.27392578125</v>
      </c>
      <c r="F46">
        <f t="shared" si="14"/>
        <v>0.24522760646108666</v>
      </c>
      <c r="G46">
        <f t="shared" si="15"/>
        <v>1.1170266888098801</v>
      </c>
      <c r="H46">
        <f t="shared" si="4"/>
        <v>0.509765625</v>
      </c>
      <c r="I46">
        <f t="shared" si="5"/>
        <v>0.47870778267254044</v>
      </c>
      <c r="J46">
        <f t="shared" si="16"/>
        <v>1.0648784988496931</v>
      </c>
      <c r="K46" s="2">
        <f t="shared" si="6"/>
        <v>1.2752083211365457</v>
      </c>
      <c r="L46" s="2">
        <f t="shared" si="7"/>
        <v>1.2784019975031213</v>
      </c>
      <c r="M46" s="2">
        <f t="shared" si="7"/>
        <v>1.310875842155919</v>
      </c>
      <c r="N46" s="2">
        <v>1.3101503759398494</v>
      </c>
      <c r="O46" s="2">
        <f t="shared" si="8"/>
        <v>0.78418559809015154</v>
      </c>
      <c r="P46" s="2">
        <f t="shared" si="9"/>
        <v>0.78222656249999989</v>
      </c>
      <c r="Q46" s="2">
        <f t="shared" si="9"/>
        <v>0.76284875183553613</v>
      </c>
      <c r="R46">
        <v>0</v>
      </c>
      <c r="S46">
        <f t="shared" si="10"/>
        <v>1.0649</v>
      </c>
      <c r="U46">
        <f t="shared" si="17"/>
        <v>0.96168582375478928</v>
      </c>
      <c r="V46">
        <f t="shared" si="11"/>
        <v>1.0889570552147236</v>
      </c>
      <c r="W46">
        <f t="shared" si="12"/>
        <v>0.12727123145993435</v>
      </c>
    </row>
    <row r="47" spans="1:25">
      <c r="A47">
        <v>1992</v>
      </c>
      <c r="B47" s="2">
        <f>PCE!D48</f>
        <v>67.087250000000012</v>
      </c>
      <c r="C47" s="2">
        <f>+'CPI-U-RS'!D52</f>
        <v>209.9</v>
      </c>
      <c r="D47" s="2">
        <v>140.30000000000001</v>
      </c>
      <c r="E47">
        <f t="shared" si="13"/>
        <v>0.26727012863268224</v>
      </c>
      <c r="F47">
        <f t="shared" si="14"/>
        <v>0.2380612972202423</v>
      </c>
      <c r="G47">
        <f t="shared" si="15"/>
        <v>1.1226945822504588</v>
      </c>
      <c r="H47">
        <f t="shared" si="4"/>
        <v>0.49737970462124825</v>
      </c>
      <c r="I47">
        <f t="shared" si="5"/>
        <v>0.46471846044191017</v>
      </c>
      <c r="J47">
        <f t="shared" si="16"/>
        <v>1.0702817877049253</v>
      </c>
      <c r="K47" s="2">
        <f t="shared" si="6"/>
        <v>1.3091983295279359</v>
      </c>
      <c r="L47" s="2">
        <f t="shared" si="7"/>
        <v>1.3102372034956307</v>
      </c>
      <c r="M47" s="2">
        <f t="shared" si="7"/>
        <v>1.3503368623676613</v>
      </c>
      <c r="N47" s="2">
        <v>1.3496240601503757</v>
      </c>
      <c r="O47" s="2">
        <f t="shared" si="8"/>
        <v>0.76382621138890006</v>
      </c>
      <c r="P47" s="2">
        <f t="shared" si="9"/>
        <v>0.7632205812291567</v>
      </c>
      <c r="Q47" s="2">
        <f t="shared" si="9"/>
        <v>0.74055595153243048</v>
      </c>
      <c r="R47">
        <v>0</v>
      </c>
      <c r="S47">
        <f t="shared" si="10"/>
        <v>1.0703</v>
      </c>
      <c r="U47">
        <f t="shared" si="17"/>
        <v>1.0105363984674329</v>
      </c>
      <c r="V47">
        <f t="shared" si="11"/>
        <v>1.1518404907975461</v>
      </c>
      <c r="W47">
        <f t="shared" si="12"/>
        <v>0.14130409233011321</v>
      </c>
    </row>
    <row r="48" spans="1:25">
      <c r="A48">
        <v>1993</v>
      </c>
      <c r="B48" s="2">
        <f>PCE!D49</f>
        <v>68.758499999999998</v>
      </c>
      <c r="C48" s="2">
        <f>+'CPI-U-RS'!D53</f>
        <v>215.2</v>
      </c>
      <c r="D48" s="2">
        <v>144.5</v>
      </c>
      <c r="E48">
        <f t="shared" si="13"/>
        <v>0.26068773234200743</v>
      </c>
      <c r="F48">
        <f t="shared" si="14"/>
        <v>0.23114186851211072</v>
      </c>
      <c r="G48">
        <f t="shared" si="15"/>
        <v>1.1278256683658705</v>
      </c>
      <c r="H48">
        <f t="shared" si="4"/>
        <v>0.48513011152416363</v>
      </c>
      <c r="I48">
        <f t="shared" si="5"/>
        <v>0.45121107266435989</v>
      </c>
      <c r="J48">
        <f t="shared" si="16"/>
        <v>1.0751733299883688</v>
      </c>
      <c r="K48" s="2">
        <f t="shared" si="6"/>
        <v>1.3418125402494001</v>
      </c>
      <c r="L48" s="2">
        <f t="shared" si="7"/>
        <v>1.3433208489388264</v>
      </c>
      <c r="M48" s="2">
        <f t="shared" si="7"/>
        <v>1.3907603464870066</v>
      </c>
      <c r="N48" s="2">
        <v>1.3909774436090225</v>
      </c>
      <c r="O48" s="2">
        <f t="shared" si="8"/>
        <v>0.74526058596391709</v>
      </c>
      <c r="P48" s="2">
        <f t="shared" si="9"/>
        <v>0.74442379182156138</v>
      </c>
      <c r="Q48" s="2">
        <f t="shared" si="9"/>
        <v>0.71903114186851214</v>
      </c>
      <c r="R48">
        <v>0</v>
      </c>
      <c r="S48">
        <f t="shared" si="10"/>
        <v>1.0751999999999999</v>
      </c>
      <c r="U48">
        <f t="shared" si="17"/>
        <v>1.061302681992337</v>
      </c>
      <c r="V48">
        <f t="shared" si="11"/>
        <v>1.2162576687116564</v>
      </c>
      <c r="W48">
        <f t="shared" si="12"/>
        <v>0.1549549867193194</v>
      </c>
    </row>
    <row r="49" spans="1:23">
      <c r="A49">
        <v>1994</v>
      </c>
      <c r="B49" s="2">
        <f>PCE!D50</f>
        <v>70.192999999999998</v>
      </c>
      <c r="C49" s="2">
        <f>+'CPI-U-RS'!D54</f>
        <v>219.7</v>
      </c>
      <c r="D49" s="2">
        <v>148.19999999999999</v>
      </c>
      <c r="E49">
        <f t="shared" si="13"/>
        <v>0.25534820209376424</v>
      </c>
      <c r="F49">
        <f t="shared" si="14"/>
        <v>0.22537112010796223</v>
      </c>
      <c r="G49">
        <f t="shared" si="15"/>
        <v>1.1330120823441874</v>
      </c>
      <c r="H49">
        <f t="shared" si="4"/>
        <v>0.47519344560764681</v>
      </c>
      <c r="I49">
        <f t="shared" si="5"/>
        <v>0.43994601889338736</v>
      </c>
      <c r="J49">
        <f t="shared" si="16"/>
        <v>1.0801176171633935</v>
      </c>
      <c r="K49" s="2">
        <f t="shared" si="6"/>
        <v>1.3698066077317879</v>
      </c>
      <c r="L49" s="2">
        <f t="shared" si="7"/>
        <v>1.371410736579276</v>
      </c>
      <c r="M49" s="2">
        <f t="shared" si="7"/>
        <v>1.4263715110683348</v>
      </c>
      <c r="N49" s="2">
        <v>1.4266917293233081</v>
      </c>
      <c r="O49" s="2">
        <f t="shared" si="8"/>
        <v>0.7300300599774906</v>
      </c>
      <c r="P49" s="2">
        <f t="shared" si="9"/>
        <v>0.72917614929449248</v>
      </c>
      <c r="Q49" s="2">
        <f t="shared" si="9"/>
        <v>0.70107962213225383</v>
      </c>
      <c r="R49">
        <v>0</v>
      </c>
      <c r="S49">
        <f t="shared" si="10"/>
        <v>1.0801000000000001</v>
      </c>
      <c r="U49">
        <f t="shared" si="17"/>
        <v>1.1044061302681991</v>
      </c>
      <c r="V49">
        <f t="shared" si="11"/>
        <v>1.2730061349693249</v>
      </c>
      <c r="W49">
        <f t="shared" si="12"/>
        <v>0.16860000470112579</v>
      </c>
    </row>
    <row r="50" spans="1:23">
      <c r="A50">
        <v>1995</v>
      </c>
      <c r="B50" s="2">
        <f>PCE!D51</f>
        <v>71.671250000000001</v>
      </c>
      <c r="C50" s="2">
        <f>+'CPI-U-RS'!D55</f>
        <v>225</v>
      </c>
      <c r="D50" s="2">
        <v>152.4</v>
      </c>
      <c r="E50">
        <f t="shared" si="13"/>
        <v>0.24933333333333335</v>
      </c>
      <c r="F50">
        <f t="shared" si="14"/>
        <v>0.21916010498687663</v>
      </c>
      <c r="G50">
        <f t="shared" si="15"/>
        <v>1.1376766467065869</v>
      </c>
      <c r="H50">
        <f t="shared" si="4"/>
        <v>0.46400000000000002</v>
      </c>
      <c r="I50">
        <f t="shared" si="5"/>
        <v>0.42782152230971127</v>
      </c>
      <c r="J50">
        <f t="shared" si="16"/>
        <v>1.0845644171779143</v>
      </c>
      <c r="K50" s="2">
        <f t="shared" si="6"/>
        <v>1.3986544503639522</v>
      </c>
      <c r="L50" s="2">
        <f t="shared" si="7"/>
        <v>1.404494382022472</v>
      </c>
      <c r="M50" s="2">
        <f t="shared" si="7"/>
        <v>1.4667949951876804</v>
      </c>
      <c r="N50" s="2">
        <v>1.4661654135338344</v>
      </c>
      <c r="O50" s="2">
        <f t="shared" si="8"/>
        <v>0.7149728796414182</v>
      </c>
      <c r="P50" s="2">
        <f t="shared" si="9"/>
        <v>0.71199999999999997</v>
      </c>
      <c r="Q50" s="2">
        <f t="shared" si="9"/>
        <v>0.68175853018372701</v>
      </c>
      <c r="R50">
        <v>0</v>
      </c>
      <c r="S50">
        <f t="shared" si="10"/>
        <v>1.0846</v>
      </c>
      <c r="U50">
        <f t="shared" si="17"/>
        <v>1.1551724137931034</v>
      </c>
      <c r="V50">
        <f t="shared" si="11"/>
        <v>1.3374233128834356</v>
      </c>
      <c r="W50">
        <f t="shared" si="12"/>
        <v>0.18225089909033221</v>
      </c>
    </row>
    <row r="51" spans="1:23">
      <c r="A51">
        <v>1996</v>
      </c>
      <c r="B51" s="2">
        <f>PCE!D52</f>
        <v>73.203749999999999</v>
      </c>
      <c r="C51" s="2">
        <f>+'CPI-U-RS'!D56</f>
        <v>231</v>
      </c>
      <c r="D51" s="2">
        <v>156.9</v>
      </c>
      <c r="E51">
        <f t="shared" si="13"/>
        <v>0.24285714285714285</v>
      </c>
      <c r="F51">
        <f t="shared" si="14"/>
        <v>0.21287444231994901</v>
      </c>
      <c r="G51">
        <f t="shared" si="15"/>
        <v>1.140846877673225</v>
      </c>
      <c r="H51">
        <f t="shared" si="4"/>
        <v>0.45194805194805199</v>
      </c>
      <c r="I51">
        <f t="shared" si="5"/>
        <v>0.41555130656469091</v>
      </c>
      <c r="J51">
        <f t="shared" si="16"/>
        <v>1.087586646482352</v>
      </c>
      <c r="K51" s="2">
        <f t="shared" si="6"/>
        <v>1.4285609741818397</v>
      </c>
      <c r="L51" s="2">
        <f t="shared" si="7"/>
        <v>1.4419475655430714</v>
      </c>
      <c r="M51" s="2">
        <f t="shared" si="7"/>
        <v>1.5101058710298363</v>
      </c>
      <c r="N51" s="2">
        <v>1.5093984962406015</v>
      </c>
      <c r="O51" s="2">
        <f t="shared" si="8"/>
        <v>0.70000512268838677</v>
      </c>
      <c r="P51" s="2">
        <f t="shared" si="9"/>
        <v>0.6935064935064934</v>
      </c>
      <c r="Q51" s="2">
        <f t="shared" si="9"/>
        <v>0.66220522625876355</v>
      </c>
      <c r="R51">
        <v>0</v>
      </c>
      <c r="S51">
        <f t="shared" si="10"/>
        <v>1.0875999999999999</v>
      </c>
      <c r="U51">
        <f t="shared" si="17"/>
        <v>1.2126436781609193</v>
      </c>
      <c r="V51">
        <f t="shared" si="11"/>
        <v>1.406441717791411</v>
      </c>
      <c r="W51">
        <f t="shared" si="12"/>
        <v>0.19379803963049169</v>
      </c>
    </row>
    <row r="52" spans="1:23">
      <c r="A52">
        <v>1997</v>
      </c>
      <c r="B52" s="2">
        <f>PCE!D53</f>
        <v>74.478000000000009</v>
      </c>
      <c r="C52" s="2">
        <f>+'CPI-U-RS'!D57</f>
        <v>236</v>
      </c>
      <c r="D52" s="2">
        <v>160.5</v>
      </c>
      <c r="E52">
        <f t="shared" si="13"/>
        <v>0.23771186440677966</v>
      </c>
      <c r="F52">
        <f t="shared" si="14"/>
        <v>0.20809968847352023</v>
      </c>
      <c r="G52">
        <f t="shared" si="15"/>
        <v>1.1422980310565312</v>
      </c>
      <c r="H52">
        <f t="shared" si="4"/>
        <v>0.44237288135593222</v>
      </c>
      <c r="I52">
        <f t="shared" si="5"/>
        <v>0.4062305295950156</v>
      </c>
      <c r="J52">
        <f t="shared" si="16"/>
        <v>1.0889700530310908</v>
      </c>
      <c r="K52" s="2">
        <f t="shared" si="6"/>
        <v>1.4534277852584747</v>
      </c>
      <c r="L52" s="2">
        <f t="shared" si="7"/>
        <v>1.4731585518102372</v>
      </c>
      <c r="M52" s="2">
        <f t="shared" si="7"/>
        <v>1.5447545717035611</v>
      </c>
      <c r="N52" s="2">
        <v>1.5451127819548871</v>
      </c>
      <c r="O52" s="2">
        <f t="shared" si="8"/>
        <v>0.68802867961008607</v>
      </c>
      <c r="P52" s="2">
        <f t="shared" si="9"/>
        <v>0.6788135593220338</v>
      </c>
      <c r="Q52" s="2">
        <f t="shared" si="9"/>
        <v>0.64735202492211841</v>
      </c>
      <c r="R52">
        <v>0</v>
      </c>
      <c r="S52">
        <f t="shared" si="10"/>
        <v>1.089</v>
      </c>
      <c r="U52">
        <f t="shared" si="17"/>
        <v>1.2605363984674329</v>
      </c>
      <c r="V52">
        <f t="shared" si="11"/>
        <v>1.4616564417177913</v>
      </c>
      <c r="W52">
        <f t="shared" si="12"/>
        <v>0.20112004325035837</v>
      </c>
    </row>
    <row r="53" spans="1:23">
      <c r="A53">
        <v>1998</v>
      </c>
      <c r="B53" s="2">
        <f>PCE!D54</f>
        <v>75.07050000000001</v>
      </c>
      <c r="C53" s="2">
        <f>+'CPI-U-RS'!D58</f>
        <v>239.2</v>
      </c>
      <c r="D53" s="2">
        <v>163</v>
      </c>
      <c r="E53">
        <f t="shared" si="13"/>
        <v>0.23453177257525085</v>
      </c>
      <c r="F53">
        <f t="shared" si="14"/>
        <v>0.20490797546012268</v>
      </c>
      <c r="G53">
        <f t="shared" si="15"/>
        <v>1.1445712254420926</v>
      </c>
      <c r="H53">
        <f t="shared" si="4"/>
        <v>0.4364548494983278</v>
      </c>
      <c r="I53">
        <f t="shared" si="5"/>
        <v>0.4</v>
      </c>
      <c r="J53">
        <f t="shared" si="16"/>
        <v>1.0911371237458194</v>
      </c>
      <c r="K53" s="2">
        <f t="shared" si="6"/>
        <v>1.4649903401440201</v>
      </c>
      <c r="L53" s="2">
        <f t="shared" si="7"/>
        <v>1.4931335830212236</v>
      </c>
      <c r="M53" s="2">
        <f t="shared" si="7"/>
        <v>1.5688161693936475</v>
      </c>
      <c r="N53" s="2">
        <v>1.5695488721804509</v>
      </c>
      <c r="O53" s="2">
        <f t="shared" si="8"/>
        <v>0.68259835754390852</v>
      </c>
      <c r="P53" s="2">
        <f t="shared" si="9"/>
        <v>0.66973244147157185</v>
      </c>
      <c r="Q53" s="2">
        <f t="shared" si="9"/>
        <v>0.63742331288343557</v>
      </c>
      <c r="R53">
        <v>0</v>
      </c>
      <c r="S53">
        <f t="shared" si="10"/>
        <v>1.0911</v>
      </c>
      <c r="U53">
        <f t="shared" si="17"/>
        <v>1.2911877394636013</v>
      </c>
      <c r="V53">
        <f t="shared" si="11"/>
        <v>1.5</v>
      </c>
      <c r="W53">
        <f t="shared" si="12"/>
        <v>0.20881226053639868</v>
      </c>
    </row>
    <row r="54" spans="1:23">
      <c r="A54">
        <v>1999</v>
      </c>
      <c r="B54" s="2">
        <f>PCE!D55</f>
        <v>76.16425000000001</v>
      </c>
      <c r="C54" s="2">
        <f>+'CPI-U-RS'!D59</f>
        <v>244.2</v>
      </c>
      <c r="D54" s="2">
        <v>166.6</v>
      </c>
      <c r="E54">
        <f t="shared" si="13"/>
        <v>0.22972972972972974</v>
      </c>
      <c r="F54">
        <f t="shared" si="14"/>
        <v>0.20048019207683074</v>
      </c>
      <c r="G54">
        <f t="shared" si="15"/>
        <v>1.1458973944003885</v>
      </c>
      <c r="H54">
        <f t="shared" si="4"/>
        <v>0.42751842751842756</v>
      </c>
      <c r="I54">
        <f t="shared" si="5"/>
        <v>0.39135654261704683</v>
      </c>
      <c r="J54">
        <f t="shared" si="16"/>
        <v>1.0924013807449391</v>
      </c>
      <c r="K54" s="2">
        <f t="shared" si="6"/>
        <v>1.4863347188884339</v>
      </c>
      <c r="L54" s="2">
        <f t="shared" si="7"/>
        <v>1.5243445692883895</v>
      </c>
      <c r="M54" s="2">
        <f t="shared" si="7"/>
        <v>1.6034648700673724</v>
      </c>
      <c r="N54" s="2">
        <v>1.6033834586466165</v>
      </c>
      <c r="O54" s="2">
        <f t="shared" si="8"/>
        <v>0.67279596398572805</v>
      </c>
      <c r="P54" s="2">
        <f t="shared" si="9"/>
        <v>0.65601965601965595</v>
      </c>
      <c r="Q54" s="2">
        <f t="shared" si="9"/>
        <v>0.62364945978391362</v>
      </c>
      <c r="R54">
        <v>0</v>
      </c>
      <c r="S54">
        <f t="shared" si="10"/>
        <v>1.0924</v>
      </c>
      <c r="U54">
        <f t="shared" si="17"/>
        <v>1.3390804597701147</v>
      </c>
      <c r="V54">
        <f t="shared" si="11"/>
        <v>1.5552147239263803</v>
      </c>
      <c r="W54">
        <f t="shared" si="12"/>
        <v>0.21613426415626558</v>
      </c>
    </row>
    <row r="55" spans="1:23">
      <c r="A55">
        <v>2000</v>
      </c>
      <c r="B55" s="2">
        <f>PCE!D56</f>
        <v>78.090500000000006</v>
      </c>
      <c r="C55" s="2">
        <f>+'CPI-U-RS'!D60</f>
        <v>252.5</v>
      </c>
      <c r="D55" s="2">
        <v>172.2</v>
      </c>
      <c r="E55">
        <f t="shared" si="13"/>
        <v>0.22217821782178218</v>
      </c>
      <c r="F55">
        <f t="shared" si="14"/>
        <v>0.19396051103368178</v>
      </c>
      <c r="G55">
        <f t="shared" si="15"/>
        <v>1.1454817098476313</v>
      </c>
      <c r="H55">
        <f t="shared" si="4"/>
        <v>0.4134653465346535</v>
      </c>
      <c r="I55">
        <f t="shared" si="5"/>
        <v>0.37862950058072015</v>
      </c>
      <c r="J55">
        <f t="shared" si="16"/>
        <v>1.0920051023507258</v>
      </c>
      <c r="K55" s="2">
        <f t="shared" si="6"/>
        <v>1.5239252190543102</v>
      </c>
      <c r="L55" s="2">
        <f t="shared" si="7"/>
        <v>1.5761548064918853</v>
      </c>
      <c r="M55" s="2">
        <f t="shared" si="7"/>
        <v>1.6573628488931662</v>
      </c>
      <c r="N55" s="2">
        <v>1.6578947368421051</v>
      </c>
      <c r="O55" s="2">
        <f t="shared" si="8"/>
        <v>0.65620017799860408</v>
      </c>
      <c r="P55" s="2">
        <f t="shared" si="9"/>
        <v>0.63445544554455446</v>
      </c>
      <c r="Q55" s="2">
        <f t="shared" si="9"/>
        <v>0.60336817653890829</v>
      </c>
      <c r="R55">
        <v>0</v>
      </c>
      <c r="S55">
        <f t="shared" si="10"/>
        <v>1.0920000000000001</v>
      </c>
      <c r="U55">
        <f t="shared" si="17"/>
        <v>1.4185823754789271</v>
      </c>
      <c r="V55">
        <f t="shared" si="11"/>
        <v>1.6411042944785272</v>
      </c>
      <c r="W55">
        <f t="shared" si="12"/>
        <v>0.22252191899960017</v>
      </c>
    </row>
    <row r="56" spans="1:23">
      <c r="A56">
        <v>2001</v>
      </c>
      <c r="B56" s="2">
        <f>PCE!D57</f>
        <v>79.65625</v>
      </c>
      <c r="C56" s="2">
        <f>+'CPI-U-RS'!D61</f>
        <v>259.7</v>
      </c>
      <c r="D56" s="2">
        <v>177.1</v>
      </c>
      <c r="E56">
        <f t="shared" si="13"/>
        <v>0.21601848286484407</v>
      </c>
      <c r="F56">
        <f t="shared" si="14"/>
        <v>0.1885940146809712</v>
      </c>
      <c r="G56">
        <f t="shared" si="15"/>
        <v>1.1454153687234696</v>
      </c>
      <c r="H56">
        <f t="shared" si="4"/>
        <v>0.40200231035810552</v>
      </c>
      <c r="I56">
        <f t="shared" si="5"/>
        <v>0.36815358554488992</v>
      </c>
      <c r="J56">
        <f t="shared" si="16"/>
        <v>1.0919418583500073</v>
      </c>
      <c r="K56" s="2">
        <f t="shared" si="6"/>
        <v>1.5544806119860275</v>
      </c>
      <c r="L56" s="2">
        <f t="shared" si="7"/>
        <v>1.6210986267166043</v>
      </c>
      <c r="M56" s="2">
        <f t="shared" si="7"/>
        <v>1.7045235803657361</v>
      </c>
      <c r="N56" s="2">
        <v>1.7048872180451127</v>
      </c>
      <c r="O56" s="2">
        <f t="shared" si="8"/>
        <v>0.64330168693605327</v>
      </c>
      <c r="P56" s="2">
        <f>+C$39/C56</f>
        <v>0.61686561417019636</v>
      </c>
      <c r="Q56" s="2">
        <f>+D$39/D56</f>
        <v>0.58667419536984755</v>
      </c>
      <c r="R56">
        <v>0</v>
      </c>
      <c r="S56">
        <f t="shared" si="10"/>
        <v>1.0919000000000001</v>
      </c>
      <c r="U56">
        <f t="shared" si="17"/>
        <v>1.4875478927203063</v>
      </c>
      <c r="V56">
        <f t="shared" si="11"/>
        <v>1.7162576687116562</v>
      </c>
      <c r="W56">
        <f t="shared" si="12"/>
        <v>0.2287097759913499</v>
      </c>
    </row>
    <row r="57" spans="1:23">
      <c r="A57">
        <v>2002</v>
      </c>
      <c r="B57" s="2">
        <f>PCE!D58</f>
        <v>80.70174999999999</v>
      </c>
      <c r="C57" s="2">
        <f>+'CPI-U-RS'!D62</f>
        <v>263.8</v>
      </c>
      <c r="D57" s="2">
        <v>179.9</v>
      </c>
      <c r="E57">
        <f t="shared" si="13"/>
        <v>0.21266110689916604</v>
      </c>
      <c r="F57">
        <f t="shared" si="14"/>
        <v>0.1856586992773763</v>
      </c>
      <c r="G57">
        <f t="shared" si="15"/>
        <v>1.1454411117113765</v>
      </c>
      <c r="H57">
        <f t="shared" si="4"/>
        <v>0.3957543593631539</v>
      </c>
      <c r="I57">
        <f t="shared" si="5"/>
        <v>0.36242356864924957</v>
      </c>
      <c r="J57">
        <f t="shared" si="16"/>
        <v>1.0919663995311562</v>
      </c>
      <c r="K57" s="2">
        <f t="shared" si="6"/>
        <v>1.5748833987081161</v>
      </c>
      <c r="L57" s="2">
        <f t="shared" si="7"/>
        <v>1.6466916354556806</v>
      </c>
      <c r="M57" s="2">
        <f t="shared" si="7"/>
        <v>1.7314725697786333</v>
      </c>
      <c r="N57" s="2">
        <v>1.731203007518797</v>
      </c>
      <c r="O57" s="2">
        <f t="shared" si="8"/>
        <v>0.63496764320476329</v>
      </c>
      <c r="P57" s="2">
        <f t="shared" si="9"/>
        <v>0.60727824109173612</v>
      </c>
      <c r="Q57" s="2">
        <f t="shared" si="9"/>
        <v>0.57754307948860484</v>
      </c>
      <c r="R57">
        <v>0</v>
      </c>
      <c r="S57">
        <f t="shared" si="10"/>
        <v>1.0920000000000001</v>
      </c>
      <c r="U57">
        <f t="shared" si="17"/>
        <v>1.5268199233716475</v>
      </c>
      <c r="V57">
        <f t="shared" si="11"/>
        <v>1.75920245398773</v>
      </c>
      <c r="W57">
        <f t="shared" si="12"/>
        <v>0.23238253061608249</v>
      </c>
    </row>
    <row r="58" spans="1:23">
      <c r="A58">
        <v>2003</v>
      </c>
      <c r="B58" s="2">
        <f>PCE!D59</f>
        <v>82.397499999999994</v>
      </c>
      <c r="C58" s="2">
        <f>+'CPI-U-RS'!D63</f>
        <v>269.8</v>
      </c>
      <c r="D58" s="2">
        <v>184</v>
      </c>
      <c r="E58">
        <f t="shared" si="13"/>
        <v>0.20793180133432171</v>
      </c>
      <c r="F58">
        <f t="shared" si="14"/>
        <v>0.18152173913043476</v>
      </c>
      <c r="G58">
        <f t="shared" si="15"/>
        <v>1.1454925582489581</v>
      </c>
      <c r="H58">
        <f t="shared" si="4"/>
        <v>0.38695329873980727</v>
      </c>
      <c r="I58">
        <f t="shared" si="5"/>
        <v>0.35434782608695653</v>
      </c>
      <c r="J58">
        <f t="shared" si="16"/>
        <v>1.0920154442963885</v>
      </c>
      <c r="K58" s="2">
        <f t="shared" si="6"/>
        <v>1.6079757235134555</v>
      </c>
      <c r="L58" s="2">
        <f t="shared" si="7"/>
        <v>1.6841448189762798</v>
      </c>
      <c r="M58" s="2">
        <f t="shared" si="7"/>
        <v>1.7709335899903753</v>
      </c>
      <c r="N58" s="2">
        <v>1.7706766917293231</v>
      </c>
      <c r="O58" s="2">
        <f t="shared" si="8"/>
        <v>0.6218999362844746</v>
      </c>
      <c r="P58" s="2">
        <f t="shared" si="9"/>
        <v>0.59377316530763524</v>
      </c>
      <c r="Q58" s="2">
        <f t="shared" si="9"/>
        <v>0.56467391304347825</v>
      </c>
      <c r="R58">
        <v>0</v>
      </c>
      <c r="S58">
        <f t="shared" si="10"/>
        <v>1.0920000000000001</v>
      </c>
      <c r="U58">
        <f>(C58-C$33)/C$33</f>
        <v>1.5842911877394636</v>
      </c>
      <c r="V58">
        <f>(D58-D$33)/D$33</f>
        <v>1.8220858895705521</v>
      </c>
      <c r="W58">
        <f>+V58-U58</f>
        <v>0.23779470183108842</v>
      </c>
    </row>
    <row r="59" spans="1:23">
      <c r="A59">
        <v>2004</v>
      </c>
      <c r="B59" s="2">
        <f>PCE!D60</f>
        <v>84.443000000000012</v>
      </c>
      <c r="C59" s="2">
        <f>+'CPI-U-RS'!D64</f>
        <v>277</v>
      </c>
      <c r="D59" s="2">
        <v>188.9</v>
      </c>
      <c r="E59">
        <f t="shared" si="13"/>
        <v>0.20252707581227436</v>
      </c>
      <c r="F59">
        <f t="shared" si="14"/>
        <v>0.17681312863949178</v>
      </c>
      <c r="G59">
        <f t="shared" si="15"/>
        <v>1.1454300784712164</v>
      </c>
      <c r="H59">
        <f t="shared" si="4"/>
        <v>0.3768953068592058</v>
      </c>
      <c r="I59">
        <f t="shared" si="5"/>
        <v>0.34515616728427739</v>
      </c>
      <c r="J59">
        <f t="shared" si="16"/>
        <v>1.0919558813758279</v>
      </c>
      <c r="K59" s="2">
        <f t="shared" si="6"/>
        <v>1.6478933708018659</v>
      </c>
      <c r="L59" s="2">
        <f t="shared" si="7"/>
        <v>1.729088639200999</v>
      </c>
      <c r="M59" s="2">
        <f t="shared" si="7"/>
        <v>1.818094321462945</v>
      </c>
      <c r="N59" s="2">
        <v>1.8176691729323307</v>
      </c>
      <c r="O59" s="2">
        <f t="shared" si="8"/>
        <v>0.60683538007886961</v>
      </c>
      <c r="P59" s="2">
        <f t="shared" si="9"/>
        <v>0.57833935018050542</v>
      </c>
      <c r="Q59" s="2">
        <f t="shared" si="9"/>
        <v>0.55002646903123342</v>
      </c>
      <c r="R59">
        <v>0</v>
      </c>
      <c r="S59">
        <f t="shared" si="10"/>
        <v>1.0920000000000001</v>
      </c>
    </row>
    <row r="60" spans="1:23">
      <c r="A60">
        <v>2005</v>
      </c>
      <c r="B60" s="2">
        <f>PCE!D61</f>
        <v>86.875750000000011</v>
      </c>
      <c r="C60" s="2">
        <f>+'CPI-U-RS'!D65</f>
        <v>286.39999999999998</v>
      </c>
      <c r="D60" s="28">
        <v>195.3</v>
      </c>
      <c r="E60">
        <f t="shared" si="13"/>
        <v>0.19587988826815644</v>
      </c>
      <c r="F60">
        <f t="shared" si="14"/>
        <v>0.17101894521249358</v>
      </c>
      <c r="G60">
        <f t="shared" si="15"/>
        <v>1.1453695263105077</v>
      </c>
      <c r="H60">
        <f t="shared" si="4"/>
        <v>0.36452513966480454</v>
      </c>
      <c r="I60">
        <f t="shared" si="5"/>
        <v>0.33384536610343063</v>
      </c>
      <c r="J60">
        <f t="shared" si="16"/>
        <v>1.0918981560818455</v>
      </c>
      <c r="K60" s="2">
        <f>+B60/$B$39</f>
        <v>1.6953681478445841</v>
      </c>
      <c r="L60" s="2">
        <f t="shared" si="7"/>
        <v>1.7877652933832708</v>
      </c>
      <c r="M60" s="2">
        <f t="shared" si="7"/>
        <v>1.879692011549567</v>
      </c>
      <c r="N60" s="2">
        <v>1.8796992481203008</v>
      </c>
      <c r="O60" s="2">
        <f t="shared" si="8"/>
        <v>0.5898423898498717</v>
      </c>
      <c r="P60" s="2">
        <f>+C$39/C60</f>
        <v>0.55935754189944131</v>
      </c>
      <c r="Q60" s="2">
        <f>+D$39/D60</f>
        <v>0.53200204813108043</v>
      </c>
      <c r="R60">
        <v>0</v>
      </c>
      <c r="S60">
        <f t="shared" si="10"/>
        <v>1.0919000000000001</v>
      </c>
    </row>
    <row r="61" spans="1:23">
      <c r="A61">
        <f t="shared" ref="A61:A77" si="18">+A60+1</f>
        <v>2006</v>
      </c>
      <c r="B61" s="2">
        <f>PCE!D62</f>
        <v>89.322000000000003</v>
      </c>
      <c r="C61" s="2">
        <f>+'CPI-U-RS'!D66</f>
        <v>295.7</v>
      </c>
      <c r="D61" s="28">
        <f>+'CPI-U'!B63</f>
        <v>201.5916666666667</v>
      </c>
      <c r="E61">
        <f t="shared" si="13"/>
        <v>0.18971931011159959</v>
      </c>
      <c r="F61">
        <f t="shared" ref="F61:F66" si="19">+D$22/D61</f>
        <v>0.16568145177958743</v>
      </c>
      <c r="G61">
        <f t="shared" ref="G61:G66" si="20">+E61/F61</f>
        <v>1.1450847881511244</v>
      </c>
      <c r="H61">
        <f t="shared" ref="H61:I63" si="21">+C$33/C61</f>
        <v>0.35306053432532974</v>
      </c>
      <c r="I61">
        <f t="shared" si="21"/>
        <v>0.32342606754578146</v>
      </c>
      <c r="J61">
        <f t="shared" ref="J61:J66" si="22">+H61/I61</f>
        <v>1.0916267108721949</v>
      </c>
      <c r="K61" s="2"/>
      <c r="L61" s="2"/>
      <c r="M61" s="2"/>
      <c r="N61" s="13"/>
      <c r="O61" s="2"/>
      <c r="P61" s="2"/>
      <c r="Q61" s="2"/>
    </row>
    <row r="62" spans="1:23">
      <c r="A62">
        <f t="shared" si="18"/>
        <v>2007</v>
      </c>
      <c r="B62" s="2">
        <f>PCE!D63</f>
        <v>91.614249999999998</v>
      </c>
      <c r="C62" s="2">
        <f>+'CPI-U-RS'!D67</f>
        <v>304.10000000000002</v>
      </c>
      <c r="D62" s="28">
        <f>+'CPI-U'!B64</f>
        <v>207.34241666666671</v>
      </c>
      <c r="E62">
        <f t="shared" si="13"/>
        <v>0.1844787898717527</v>
      </c>
      <c r="F62">
        <f t="shared" si="19"/>
        <v>0.16108619035580832</v>
      </c>
      <c r="G62">
        <f t="shared" si="20"/>
        <v>1.1452179076572278</v>
      </c>
      <c r="H62">
        <f t="shared" si="21"/>
        <v>0.34330812232818153</v>
      </c>
      <c r="I62">
        <f t="shared" si="21"/>
        <v>0.31445567698199711</v>
      </c>
      <c r="J62">
        <f t="shared" si="22"/>
        <v>1.0917536157181105</v>
      </c>
    </row>
    <row r="63" spans="1:23">
      <c r="A63">
        <f t="shared" si="18"/>
        <v>2008</v>
      </c>
      <c r="B63" s="2">
        <f>PCE!D64</f>
        <v>94.325499999999991</v>
      </c>
      <c r="C63" s="2">
        <f>+'CPI-U-RS'!D68</f>
        <v>315.8</v>
      </c>
      <c r="D63" s="28">
        <f>+'CPI-U'!B65</f>
        <v>215.30250000000001</v>
      </c>
      <c r="E63">
        <f t="shared" si="13"/>
        <v>0.17764407853071565</v>
      </c>
      <c r="F63">
        <f t="shared" si="19"/>
        <v>0.15513057210204245</v>
      </c>
      <c r="G63">
        <f t="shared" si="20"/>
        <v>1.1451261741874075</v>
      </c>
      <c r="H63">
        <f t="shared" si="21"/>
        <v>0.33058898036732109</v>
      </c>
      <c r="I63">
        <f t="shared" si="21"/>
        <v>0.3028297395524901</v>
      </c>
      <c r="J63">
        <f t="shared" si="22"/>
        <v>1.0916661648088213</v>
      </c>
    </row>
    <row r="64" spans="1:23">
      <c r="A64">
        <f t="shared" si="18"/>
        <v>2009</v>
      </c>
      <c r="B64" s="2">
        <f>PCE!D65</f>
        <v>94.062749999999994</v>
      </c>
      <c r="C64" s="2">
        <f>+'CPI-U-RS'!D69</f>
        <v>314.7</v>
      </c>
      <c r="D64" s="28">
        <f>+'CPI-U'!B66</f>
        <v>214.53700000000001</v>
      </c>
      <c r="E64">
        <f t="shared" ref="E64:E69" si="23">+C$22/C64</f>
        <v>0.1782650142993327</v>
      </c>
      <c r="F64">
        <f t="shared" si="19"/>
        <v>0.15568410111076411</v>
      </c>
      <c r="G64">
        <f t="shared" si="20"/>
        <v>1.1450431548723334</v>
      </c>
      <c r="H64">
        <f t="shared" ref="H64:I66" si="24">+C$33/C64</f>
        <v>0.33174451858913256</v>
      </c>
      <c r="I64">
        <f t="shared" si="24"/>
        <v>0.30391028121023411</v>
      </c>
      <c r="J64">
        <f t="shared" si="22"/>
        <v>1.0915870212355328</v>
      </c>
    </row>
    <row r="65" spans="1:10">
      <c r="A65">
        <f t="shared" si="18"/>
        <v>2010</v>
      </c>
      <c r="B65" s="2">
        <f>PCE!D66</f>
        <v>95.747250000000008</v>
      </c>
      <c r="C65" s="2">
        <f>+'CPI-U-RS'!D70</f>
        <v>319.8</v>
      </c>
      <c r="D65" s="28">
        <f>+'CPI-U'!B67</f>
        <v>218.05550000000002</v>
      </c>
      <c r="E65">
        <f t="shared" si="23"/>
        <v>0.17542213883677299</v>
      </c>
      <c r="F65">
        <f t="shared" si="19"/>
        <v>0.15317201354700979</v>
      </c>
      <c r="G65">
        <f t="shared" si="20"/>
        <v>1.1452623411713161</v>
      </c>
      <c r="H65">
        <f t="shared" si="24"/>
        <v>0.32645403377110693</v>
      </c>
      <c r="I65">
        <f t="shared" si="24"/>
        <v>0.29900644560673773</v>
      </c>
      <c r="J65">
        <f t="shared" si="22"/>
        <v>1.0917959748615891</v>
      </c>
    </row>
    <row r="66" spans="1:10">
      <c r="A66">
        <f t="shared" si="18"/>
        <v>2011</v>
      </c>
      <c r="B66" s="2">
        <f>PCE!D67</f>
        <v>98.169499999999999</v>
      </c>
      <c r="C66" s="2">
        <f>+'CPI-U-RS'!D71</f>
        <v>330</v>
      </c>
      <c r="D66" s="28">
        <f>+'CPI-U'!B68</f>
        <v>224.93916666666667</v>
      </c>
      <c r="E66">
        <f t="shared" si="23"/>
        <v>0.17</v>
      </c>
      <c r="F66">
        <f t="shared" si="19"/>
        <v>0.14848459027811223</v>
      </c>
      <c r="G66">
        <f t="shared" si="20"/>
        <v>1.1448999500998005</v>
      </c>
      <c r="H66">
        <f t="shared" si="24"/>
        <v>0.3163636363636364</v>
      </c>
      <c r="I66">
        <f t="shared" si="24"/>
        <v>0.28985614629140471</v>
      </c>
      <c r="J66">
        <f t="shared" si="22"/>
        <v>1.0914505019520357</v>
      </c>
    </row>
    <row r="67" spans="1:10">
      <c r="A67">
        <f t="shared" si="18"/>
        <v>2012</v>
      </c>
      <c r="B67" s="2">
        <f>PCE!D68</f>
        <v>100</v>
      </c>
      <c r="C67" s="2">
        <f>+'CPI-U-RS'!D72</f>
        <v>336.9</v>
      </c>
      <c r="D67" s="28">
        <f>+'CPI-U'!B69</f>
        <v>229.5939166666667</v>
      </c>
      <c r="E67">
        <f t="shared" si="23"/>
        <v>0.16651825467497774</v>
      </c>
      <c r="F67">
        <f t="shared" ref="F67" si="25">+D$22/D67</f>
        <v>0.14547423766672096</v>
      </c>
      <c r="G67">
        <f t="shared" ref="G67" si="26">+E67/F67</f>
        <v>1.1446580325546594</v>
      </c>
      <c r="H67">
        <f t="shared" ref="H67" si="27">+C$33/C67</f>
        <v>0.30988423864648268</v>
      </c>
      <c r="I67">
        <f t="shared" ref="I67" si="28">+D$33/D67</f>
        <v>0.28397964957695232</v>
      </c>
      <c r="J67">
        <f t="shared" ref="J67" si="29">+H67/I67</f>
        <v>1.0912198782839571</v>
      </c>
    </row>
    <row r="68" spans="1:10">
      <c r="A68">
        <f t="shared" si="18"/>
        <v>2013</v>
      </c>
      <c r="B68" s="2">
        <f>PCE!D69</f>
        <v>101.35425000000001</v>
      </c>
      <c r="C68" s="2">
        <f>+'CPI-U-RS'!D73</f>
        <v>342</v>
      </c>
      <c r="D68" s="28">
        <f>+'CPI-U'!B70</f>
        <v>232.95708333333332</v>
      </c>
      <c r="E68">
        <f t="shared" si="23"/>
        <v>0.16403508771929826</v>
      </c>
      <c r="F68">
        <f t="shared" ref="F68" si="30">+D$22/D68</f>
        <v>0.14337404779492646</v>
      </c>
      <c r="G68">
        <f t="shared" ref="G68" si="31">+E68/F68</f>
        <v>1.1441058562699165</v>
      </c>
      <c r="H68">
        <f t="shared" ref="H68" si="32">+C$33/C68</f>
        <v>0.30526315789473685</v>
      </c>
      <c r="I68">
        <f t="shared" ref="I68" si="33">+D$33/D68</f>
        <v>0.27987987773141337</v>
      </c>
      <c r="J68">
        <f t="shared" ref="J68" si="34">+H68/I68</f>
        <v>1.0906934802497039</v>
      </c>
    </row>
    <row r="69" spans="1:10">
      <c r="A69">
        <f t="shared" si="18"/>
        <v>2014</v>
      </c>
      <c r="B69" s="2">
        <f>PCE!D70</f>
        <v>102.88650000000001</v>
      </c>
      <c r="C69" s="2">
        <f>+'CPI-U-RS'!D74</f>
        <v>347.7</v>
      </c>
      <c r="D69" s="28">
        <f>+'CPI-U'!B71</f>
        <v>236.73616666666666</v>
      </c>
      <c r="E69">
        <f t="shared" si="23"/>
        <v>0.16134598792062124</v>
      </c>
      <c r="F69">
        <f t="shared" ref="F69" si="35">+D$22/D69</f>
        <v>0.14108532916742056</v>
      </c>
      <c r="G69">
        <f t="shared" ref="G69" si="36">+E69/F69</f>
        <v>1.1436057092028196</v>
      </c>
      <c r="H69">
        <f t="shared" ref="H69" si="37">+C$33/C69</f>
        <v>0.30025884383088874</v>
      </c>
      <c r="I69">
        <f t="shared" ref="I69" si="38">+D$33/D69</f>
        <v>0.27541207969209042</v>
      </c>
      <c r="J69">
        <f t="shared" ref="J69" si="39">+H69/I69</f>
        <v>1.0902166824584343</v>
      </c>
    </row>
    <row r="70" spans="1:10">
      <c r="A70">
        <f t="shared" si="18"/>
        <v>2015</v>
      </c>
      <c r="B70" s="2">
        <f>PCE!D71</f>
        <v>103.1155</v>
      </c>
      <c r="C70" s="2">
        <f>+'CPI-U-RS'!D75</f>
        <v>348.3</v>
      </c>
      <c r="D70" s="28">
        <f>+'CPI-U'!B72</f>
        <v>237.01700000000002</v>
      </c>
      <c r="E70">
        <f t="shared" ref="E70:E71" si="40">+C$22/C70</f>
        <v>0.16106804478897502</v>
      </c>
      <c r="F70">
        <f t="shared" ref="F70:F71" si="41">+D$22/D70</f>
        <v>0.14091816198838056</v>
      </c>
      <c r="G70">
        <f t="shared" ref="G70:G71" si="42">+E70/F70</f>
        <v>1.142989963226003</v>
      </c>
      <c r="H70">
        <f t="shared" ref="H70:H71" si="43">+C$33/C70</f>
        <v>0.29974160206718348</v>
      </c>
      <c r="I70">
        <f t="shared" ref="I70:I71" si="44">+D$33/D70</f>
        <v>0.27508575334258722</v>
      </c>
      <c r="J70">
        <f t="shared" ref="J70:J71" si="45">+H70/I70</f>
        <v>1.0896296824717429</v>
      </c>
    </row>
    <row r="71" spans="1:10">
      <c r="A71">
        <f t="shared" si="18"/>
        <v>2016</v>
      </c>
      <c r="B71" s="2">
        <f>PCE!D72</f>
        <v>104.14824999999999</v>
      </c>
      <c r="C71" s="2">
        <f>+'CPI-U-RS'!D76</f>
        <v>352.8</v>
      </c>
      <c r="D71" s="28">
        <f>+'CPI-U'!B73</f>
        <v>240.00716666666662</v>
      </c>
      <c r="E71">
        <f t="shared" si="40"/>
        <v>0.15901360544217688</v>
      </c>
      <c r="F71">
        <f t="shared" si="41"/>
        <v>0.13916251111945965</v>
      </c>
      <c r="G71">
        <f t="shared" si="42"/>
        <v>1.1426468534020393</v>
      </c>
      <c r="H71">
        <f t="shared" si="43"/>
        <v>0.29591836734693877</v>
      </c>
      <c r="I71">
        <f t="shared" si="44"/>
        <v>0.27165855464038235</v>
      </c>
      <c r="J71">
        <f t="shared" si="45"/>
        <v>1.0893025906681688</v>
      </c>
    </row>
    <row r="72" spans="1:10">
      <c r="A72">
        <v>2017</v>
      </c>
      <c r="B72" s="2">
        <f>PCE!D73</f>
        <v>106.05374999999999</v>
      </c>
      <c r="C72" s="2">
        <f>+'CPI-U-RS'!D77</f>
        <v>360.3</v>
      </c>
      <c r="D72" s="28">
        <f>+'CPI-U'!B74</f>
        <v>245.12</v>
      </c>
      <c r="E72">
        <f t="shared" ref="E72:E73" si="46">+C$22/C72</f>
        <v>0.15570358034970858</v>
      </c>
      <c r="F72">
        <f t="shared" ref="F72:F73" si="47">+D$22/D72</f>
        <v>0.13625979112271538</v>
      </c>
      <c r="G72">
        <f t="shared" ref="G72:G73" si="48">+E72/F72</f>
        <v>1.1426964555485202</v>
      </c>
      <c r="H72">
        <f t="shared" ref="H72:H73" si="49">+C$33/C72</f>
        <v>0.28975853455453787</v>
      </c>
      <c r="I72">
        <f t="shared" ref="I72:I73" si="50">+D$33/D72</f>
        <v>0.26599216710182766</v>
      </c>
      <c r="J72">
        <f t="shared" ref="J72:J73" si="51">+H72/I72</f>
        <v>1.0893498771473671</v>
      </c>
    </row>
    <row r="73" spans="1:10">
      <c r="A73">
        <f t="shared" si="18"/>
        <v>2018</v>
      </c>
      <c r="B73" s="2">
        <f>PCE!D74</f>
        <v>108.31675</v>
      </c>
      <c r="C73" s="2">
        <f>+'CPI-U-RS'!D78</f>
        <v>369.1</v>
      </c>
      <c r="D73" s="28">
        <f>+'CPI-U'!B75</f>
        <v>251.107</v>
      </c>
      <c r="E73">
        <f t="shared" si="46"/>
        <v>0.1519913302628014</v>
      </c>
      <c r="F73">
        <f t="shared" si="47"/>
        <v>0.13301102717168378</v>
      </c>
      <c r="G73">
        <f t="shared" si="48"/>
        <v>1.1426972146197985</v>
      </c>
      <c r="H73">
        <f t="shared" si="49"/>
        <v>0.28285017610403684</v>
      </c>
      <c r="I73">
        <f t="shared" si="50"/>
        <v>0.25965026861059232</v>
      </c>
      <c r="J73">
        <f t="shared" si="51"/>
        <v>1.0893506007815394</v>
      </c>
    </row>
    <row r="74" spans="1:10">
      <c r="A74">
        <f t="shared" si="18"/>
        <v>2019</v>
      </c>
      <c r="B74" s="2">
        <f>PCE!D75</f>
        <v>109.93300000000001</v>
      </c>
      <c r="C74" s="2">
        <f>+'CPI-U-RS'!D79</f>
        <v>375.8</v>
      </c>
      <c r="D74" s="28">
        <f>+'CPI-U'!B76</f>
        <v>255.65700000000001</v>
      </c>
      <c r="E74">
        <f t="shared" ref="E74" si="52">+C$22/C74</f>
        <v>0.14928153273017564</v>
      </c>
      <c r="F74">
        <f t="shared" ref="F74" si="53">+D$22/D74</f>
        <v>0.1306437922685473</v>
      </c>
      <c r="G74">
        <f t="shared" ref="G74" si="54">+E74/F74</f>
        <v>1.1426607429101352</v>
      </c>
      <c r="H74">
        <f t="shared" ref="H74" si="55">+C$33/C74</f>
        <v>0.27780734433209153</v>
      </c>
      <c r="I74">
        <f t="shared" ref="I74" si="56">+D$33/D74</f>
        <v>0.25502919927872109</v>
      </c>
      <c r="J74">
        <f t="shared" ref="J74" si="57">+H74/I74</f>
        <v>1.0893158317470786</v>
      </c>
    </row>
    <row r="75" spans="1:10">
      <c r="A75">
        <f t="shared" si="18"/>
        <v>2020</v>
      </c>
      <c r="B75" s="2">
        <f>PCE!D76</f>
        <v>111.14449999999999</v>
      </c>
      <c r="C75" s="2">
        <f>+'CPI-U-RS'!D80</f>
        <v>380.8</v>
      </c>
      <c r="D75" s="28">
        <f>+'CPI-U'!B77</f>
        <v>258.81099999999998</v>
      </c>
      <c r="E75">
        <f t="shared" ref="E75" si="58">+C$22/C75</f>
        <v>0.14732142857142858</v>
      </c>
      <c r="F75">
        <f t="shared" ref="F75" si="59">+D$22/D75</f>
        <v>0.12905170182101997</v>
      </c>
      <c r="G75">
        <f t="shared" ref="G75" si="60">+E75/F75</f>
        <v>1.1415690494011976</v>
      </c>
      <c r="H75">
        <f t="shared" ref="H75" si="61">+C$33/C75</f>
        <v>0.27415966386554624</v>
      </c>
      <c r="I75">
        <f t="shared" ref="I75" si="62">+D$33/D75</f>
        <v>0.25192128618953602</v>
      </c>
      <c r="J75">
        <f t="shared" ref="J75" si="63">+H75/I75</f>
        <v>1.0882751037531577</v>
      </c>
    </row>
    <row r="76" spans="1:10">
      <c r="A76">
        <f t="shared" si="18"/>
        <v>2021</v>
      </c>
      <c r="B76" s="2">
        <f>PCE!D77</f>
        <v>115.62075</v>
      </c>
      <c r="C76" s="2">
        <f>+'CPI-U-RS'!D81</f>
        <v>399.2</v>
      </c>
      <c r="D76" s="28">
        <f>+'CPI-U'!B78</f>
        <v>270.96975000000003</v>
      </c>
      <c r="E76">
        <f t="shared" ref="E76" si="64">+C$22/C76</f>
        <v>0.14053106212424851</v>
      </c>
      <c r="F76">
        <f t="shared" ref="F76" si="65">+D$22/D76</f>
        <v>0.12326099130991557</v>
      </c>
      <c r="G76">
        <f t="shared" ref="G76" si="66">+E76/F76</f>
        <v>1.1401097835641345</v>
      </c>
      <c r="H76">
        <f t="shared" ref="H76" si="67">+C$33/C76</f>
        <v>0.26152304609218441</v>
      </c>
      <c r="I76">
        <f t="shared" ref="I76" si="68">+D$33/D76</f>
        <v>0.24061726447324838</v>
      </c>
      <c r="J76">
        <f t="shared" ref="J76" si="69">+H76/I76</f>
        <v>1.0868839634791057</v>
      </c>
    </row>
    <row r="77" spans="1:10">
      <c r="A77">
        <f t="shared" si="18"/>
        <v>2022</v>
      </c>
      <c r="B77" s="2">
        <f>PCE!D78</f>
        <v>122.86099999999999</v>
      </c>
      <c r="C77" s="2">
        <f>+'CPI-U-RS'!D82</f>
        <v>431.5</v>
      </c>
      <c r="D77" s="28">
        <f>+'CPI-U'!B79</f>
        <v>292.65499999999997</v>
      </c>
      <c r="E77">
        <f t="shared" ref="E77" si="70">+C$22/C77</f>
        <v>0.13001158748551564</v>
      </c>
      <c r="F77">
        <f t="shared" ref="F77" si="71">+D$22/D77</f>
        <v>0.11412755633766722</v>
      </c>
      <c r="G77">
        <f t="shared" ref="G77" si="72">+E77/F77</f>
        <v>1.1391778783105861</v>
      </c>
      <c r="H77">
        <f t="shared" ref="H77" si="73">+C$33/C77</f>
        <v>0.24194669756662807</v>
      </c>
      <c r="I77">
        <f t="shared" ref="I77" si="74">+D$33/D77</f>
        <v>0.22278792434778155</v>
      </c>
      <c r="J77">
        <f t="shared" ref="J77" si="75">+H77/I77</f>
        <v>1.0859955640546246</v>
      </c>
    </row>
    <row r="78" spans="1:10">
      <c r="B78" s="2"/>
      <c r="C78" s="2"/>
      <c r="D78" s="28"/>
    </row>
    <row r="79" spans="1:10">
      <c r="B79" s="2"/>
      <c r="C79" s="2"/>
      <c r="D79" s="28"/>
    </row>
    <row r="80" spans="1:10">
      <c r="B80" s="2"/>
      <c r="C80" s="2"/>
      <c r="D80" s="28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L79"/>
  <sheetViews>
    <sheetView topLeftCell="A58" workbookViewId="0">
      <selection activeCell="J76" sqref="J76"/>
    </sheetView>
  </sheetViews>
  <sheetFormatPr defaultRowHeight="12.75"/>
  <cols>
    <col min="1" max="1" width="24.140625" customWidth="1"/>
    <col min="4" max="4" width="13.42578125" customWidth="1"/>
    <col min="5" max="5" width="13.85546875" customWidth="1"/>
  </cols>
  <sheetData>
    <row r="3" spans="2:12">
      <c r="C3" t="s">
        <v>45</v>
      </c>
      <c r="D3" t="s">
        <v>49</v>
      </c>
      <c r="E3" t="s">
        <v>50</v>
      </c>
      <c r="G3" t="s">
        <v>48</v>
      </c>
    </row>
    <row r="4" spans="2:12">
      <c r="B4">
        <v>1947</v>
      </c>
      <c r="C4">
        <f>'CPI-U-RS'!D7</f>
        <v>37.5</v>
      </c>
      <c r="D4">
        <f>+C4</f>
        <v>37.5</v>
      </c>
      <c r="E4">
        <f>+ROUND(D4/$D$37,3)</f>
        <v>0.41599999999999998</v>
      </c>
      <c r="K4">
        <f>+ROUND(C4/$C$62,3)</f>
        <v>0.13100000000000001</v>
      </c>
      <c r="L4">
        <f>+ROUND(D4/$D$62,3)</f>
        <v>0.224</v>
      </c>
    </row>
    <row r="5" spans="2:12">
      <c r="B5">
        <v>1948</v>
      </c>
      <c r="C5">
        <f>'CPI-U-RS'!D8</f>
        <v>40.5</v>
      </c>
      <c r="D5">
        <f t="shared" ref="D5:D34" si="0">+D4+D4*((C5-C4)/C4-0.011)</f>
        <v>40.087499999999999</v>
      </c>
      <c r="E5">
        <f t="shared" ref="E5:E64" si="1">+ROUND(D5/$D$37,3)</f>
        <v>0.44500000000000001</v>
      </c>
      <c r="G5">
        <f>+(C5-C4)/C4</f>
        <v>0.08</v>
      </c>
      <c r="H5">
        <f>+(D5-D4)/D4</f>
        <v>6.8999999999999964E-2</v>
      </c>
      <c r="I5">
        <f>+H5-G5</f>
        <v>-1.1000000000000038E-2</v>
      </c>
      <c r="K5">
        <f t="shared" ref="K5:K62" si="2">+ROUND(C5/$C$62,3)</f>
        <v>0.14099999999999999</v>
      </c>
      <c r="L5">
        <f t="shared" ref="L5:L62" si="3">+ROUND(D5/$D$62,3)</f>
        <v>0.24</v>
      </c>
    </row>
    <row r="6" spans="2:12">
      <c r="B6">
        <v>1949</v>
      </c>
      <c r="C6">
        <f>'CPI-U-RS'!D9</f>
        <v>40</v>
      </c>
      <c r="D6">
        <f t="shared" si="0"/>
        <v>39.15163009259259</v>
      </c>
      <c r="E6">
        <f t="shared" si="1"/>
        <v>0.434</v>
      </c>
      <c r="G6">
        <f t="shared" ref="G6:G27" si="4">+(C6-C5)/C5</f>
        <v>-1.2345679012345678E-2</v>
      </c>
      <c r="H6">
        <f t="shared" ref="H6:H27" si="5">+(D6-D5)/D5</f>
        <v>-2.3345679012345699E-2</v>
      </c>
      <c r="I6">
        <f t="shared" ref="I6:I62" si="6">+H6-G6</f>
        <v>-1.100000000000002E-2</v>
      </c>
      <c r="K6">
        <f t="shared" si="2"/>
        <v>0.14000000000000001</v>
      </c>
      <c r="L6">
        <f t="shared" si="3"/>
        <v>0.23400000000000001</v>
      </c>
    </row>
    <row r="7" spans="2:12">
      <c r="B7">
        <v>1950</v>
      </c>
      <c r="C7">
        <f>'CPI-U-RS'!D10</f>
        <v>40.5</v>
      </c>
      <c r="D7">
        <f t="shared" si="0"/>
        <v>39.210357537731483</v>
      </c>
      <c r="E7">
        <f t="shared" si="1"/>
        <v>0.435</v>
      </c>
      <c r="G7">
        <f t="shared" si="4"/>
        <v>1.2500000000000001E-2</v>
      </c>
      <c r="H7">
        <f t="shared" si="5"/>
        <v>1.5000000000000837E-3</v>
      </c>
      <c r="I7">
        <f t="shared" si="6"/>
        <v>-1.0999999999999916E-2</v>
      </c>
      <c r="K7">
        <f t="shared" si="2"/>
        <v>0.14099999999999999</v>
      </c>
      <c r="L7">
        <f t="shared" si="3"/>
        <v>0.23400000000000001</v>
      </c>
    </row>
    <row r="8" spans="2:12">
      <c r="B8">
        <v>1951</v>
      </c>
      <c r="C8">
        <f>'CPI-U-RS'!D11</f>
        <v>43.7</v>
      </c>
      <c r="D8">
        <f t="shared" si="0"/>
        <v>41.877145928785346</v>
      </c>
      <c r="E8">
        <f t="shared" si="1"/>
        <v>0.46500000000000002</v>
      </c>
      <c r="G8">
        <f t="shared" si="4"/>
        <v>7.9012345679012413E-2</v>
      </c>
      <c r="H8">
        <f t="shared" si="5"/>
        <v>6.8012345679012404E-2</v>
      </c>
      <c r="I8">
        <f t="shared" si="6"/>
        <v>-1.100000000000001E-2</v>
      </c>
      <c r="K8">
        <f t="shared" si="2"/>
        <v>0.153</v>
      </c>
      <c r="L8">
        <f t="shared" si="3"/>
        <v>0.25</v>
      </c>
    </row>
    <row r="9" spans="2:12">
      <c r="B9">
        <v>1952</v>
      </c>
      <c r="C9">
        <f>'CPI-U-RS'!D12</f>
        <v>44.5</v>
      </c>
      <c r="D9">
        <f t="shared" si="0"/>
        <v>42.183126997322212</v>
      </c>
      <c r="E9">
        <f t="shared" si="1"/>
        <v>0.46800000000000003</v>
      </c>
      <c r="G9">
        <f t="shared" si="4"/>
        <v>1.8306636155606341E-2</v>
      </c>
      <c r="H9">
        <f t="shared" si="5"/>
        <v>7.3066361556063438E-3</v>
      </c>
      <c r="I9">
        <f t="shared" si="6"/>
        <v>-1.0999999999999998E-2</v>
      </c>
      <c r="K9">
        <f t="shared" si="2"/>
        <v>0.155</v>
      </c>
      <c r="L9">
        <f t="shared" si="3"/>
        <v>0.252</v>
      </c>
    </row>
    <row r="10" spans="2:12">
      <c r="B10">
        <v>1953</v>
      </c>
      <c r="C10">
        <f>'CPI-U-RS'!D13</f>
        <v>44.8</v>
      </c>
      <c r="D10">
        <f t="shared" si="0"/>
        <v>42.003493231794288</v>
      </c>
      <c r="E10">
        <f t="shared" si="1"/>
        <v>0.46600000000000003</v>
      </c>
      <c r="G10">
        <f t="shared" si="4"/>
        <v>6.7415730337078011E-3</v>
      </c>
      <c r="H10">
        <f t="shared" si="5"/>
        <v>-4.2584269662921791E-3</v>
      </c>
      <c r="I10">
        <f t="shared" si="6"/>
        <v>-1.099999999999998E-2</v>
      </c>
      <c r="K10">
        <f t="shared" si="2"/>
        <v>0.156</v>
      </c>
      <c r="L10">
        <f t="shared" si="3"/>
        <v>0.251</v>
      </c>
    </row>
    <row r="11" spans="2:12">
      <c r="B11">
        <v>1954</v>
      </c>
      <c r="C11">
        <f>'CPI-U-RS'!D14</f>
        <v>45.2</v>
      </c>
      <c r="D11">
        <f t="shared" si="0"/>
        <v>41.916485995814149</v>
      </c>
      <c r="E11">
        <f t="shared" si="1"/>
        <v>0.46500000000000002</v>
      </c>
      <c r="G11">
        <f t="shared" si="4"/>
        <v>8.9285714285715564E-3</v>
      </c>
      <c r="H11">
        <f t="shared" si="5"/>
        <v>-2.0714285714284065E-3</v>
      </c>
      <c r="I11">
        <f t="shared" si="6"/>
        <v>-1.0999999999999963E-2</v>
      </c>
      <c r="K11">
        <f t="shared" si="2"/>
        <v>0.158</v>
      </c>
      <c r="L11">
        <f t="shared" si="3"/>
        <v>0.251</v>
      </c>
    </row>
    <row r="12" spans="2:12">
      <c r="B12">
        <v>1955</v>
      </c>
      <c r="C12">
        <f>'CPI-U-RS'!D15</f>
        <v>45</v>
      </c>
      <c r="D12">
        <f t="shared" si="0"/>
        <v>41.269933472887558</v>
      </c>
      <c r="E12">
        <f t="shared" si="1"/>
        <v>0.45800000000000002</v>
      </c>
      <c r="G12">
        <f t="shared" si="4"/>
        <v>-4.4247787610620093E-3</v>
      </c>
      <c r="H12">
        <f t="shared" si="5"/>
        <v>-1.5424778761062092E-2</v>
      </c>
      <c r="I12">
        <f t="shared" si="6"/>
        <v>-1.1000000000000083E-2</v>
      </c>
      <c r="K12">
        <f t="shared" si="2"/>
        <v>0.157</v>
      </c>
      <c r="L12">
        <f t="shared" si="3"/>
        <v>0.247</v>
      </c>
    </row>
    <row r="13" spans="2:12">
      <c r="B13">
        <v>1956</v>
      </c>
      <c r="C13">
        <f>'CPI-U-RS'!D16</f>
        <v>45.7</v>
      </c>
      <c r="D13">
        <f t="shared" si="0"/>
        <v>41.457940947597379</v>
      </c>
      <c r="E13">
        <f t="shared" si="1"/>
        <v>0.46</v>
      </c>
      <c r="G13">
        <f t="shared" si="4"/>
        <v>1.5555555555555619E-2</v>
      </c>
      <c r="H13">
        <f t="shared" si="5"/>
        <v>4.5555555555555436E-3</v>
      </c>
      <c r="I13">
        <f t="shared" si="6"/>
        <v>-1.1000000000000076E-2</v>
      </c>
      <c r="K13">
        <f t="shared" si="2"/>
        <v>0.16</v>
      </c>
      <c r="L13">
        <f t="shared" si="3"/>
        <v>0.248</v>
      </c>
    </row>
    <row r="14" spans="2:12">
      <c r="B14">
        <v>1957</v>
      </c>
      <c r="C14">
        <f>'CPI-U-RS'!D17</f>
        <v>47.2</v>
      </c>
      <c r="D14">
        <f t="shared" si="0"/>
        <v>42.362667523243744</v>
      </c>
      <c r="E14">
        <f t="shared" si="1"/>
        <v>0.47</v>
      </c>
      <c r="G14">
        <f t="shared" si="4"/>
        <v>3.2822757111597371E-2</v>
      </c>
      <c r="H14">
        <f t="shared" si="5"/>
        <v>2.1822757111597368E-2</v>
      </c>
      <c r="I14">
        <f t="shared" si="6"/>
        <v>-1.1000000000000003E-2</v>
      </c>
      <c r="K14">
        <f t="shared" si="2"/>
        <v>0.16500000000000001</v>
      </c>
      <c r="L14">
        <f t="shared" si="3"/>
        <v>0.253</v>
      </c>
    </row>
    <row r="15" spans="2:12">
      <c r="B15">
        <v>1958</v>
      </c>
      <c r="C15">
        <f>'CPI-U-RS'!D18</f>
        <v>48.5</v>
      </c>
      <c r="D15">
        <f t="shared" si="0"/>
        <v>43.063446565662147</v>
      </c>
      <c r="E15">
        <f t="shared" si="1"/>
        <v>0.47799999999999998</v>
      </c>
      <c r="G15">
        <f t="shared" si="4"/>
        <v>2.7542372881355869E-2</v>
      </c>
      <c r="H15">
        <f t="shared" si="5"/>
        <v>1.6542372881355901E-2</v>
      </c>
      <c r="I15">
        <f t="shared" si="6"/>
        <v>-1.0999999999999968E-2</v>
      </c>
      <c r="K15">
        <f t="shared" si="2"/>
        <v>0.16900000000000001</v>
      </c>
      <c r="L15">
        <f t="shared" si="3"/>
        <v>0.25700000000000001</v>
      </c>
    </row>
    <row r="16" spans="2:12">
      <c r="B16">
        <v>1959</v>
      </c>
      <c r="C16">
        <f>'CPI-U-RS'!D19</f>
        <v>48.9</v>
      </c>
      <c r="D16">
        <f t="shared" si="0"/>
        <v>42.944911099342228</v>
      </c>
      <c r="E16">
        <f t="shared" si="1"/>
        <v>0.47599999999999998</v>
      </c>
      <c r="G16">
        <f t="shared" si="4"/>
        <v>8.2474226804123418E-3</v>
      </c>
      <c r="H16">
        <f t="shared" si="5"/>
        <v>-2.7525773195877169E-3</v>
      </c>
      <c r="I16">
        <f t="shared" si="6"/>
        <v>-1.1000000000000058E-2</v>
      </c>
      <c r="K16">
        <f t="shared" si="2"/>
        <v>0.17100000000000001</v>
      </c>
      <c r="L16">
        <f t="shared" si="3"/>
        <v>0.25700000000000001</v>
      </c>
    </row>
    <row r="17" spans="2:12">
      <c r="B17">
        <v>1960</v>
      </c>
      <c r="C17">
        <f>'CPI-U-RS'!D20</f>
        <v>49.7</v>
      </c>
      <c r="D17">
        <f t="shared" si="0"/>
        <v>43.175092309958544</v>
      </c>
      <c r="E17">
        <f t="shared" si="1"/>
        <v>0.47899999999999998</v>
      </c>
      <c r="G17">
        <f t="shared" si="4"/>
        <v>1.6359918200409086E-2</v>
      </c>
      <c r="H17">
        <f t="shared" si="5"/>
        <v>5.3599182004091068E-3</v>
      </c>
      <c r="I17">
        <f t="shared" si="6"/>
        <v>-1.0999999999999979E-2</v>
      </c>
      <c r="K17">
        <f t="shared" si="2"/>
        <v>0.17399999999999999</v>
      </c>
      <c r="L17">
        <f t="shared" si="3"/>
        <v>0.25800000000000001</v>
      </c>
    </row>
    <row r="18" spans="2:12">
      <c r="B18">
        <v>1961</v>
      </c>
      <c r="C18">
        <f>'CPI-U-RS'!D21</f>
        <v>50.2</v>
      </c>
      <c r="D18">
        <f t="shared" si="0"/>
        <v>43.134523360041541</v>
      </c>
      <c r="E18">
        <f t="shared" si="1"/>
        <v>0.47799999999999998</v>
      </c>
      <c r="G18">
        <f t="shared" si="4"/>
        <v>1.0060362173038229E-2</v>
      </c>
      <c r="H18">
        <f t="shared" si="5"/>
        <v>-9.3963782696174811E-4</v>
      </c>
      <c r="I18">
        <f t="shared" si="6"/>
        <v>-1.0999999999999977E-2</v>
      </c>
      <c r="K18">
        <f t="shared" si="2"/>
        <v>0.17499999999999999</v>
      </c>
      <c r="L18">
        <f t="shared" si="3"/>
        <v>0.25800000000000001</v>
      </c>
    </row>
    <row r="19" spans="2:12">
      <c r="B19">
        <v>1962</v>
      </c>
      <c r="C19">
        <f>'CPI-U-RS'!D22</f>
        <v>50.7</v>
      </c>
      <c r="D19">
        <f t="shared" si="0"/>
        <v>43.089670329774727</v>
      </c>
      <c r="E19">
        <f t="shared" si="1"/>
        <v>0.47799999999999998</v>
      </c>
      <c r="G19">
        <f t="shared" si="4"/>
        <v>9.9601593625498006E-3</v>
      </c>
      <c r="H19">
        <f t="shared" si="5"/>
        <v>-1.0398406374501653E-3</v>
      </c>
      <c r="I19">
        <f t="shared" si="6"/>
        <v>-1.0999999999999966E-2</v>
      </c>
      <c r="K19">
        <f t="shared" si="2"/>
        <v>0.17699999999999999</v>
      </c>
      <c r="L19">
        <f t="shared" si="3"/>
        <v>0.25800000000000001</v>
      </c>
    </row>
    <row r="20" spans="2:12">
      <c r="B20">
        <v>1963</v>
      </c>
      <c r="C20">
        <f>'CPI-U-RS'!D23</f>
        <v>51.4</v>
      </c>
      <c r="D20">
        <f t="shared" si="0"/>
        <v>43.210610370956715</v>
      </c>
      <c r="E20">
        <f t="shared" si="1"/>
        <v>0.47899999999999998</v>
      </c>
      <c r="G20">
        <f t="shared" si="4"/>
        <v>1.3806706114398336E-2</v>
      </c>
      <c r="H20">
        <f t="shared" si="5"/>
        <v>2.8067061143983649E-3</v>
      </c>
      <c r="I20">
        <f t="shared" si="6"/>
        <v>-1.0999999999999972E-2</v>
      </c>
      <c r="K20">
        <f t="shared" si="2"/>
        <v>0.17899999999999999</v>
      </c>
      <c r="L20">
        <f t="shared" si="3"/>
        <v>0.25800000000000001</v>
      </c>
    </row>
    <row r="21" spans="2:12">
      <c r="B21">
        <v>1964</v>
      </c>
      <c r="C21">
        <f>'CPI-U-RS'!D24</f>
        <v>52.1</v>
      </c>
      <c r="D21">
        <f t="shared" si="0"/>
        <v>43.323765004340586</v>
      </c>
      <c r="E21">
        <f t="shared" si="1"/>
        <v>0.48099999999999998</v>
      </c>
      <c r="G21">
        <f t="shared" si="4"/>
        <v>1.3618677042801612E-2</v>
      </c>
      <c r="H21">
        <f t="shared" si="5"/>
        <v>2.6186770428016522E-3</v>
      </c>
      <c r="I21">
        <f t="shared" si="6"/>
        <v>-1.0999999999999959E-2</v>
      </c>
      <c r="K21">
        <f t="shared" si="2"/>
        <v>0.182</v>
      </c>
      <c r="L21">
        <f t="shared" si="3"/>
        <v>0.25900000000000001</v>
      </c>
    </row>
    <row r="22" spans="2:12">
      <c r="B22">
        <v>1965</v>
      </c>
      <c r="C22">
        <f>'CPI-U-RS'!D25</f>
        <v>52.9</v>
      </c>
      <c r="D22">
        <f t="shared" si="0"/>
        <v>43.512443742910349</v>
      </c>
      <c r="E22">
        <f t="shared" si="1"/>
        <v>0.48299999999999998</v>
      </c>
      <c r="G22">
        <f t="shared" si="4"/>
        <v>1.535508637236079E-2</v>
      </c>
      <c r="H22">
        <f t="shared" si="5"/>
        <v>4.3550863723607449E-3</v>
      </c>
      <c r="I22">
        <f t="shared" si="6"/>
        <v>-1.1000000000000044E-2</v>
      </c>
      <c r="K22">
        <f t="shared" si="2"/>
        <v>0.185</v>
      </c>
      <c r="L22">
        <f t="shared" si="3"/>
        <v>0.26</v>
      </c>
    </row>
    <row r="23" spans="2:12">
      <c r="B23">
        <v>1966</v>
      </c>
      <c r="C23">
        <f>'CPI-U-RS'!D26</f>
        <v>54.4</v>
      </c>
      <c r="D23">
        <f t="shared" si="0"/>
        <v>44.267619066168685</v>
      </c>
      <c r="E23">
        <f t="shared" si="1"/>
        <v>0.49099999999999999</v>
      </c>
      <c r="G23">
        <f t="shared" si="4"/>
        <v>2.835538752362949E-2</v>
      </c>
      <c r="H23">
        <f t="shared" si="5"/>
        <v>1.7355387523629463E-2</v>
      </c>
      <c r="I23">
        <f t="shared" si="6"/>
        <v>-1.1000000000000027E-2</v>
      </c>
      <c r="K23">
        <f t="shared" si="2"/>
        <v>0.19</v>
      </c>
      <c r="L23">
        <f t="shared" si="3"/>
        <v>0.26500000000000001</v>
      </c>
    </row>
    <row r="24" spans="2:12">
      <c r="B24">
        <v>1967</v>
      </c>
      <c r="C24">
        <f>'CPI-U-RS'!D27</f>
        <v>56.1</v>
      </c>
      <c r="D24">
        <f t="shared" si="0"/>
        <v>45.164038352258601</v>
      </c>
      <c r="E24">
        <f t="shared" si="1"/>
        <v>0.501</v>
      </c>
      <c r="G24">
        <f t="shared" si="4"/>
        <v>3.1250000000000056E-2</v>
      </c>
      <c r="H24">
        <f t="shared" si="5"/>
        <v>2.0250000000000004E-2</v>
      </c>
      <c r="I24">
        <f t="shared" si="6"/>
        <v>-1.1000000000000051E-2</v>
      </c>
      <c r="K24">
        <f t="shared" si="2"/>
        <v>0.19600000000000001</v>
      </c>
      <c r="L24">
        <f t="shared" si="3"/>
        <v>0.27</v>
      </c>
    </row>
    <row r="25" spans="2:12">
      <c r="B25">
        <v>1968</v>
      </c>
      <c r="C25">
        <f>'CPI-U-RS'!D28</f>
        <v>58.3</v>
      </c>
      <c r="D25">
        <f t="shared" si="0"/>
        <v>46.438372689295853</v>
      </c>
      <c r="E25">
        <f t="shared" si="1"/>
        <v>0.51500000000000001</v>
      </c>
      <c r="G25">
        <f t="shared" si="4"/>
        <v>3.9215686274509727E-2</v>
      </c>
      <c r="H25">
        <f t="shared" si="5"/>
        <v>2.8215686274509703E-2</v>
      </c>
      <c r="I25">
        <f t="shared" si="6"/>
        <v>-1.1000000000000024E-2</v>
      </c>
      <c r="K25">
        <f t="shared" si="2"/>
        <v>0.20399999999999999</v>
      </c>
      <c r="L25">
        <f t="shared" si="3"/>
        <v>0.27800000000000002</v>
      </c>
    </row>
    <row r="26" spans="2:12">
      <c r="B26">
        <v>1969</v>
      </c>
      <c r="C26">
        <f>'CPI-U-RS'!D29</f>
        <v>60.9</v>
      </c>
      <c r="D26">
        <f t="shared" si="0"/>
        <v>47.998558634176192</v>
      </c>
      <c r="E26">
        <f t="shared" si="1"/>
        <v>0.53200000000000003</v>
      </c>
      <c r="G26">
        <f t="shared" si="4"/>
        <v>4.4596912521440851E-2</v>
      </c>
      <c r="H26">
        <f t="shared" si="5"/>
        <v>3.3596912521440793E-2</v>
      </c>
      <c r="I26">
        <f t="shared" si="6"/>
        <v>-1.1000000000000058E-2</v>
      </c>
      <c r="K26">
        <f t="shared" si="2"/>
        <v>0.21299999999999999</v>
      </c>
      <c r="L26">
        <f t="shared" si="3"/>
        <v>0.28699999999999998</v>
      </c>
    </row>
    <row r="27" spans="2:12">
      <c r="B27">
        <v>1970</v>
      </c>
      <c r="C27">
        <f>'CPI-U-RS'!D30</f>
        <v>63.9</v>
      </c>
      <c r="D27">
        <f t="shared" si="0"/>
        <v>49.835035505662134</v>
      </c>
      <c r="E27">
        <f t="shared" si="1"/>
        <v>0.55300000000000005</v>
      </c>
      <c r="G27">
        <f t="shared" si="4"/>
        <v>4.9261083743842367E-2</v>
      </c>
      <c r="H27">
        <f t="shared" si="5"/>
        <v>3.8261083743842343E-2</v>
      </c>
      <c r="I27">
        <f t="shared" si="6"/>
        <v>-1.1000000000000024E-2</v>
      </c>
      <c r="K27">
        <f t="shared" si="2"/>
        <v>0.223</v>
      </c>
      <c r="L27">
        <f t="shared" si="3"/>
        <v>0.29799999999999999</v>
      </c>
    </row>
    <row r="28" spans="2:12">
      <c r="B28">
        <v>1971</v>
      </c>
      <c r="C28">
        <f>'CPI-U-RS'!D31</f>
        <v>66.7</v>
      </c>
      <c r="D28">
        <f t="shared" si="0"/>
        <v>51.470544941639041</v>
      </c>
      <c r="E28">
        <f t="shared" si="1"/>
        <v>0.57099999999999995</v>
      </c>
      <c r="G28">
        <f>+(C28-C27)/C27</f>
        <v>4.3818466353677692E-2</v>
      </c>
      <c r="H28">
        <f>+(D28-D27)/D27</f>
        <v>3.281846635367771E-2</v>
      </c>
      <c r="I28">
        <f t="shared" si="6"/>
        <v>-1.0999999999999982E-2</v>
      </c>
      <c r="K28">
        <f t="shared" si="2"/>
        <v>0.23300000000000001</v>
      </c>
      <c r="L28">
        <f t="shared" si="3"/>
        <v>0.308</v>
      </c>
    </row>
    <row r="29" spans="2:12">
      <c r="B29">
        <v>1972</v>
      </c>
      <c r="C29">
        <f>'CPI-U-RS'!D32</f>
        <v>68.7</v>
      </c>
      <c r="D29">
        <f t="shared" si="0"/>
        <v>52.447713623192229</v>
      </c>
      <c r="E29">
        <f t="shared" si="1"/>
        <v>0.58199999999999996</v>
      </c>
      <c r="G29">
        <f>+(C29-C28)/C28</f>
        <v>2.9985007496251874E-2</v>
      </c>
      <c r="H29">
        <f>+(D29-D28)/D28</f>
        <v>1.8985007496251909E-2</v>
      </c>
      <c r="I29">
        <f t="shared" si="6"/>
        <v>-1.0999999999999965E-2</v>
      </c>
      <c r="K29">
        <f t="shared" si="2"/>
        <v>0.24</v>
      </c>
      <c r="L29">
        <f t="shared" si="3"/>
        <v>0.314</v>
      </c>
    </row>
    <row r="30" spans="2:12">
      <c r="B30">
        <v>1973</v>
      </c>
      <c r="C30">
        <f>'CPI-U-RS'!D33</f>
        <v>73</v>
      </c>
      <c r="D30">
        <f t="shared" si="0"/>
        <v>55.153542318893543</v>
      </c>
      <c r="E30">
        <f t="shared" si="1"/>
        <v>0.61199999999999999</v>
      </c>
      <c r="G30">
        <f t="shared" ref="G30:G62" si="7">+(C30-C29)/C29</f>
        <v>6.2590975254730674E-2</v>
      </c>
      <c r="H30">
        <f t="shared" ref="H30:H62" si="8">+(D30-D29)/D29</f>
        <v>5.1590975254730727E-2</v>
      </c>
      <c r="I30">
        <f t="shared" si="6"/>
        <v>-1.0999999999999947E-2</v>
      </c>
      <c r="K30">
        <f t="shared" si="2"/>
        <v>0.255</v>
      </c>
      <c r="L30">
        <f t="shared" si="3"/>
        <v>0.33</v>
      </c>
    </row>
    <row r="31" spans="2:12">
      <c r="B31">
        <v>1974</v>
      </c>
      <c r="C31">
        <f>'CPI-U-RS'!D34</f>
        <v>80.3</v>
      </c>
      <c r="D31">
        <f t="shared" si="0"/>
        <v>60.062207585275068</v>
      </c>
      <c r="E31">
        <f t="shared" si="1"/>
        <v>0.66600000000000004</v>
      </c>
      <c r="G31">
        <f t="shared" si="7"/>
        <v>9.9999999999999964E-2</v>
      </c>
      <c r="H31">
        <f t="shared" si="8"/>
        <v>8.900000000000001E-2</v>
      </c>
      <c r="I31">
        <f t="shared" si="6"/>
        <v>-1.0999999999999954E-2</v>
      </c>
      <c r="K31">
        <f t="shared" si="2"/>
        <v>0.28000000000000003</v>
      </c>
      <c r="L31">
        <f t="shared" si="3"/>
        <v>0.35899999999999999</v>
      </c>
    </row>
    <row r="32" spans="2:12">
      <c r="B32">
        <v>1975</v>
      </c>
      <c r="C32">
        <f>'CPI-U-RS'!D35</f>
        <v>86.9</v>
      </c>
      <c r="D32">
        <f t="shared" si="0"/>
        <v>64.338143103366505</v>
      </c>
      <c r="E32">
        <f t="shared" si="1"/>
        <v>0.71399999999999997</v>
      </c>
      <c r="G32">
        <f t="shared" si="7"/>
        <v>8.2191780821917915E-2</v>
      </c>
      <c r="H32">
        <f t="shared" si="8"/>
        <v>7.1191780821917891E-2</v>
      </c>
      <c r="I32">
        <f t="shared" si="6"/>
        <v>-1.1000000000000024E-2</v>
      </c>
      <c r="K32">
        <f t="shared" si="2"/>
        <v>0.30299999999999999</v>
      </c>
      <c r="L32">
        <f t="shared" si="3"/>
        <v>0.38500000000000001</v>
      </c>
    </row>
    <row r="33" spans="1:12">
      <c r="B33">
        <v>1976</v>
      </c>
      <c r="C33">
        <f>'CPI-U-RS'!D36</f>
        <v>91.9</v>
      </c>
      <c r="D33">
        <f t="shared" si="0"/>
        <v>67.332272959802921</v>
      </c>
      <c r="E33">
        <f t="shared" si="1"/>
        <v>0.747</v>
      </c>
      <c r="G33">
        <f t="shared" si="7"/>
        <v>5.7537399309551207E-2</v>
      </c>
      <c r="H33">
        <f t="shared" si="8"/>
        <v>4.6537399309551218E-2</v>
      </c>
      <c r="I33">
        <f t="shared" si="6"/>
        <v>-1.0999999999999989E-2</v>
      </c>
      <c r="K33">
        <f t="shared" si="2"/>
        <v>0.32100000000000001</v>
      </c>
      <c r="L33">
        <f t="shared" si="3"/>
        <v>0.40300000000000002</v>
      </c>
    </row>
    <row r="34" spans="1:12">
      <c r="A34" s="22" t="s">
        <v>74</v>
      </c>
      <c r="B34">
        <v>1977</v>
      </c>
      <c r="C34">
        <f>'CPI-U-RS'!D37</f>
        <v>97.7</v>
      </c>
      <c r="D34">
        <f t="shared" si="0"/>
        <v>70.841097643500333</v>
      </c>
      <c r="E34">
        <f t="shared" si="1"/>
        <v>0.78600000000000003</v>
      </c>
      <c r="G34">
        <f>+(C34-C33)/C33</f>
        <v>6.3112078346028264E-2</v>
      </c>
      <c r="H34">
        <f t="shared" si="8"/>
        <v>5.2112078346028295E-2</v>
      </c>
      <c r="I34">
        <f>+H34-G34</f>
        <v>-1.0999999999999968E-2</v>
      </c>
      <c r="K34">
        <f t="shared" si="2"/>
        <v>0.34100000000000003</v>
      </c>
      <c r="L34">
        <f t="shared" si="3"/>
        <v>0.42399999999999999</v>
      </c>
    </row>
    <row r="35" spans="1:12">
      <c r="B35">
        <v>1978</v>
      </c>
      <c r="C35">
        <f>'CPI-U-RS'!D38</f>
        <v>104.4</v>
      </c>
      <c r="D35">
        <f>+D34+D34*((C35-C34)/C34-0.008)</f>
        <v>75.132458465335461</v>
      </c>
      <c r="E35">
        <f t="shared" si="1"/>
        <v>0.83299999999999996</v>
      </c>
      <c r="G35">
        <f t="shared" si="7"/>
        <v>6.8577277379733903E-2</v>
      </c>
      <c r="H35">
        <f t="shared" si="8"/>
        <v>6.0577277379733813E-2</v>
      </c>
      <c r="I35">
        <f t="shared" si="6"/>
        <v>-8.0000000000000904E-3</v>
      </c>
      <c r="K35">
        <f t="shared" si="2"/>
        <v>0.36499999999999999</v>
      </c>
      <c r="L35">
        <f t="shared" si="3"/>
        <v>0.44900000000000001</v>
      </c>
    </row>
    <row r="36" spans="1:12">
      <c r="B36">
        <v>1979</v>
      </c>
      <c r="C36">
        <f>'CPI-U-RS'!D39</f>
        <v>114.3</v>
      </c>
      <c r="D36">
        <f t="shared" ref="D36:D66" si="9">+D35+D35*((C36-C35)/C35-0.008)</f>
        <v>81.656028479670439</v>
      </c>
      <c r="E36">
        <f t="shared" si="1"/>
        <v>0.90600000000000003</v>
      </c>
      <c r="G36">
        <f t="shared" si="7"/>
        <v>9.4827586206896464E-2</v>
      </c>
      <c r="H36">
        <f t="shared" si="8"/>
        <v>8.6827586206896415E-2</v>
      </c>
      <c r="I36">
        <f t="shared" si="6"/>
        <v>-8.0000000000000487E-3</v>
      </c>
      <c r="K36">
        <f t="shared" si="2"/>
        <v>0.39900000000000002</v>
      </c>
      <c r="L36">
        <f t="shared" si="3"/>
        <v>0.48799999999999999</v>
      </c>
    </row>
    <row r="37" spans="1:12">
      <c r="B37">
        <v>1980</v>
      </c>
      <c r="C37">
        <f>'CPI-U-RS'!D40</f>
        <v>127.1</v>
      </c>
      <c r="D37">
        <f t="shared" si="9"/>
        <v>90.147112400037642</v>
      </c>
      <c r="E37">
        <f t="shared" si="1"/>
        <v>1</v>
      </c>
      <c r="G37">
        <f t="shared" si="7"/>
        <v>0.11198600174978125</v>
      </c>
      <c r="H37">
        <f t="shared" si="8"/>
        <v>0.1039860017497813</v>
      </c>
      <c r="I37">
        <f t="shared" si="6"/>
        <v>-7.9999999999999516E-3</v>
      </c>
      <c r="K37">
        <f t="shared" si="2"/>
        <v>0.44400000000000001</v>
      </c>
      <c r="L37">
        <f t="shared" si="3"/>
        <v>0.53900000000000003</v>
      </c>
    </row>
    <row r="38" spans="1:12">
      <c r="B38">
        <v>1981</v>
      </c>
      <c r="C38">
        <f>'CPI-U-RS'!D41</f>
        <v>139.1</v>
      </c>
      <c r="D38">
        <f t="shared" si="9"/>
        <v>97.937071211305096</v>
      </c>
      <c r="E38">
        <f t="shared" si="1"/>
        <v>1.0860000000000001</v>
      </c>
      <c r="G38">
        <f t="shared" si="7"/>
        <v>9.4413847364280101E-2</v>
      </c>
      <c r="H38">
        <f t="shared" si="8"/>
        <v>8.6413847364280094E-2</v>
      </c>
      <c r="I38">
        <f t="shared" si="6"/>
        <v>-8.0000000000000071E-3</v>
      </c>
      <c r="K38">
        <f t="shared" si="2"/>
        <v>0.48599999999999999</v>
      </c>
      <c r="L38">
        <f t="shared" si="3"/>
        <v>0.58599999999999997</v>
      </c>
    </row>
    <row r="39" spans="1:12">
      <c r="B39">
        <v>1982</v>
      </c>
      <c r="C39">
        <f>'CPI-U-RS'!D42</f>
        <v>147.5</v>
      </c>
      <c r="D39">
        <f t="shared" si="9"/>
        <v>103.06781905696306</v>
      </c>
      <c r="E39">
        <f t="shared" si="1"/>
        <v>1.143</v>
      </c>
      <c r="G39">
        <f t="shared" si="7"/>
        <v>6.0388209920920248E-2</v>
      </c>
      <c r="H39">
        <f t="shared" si="8"/>
        <v>5.2388209920920227E-2</v>
      </c>
      <c r="I39">
        <f t="shared" si="6"/>
        <v>-8.000000000000021E-3</v>
      </c>
      <c r="K39">
        <f t="shared" si="2"/>
        <v>0.51500000000000001</v>
      </c>
      <c r="L39">
        <f t="shared" si="3"/>
        <v>0.61599999999999999</v>
      </c>
    </row>
    <row r="40" spans="1:12">
      <c r="B40">
        <v>1983</v>
      </c>
      <c r="C40">
        <f>'CPI-U-RS'!D43</f>
        <v>153.80000000000001</v>
      </c>
      <c r="D40">
        <f t="shared" si="9"/>
        <v>106.64549521677087</v>
      </c>
      <c r="E40">
        <f t="shared" si="1"/>
        <v>1.1830000000000001</v>
      </c>
      <c r="G40">
        <f t="shared" si="7"/>
        <v>4.2711864406779737E-2</v>
      </c>
      <c r="H40">
        <f t="shared" si="8"/>
        <v>3.4711864406779716E-2</v>
      </c>
      <c r="I40">
        <f t="shared" si="6"/>
        <v>-8.000000000000021E-3</v>
      </c>
      <c r="K40">
        <f t="shared" si="2"/>
        <v>0.53700000000000003</v>
      </c>
      <c r="L40">
        <f t="shared" si="3"/>
        <v>0.63800000000000001</v>
      </c>
    </row>
    <row r="41" spans="1:12">
      <c r="B41">
        <v>1984</v>
      </c>
      <c r="C41">
        <f>'CPI-U-RS'!D44</f>
        <v>160.19999999999999</v>
      </c>
      <c r="D41">
        <f t="shared" si="9"/>
        <v>110.23011519123521</v>
      </c>
      <c r="E41">
        <f t="shared" si="1"/>
        <v>1.2230000000000001</v>
      </c>
      <c r="G41">
        <f t="shared" si="7"/>
        <v>4.1612483745123385E-2</v>
      </c>
      <c r="H41">
        <f t="shared" si="8"/>
        <v>3.3612483745123399E-2</v>
      </c>
      <c r="I41">
        <f t="shared" si="6"/>
        <v>-7.9999999999999863E-3</v>
      </c>
      <c r="K41">
        <f t="shared" si="2"/>
        <v>0.55900000000000005</v>
      </c>
      <c r="L41">
        <f t="shared" si="3"/>
        <v>0.65900000000000003</v>
      </c>
    </row>
    <row r="42" spans="1:12">
      <c r="B42">
        <v>1985</v>
      </c>
      <c r="C42">
        <f>'CPI-U-RS'!D45</f>
        <v>165.6</v>
      </c>
      <c r="D42">
        <f t="shared" si="9"/>
        <v>113.06389613008405</v>
      </c>
      <c r="E42">
        <f t="shared" si="1"/>
        <v>1.254</v>
      </c>
      <c r="G42">
        <f t="shared" si="7"/>
        <v>3.3707865168539367E-2</v>
      </c>
      <c r="H42">
        <f t="shared" si="8"/>
        <v>2.5707865168539318E-2</v>
      </c>
      <c r="I42">
        <f t="shared" si="6"/>
        <v>-8.0000000000000487E-3</v>
      </c>
      <c r="K42">
        <f t="shared" si="2"/>
        <v>0.57799999999999996</v>
      </c>
      <c r="L42">
        <f t="shared" si="3"/>
        <v>0.67600000000000005</v>
      </c>
    </row>
    <row r="43" spans="1:12">
      <c r="B43">
        <v>1986</v>
      </c>
      <c r="C43">
        <f>'CPI-U-RS'!D46</f>
        <v>168.4</v>
      </c>
      <c r="D43">
        <f t="shared" si="9"/>
        <v>114.07109334971631</v>
      </c>
      <c r="E43">
        <f t="shared" si="1"/>
        <v>1.2649999999999999</v>
      </c>
      <c r="G43">
        <f t="shared" si="7"/>
        <v>1.6908212560386542E-2</v>
      </c>
      <c r="H43">
        <f t="shared" si="8"/>
        <v>8.9082125603865987E-3</v>
      </c>
      <c r="I43">
        <f t="shared" si="6"/>
        <v>-7.9999999999999429E-3</v>
      </c>
      <c r="K43">
        <f t="shared" si="2"/>
        <v>0.58799999999999997</v>
      </c>
      <c r="L43">
        <f t="shared" si="3"/>
        <v>0.68200000000000005</v>
      </c>
    </row>
    <row r="44" spans="1:12">
      <c r="B44">
        <v>1987</v>
      </c>
      <c r="C44">
        <f>'CPI-U-RS'!D47</f>
        <v>174.1</v>
      </c>
      <c r="D44">
        <f t="shared" si="9"/>
        <v>117.01960080299804</v>
      </c>
      <c r="E44">
        <f t="shared" si="1"/>
        <v>1.298</v>
      </c>
      <c r="G44">
        <f t="shared" si="7"/>
        <v>3.3847980997624635E-2</v>
      </c>
      <c r="H44">
        <f t="shared" si="8"/>
        <v>2.5847980997624653E-2</v>
      </c>
      <c r="I44">
        <f t="shared" si="6"/>
        <v>-7.9999999999999828E-3</v>
      </c>
      <c r="K44">
        <f t="shared" si="2"/>
        <v>0.60799999999999998</v>
      </c>
      <c r="L44">
        <f t="shared" si="3"/>
        <v>0.7</v>
      </c>
    </row>
    <row r="45" spans="1:12">
      <c r="B45">
        <v>1988</v>
      </c>
      <c r="C45">
        <f>'CPI-U-RS'!D48</f>
        <v>180.5</v>
      </c>
      <c r="D45">
        <f t="shared" si="9"/>
        <v>120.38514098186521</v>
      </c>
      <c r="E45">
        <f t="shared" si="1"/>
        <v>1.335</v>
      </c>
      <c r="G45">
        <f t="shared" si="7"/>
        <v>3.6760482481332603E-2</v>
      </c>
      <c r="H45">
        <f t="shared" si="8"/>
        <v>2.8760482481332637E-2</v>
      </c>
      <c r="I45">
        <f t="shared" si="6"/>
        <v>-7.9999999999999655E-3</v>
      </c>
      <c r="K45">
        <f t="shared" si="2"/>
        <v>0.63</v>
      </c>
      <c r="L45">
        <f t="shared" si="3"/>
        <v>0.72</v>
      </c>
    </row>
    <row r="46" spans="1:12">
      <c r="B46">
        <v>1989</v>
      </c>
      <c r="C46">
        <f>'CPI-U-RS'!D49</f>
        <v>188.3</v>
      </c>
      <c r="D46">
        <f t="shared" si="9"/>
        <v>124.62429863328202</v>
      </c>
      <c r="E46">
        <f t="shared" si="1"/>
        <v>1.3819999999999999</v>
      </c>
      <c r="G46">
        <f t="shared" si="7"/>
        <v>4.3213296398892029E-2</v>
      </c>
      <c r="H46">
        <f t="shared" si="8"/>
        <v>3.5213296398891987E-2</v>
      </c>
      <c r="I46">
        <f t="shared" si="6"/>
        <v>-8.0000000000000418E-3</v>
      </c>
      <c r="K46">
        <f t="shared" si="2"/>
        <v>0.65700000000000003</v>
      </c>
      <c r="L46">
        <f t="shared" si="3"/>
        <v>0.745</v>
      </c>
    </row>
    <row r="47" spans="1:12">
      <c r="B47">
        <v>1990</v>
      </c>
      <c r="C47">
        <f>'CPI-U-RS'!D50</f>
        <v>197.6</v>
      </c>
      <c r="D47">
        <f t="shared" si="9"/>
        <v>129.78240768175968</v>
      </c>
      <c r="E47">
        <f t="shared" si="1"/>
        <v>1.44</v>
      </c>
      <c r="G47">
        <f t="shared" si="7"/>
        <v>4.9389272437599482E-2</v>
      </c>
      <c r="H47">
        <f t="shared" si="8"/>
        <v>4.1389272437599392E-2</v>
      </c>
      <c r="I47">
        <f t="shared" si="6"/>
        <v>-8.0000000000000904E-3</v>
      </c>
      <c r="K47">
        <f t="shared" si="2"/>
        <v>0.69</v>
      </c>
      <c r="L47">
        <f t="shared" si="3"/>
        <v>0.77600000000000002</v>
      </c>
    </row>
    <row r="48" spans="1:12">
      <c r="B48">
        <v>1991</v>
      </c>
      <c r="C48">
        <f>'CPI-U-RS'!D51</f>
        <v>204.8</v>
      </c>
      <c r="D48">
        <f t="shared" si="9"/>
        <v>133.47306206053167</v>
      </c>
      <c r="E48">
        <f t="shared" si="1"/>
        <v>1.4810000000000001</v>
      </c>
      <c r="G48">
        <f t="shared" si="7"/>
        <v>3.643724696356284E-2</v>
      </c>
      <c r="H48">
        <f t="shared" si="8"/>
        <v>2.8437246963562843E-2</v>
      </c>
      <c r="I48">
        <f t="shared" si="6"/>
        <v>-7.9999999999999967E-3</v>
      </c>
      <c r="K48">
        <f t="shared" si="2"/>
        <v>0.71499999999999997</v>
      </c>
      <c r="L48">
        <f t="shared" si="3"/>
        <v>0.79800000000000004</v>
      </c>
    </row>
    <row r="49" spans="2:12">
      <c r="B49">
        <v>1992</v>
      </c>
      <c r="C49">
        <f>'CPI-U-RS'!D52</f>
        <v>209.9</v>
      </c>
      <c r="D49">
        <f t="shared" si="9"/>
        <v>135.72906963684386</v>
      </c>
      <c r="E49">
        <f t="shared" si="1"/>
        <v>1.506</v>
      </c>
      <c r="G49">
        <f t="shared" si="7"/>
        <v>2.4902343749999972E-2</v>
      </c>
      <c r="H49">
        <f t="shared" si="8"/>
        <v>1.6902343749999972E-2</v>
      </c>
      <c r="I49">
        <f t="shared" si="6"/>
        <v>-8.0000000000000002E-3</v>
      </c>
      <c r="K49">
        <f t="shared" si="2"/>
        <v>0.73299999999999998</v>
      </c>
      <c r="L49">
        <f t="shared" si="3"/>
        <v>0.81200000000000006</v>
      </c>
    </row>
    <row r="50" spans="2:12">
      <c r="B50">
        <v>1993</v>
      </c>
      <c r="C50">
        <f>'CPI-U-RS'!D53</f>
        <v>215.2</v>
      </c>
      <c r="D50">
        <f t="shared" si="9"/>
        <v>138.07041225400005</v>
      </c>
      <c r="E50">
        <f t="shared" si="1"/>
        <v>1.532</v>
      </c>
      <c r="G50">
        <f t="shared" si="7"/>
        <v>2.5250119104335316E-2</v>
      </c>
      <c r="H50">
        <f t="shared" si="8"/>
        <v>1.7250119104335375E-2</v>
      </c>
      <c r="I50">
        <f t="shared" si="6"/>
        <v>-7.9999999999999412E-3</v>
      </c>
      <c r="K50">
        <f t="shared" si="2"/>
        <v>0.751</v>
      </c>
      <c r="L50">
        <f t="shared" si="3"/>
        <v>0.82599999999999996</v>
      </c>
    </row>
    <row r="51" spans="2:12">
      <c r="B51">
        <v>1994</v>
      </c>
      <c r="C51">
        <f>'CPI-U-RS'!D54</f>
        <v>219.7</v>
      </c>
      <c r="D51">
        <f t="shared" si="9"/>
        <v>139.85300906350986</v>
      </c>
      <c r="E51">
        <f t="shared" si="1"/>
        <v>1.5509999999999999</v>
      </c>
      <c r="G51">
        <f t="shared" si="7"/>
        <v>2.0910780669144983E-2</v>
      </c>
      <c r="H51">
        <f t="shared" si="8"/>
        <v>1.2910780669144906E-2</v>
      </c>
      <c r="I51">
        <f t="shared" si="6"/>
        <v>-8.0000000000000765E-3</v>
      </c>
      <c r="K51">
        <f t="shared" si="2"/>
        <v>0.76700000000000002</v>
      </c>
      <c r="L51">
        <f t="shared" si="3"/>
        <v>0.83599999999999997</v>
      </c>
    </row>
    <row r="52" spans="2:12">
      <c r="B52">
        <v>1995</v>
      </c>
      <c r="C52">
        <f>'CPI-U-RS'!D55</f>
        <v>225</v>
      </c>
      <c r="D52">
        <f t="shared" si="9"/>
        <v>142.10797173673052</v>
      </c>
      <c r="E52">
        <f t="shared" si="1"/>
        <v>1.5760000000000001</v>
      </c>
      <c r="G52">
        <f t="shared" si="7"/>
        <v>2.4123805188893999E-2</v>
      </c>
      <c r="H52">
        <f t="shared" si="8"/>
        <v>1.6123805188894003E-2</v>
      </c>
      <c r="I52">
        <f t="shared" si="6"/>
        <v>-7.9999999999999967E-3</v>
      </c>
      <c r="K52">
        <f t="shared" si="2"/>
        <v>0.78600000000000003</v>
      </c>
      <c r="L52">
        <f t="shared" si="3"/>
        <v>0.85</v>
      </c>
    </row>
    <row r="53" spans="2:12">
      <c r="B53">
        <v>1996</v>
      </c>
      <c r="C53">
        <f>'CPI-U-RS'!D56</f>
        <v>231</v>
      </c>
      <c r="D53">
        <f t="shared" si="9"/>
        <v>144.76065387581616</v>
      </c>
      <c r="E53">
        <f t="shared" si="1"/>
        <v>1.6060000000000001</v>
      </c>
      <c r="G53">
        <f t="shared" si="7"/>
        <v>2.6666666666666668E-2</v>
      </c>
      <c r="H53">
        <f t="shared" si="8"/>
        <v>1.8666666666666699E-2</v>
      </c>
      <c r="I53">
        <f t="shared" si="6"/>
        <v>-7.9999999999999689E-3</v>
      </c>
      <c r="K53">
        <f t="shared" si="2"/>
        <v>0.80700000000000005</v>
      </c>
      <c r="L53">
        <f t="shared" si="3"/>
        <v>0.86599999999999999</v>
      </c>
    </row>
    <row r="54" spans="2:12">
      <c r="B54">
        <v>1997</v>
      </c>
      <c r="C54">
        <f>'CPI-U-RS'!D57</f>
        <v>236</v>
      </c>
      <c r="D54">
        <f t="shared" si="9"/>
        <v>146.73591613129915</v>
      </c>
      <c r="E54">
        <f t="shared" si="1"/>
        <v>1.6279999999999999</v>
      </c>
      <c r="G54">
        <f t="shared" si="7"/>
        <v>2.1645021645021644E-2</v>
      </c>
      <c r="H54">
        <f t="shared" si="8"/>
        <v>1.3645021645021578E-2</v>
      </c>
      <c r="I54">
        <f t="shared" si="6"/>
        <v>-8.0000000000000661E-3</v>
      </c>
      <c r="K54">
        <f t="shared" si="2"/>
        <v>0.82399999999999995</v>
      </c>
      <c r="L54">
        <f t="shared" si="3"/>
        <v>0.877</v>
      </c>
    </row>
    <row r="55" spans="2:12">
      <c r="B55">
        <v>1998</v>
      </c>
      <c r="C55">
        <f>'CPI-U-RS'!D58</f>
        <v>239.2</v>
      </c>
      <c r="D55">
        <f t="shared" si="9"/>
        <v>147.55166834301212</v>
      </c>
      <c r="E55">
        <f t="shared" si="1"/>
        <v>1.637</v>
      </c>
      <c r="G55">
        <f t="shared" si="7"/>
        <v>1.3559322033898256E-2</v>
      </c>
      <c r="H55">
        <f t="shared" si="8"/>
        <v>5.5593220338982421E-3</v>
      </c>
      <c r="I55">
        <f t="shared" si="6"/>
        <v>-8.000000000000014E-3</v>
      </c>
      <c r="K55">
        <f t="shared" si="2"/>
        <v>0.83499999999999996</v>
      </c>
      <c r="L55">
        <f t="shared" si="3"/>
        <v>0.88200000000000001</v>
      </c>
    </row>
    <row r="56" spans="2:12">
      <c r="B56">
        <v>1999</v>
      </c>
      <c r="C56">
        <f>'CPI-U-RS'!D59</f>
        <v>244.2</v>
      </c>
      <c r="D56">
        <f t="shared" si="9"/>
        <v>149.45552900009352</v>
      </c>
      <c r="E56">
        <f t="shared" si="1"/>
        <v>1.6579999999999999</v>
      </c>
      <c r="G56">
        <f t="shared" si="7"/>
        <v>2.0903010033444816E-2</v>
      </c>
      <c r="H56">
        <f t="shared" si="8"/>
        <v>1.2903010033444736E-2</v>
      </c>
      <c r="I56">
        <f t="shared" si="6"/>
        <v>-8.00000000000008E-3</v>
      </c>
      <c r="K56">
        <f t="shared" si="2"/>
        <v>0.85299999999999998</v>
      </c>
      <c r="L56">
        <f t="shared" si="3"/>
        <v>0.89400000000000002</v>
      </c>
    </row>
    <row r="57" spans="2:12">
      <c r="B57">
        <v>2000</v>
      </c>
      <c r="C57">
        <f>'CPI-U-RS'!D60</f>
        <v>252.5</v>
      </c>
      <c r="D57">
        <f t="shared" si="9"/>
        <v>153.33965909528678</v>
      </c>
      <c r="E57">
        <f t="shared" si="1"/>
        <v>1.7010000000000001</v>
      </c>
      <c r="G57">
        <f t="shared" si="7"/>
        <v>3.3988533988534034E-2</v>
      </c>
      <c r="H57">
        <f t="shared" si="8"/>
        <v>2.5988533988533982E-2</v>
      </c>
      <c r="I57">
        <f t="shared" si="6"/>
        <v>-8.0000000000000522E-3</v>
      </c>
      <c r="K57">
        <f t="shared" si="2"/>
        <v>0.88200000000000001</v>
      </c>
      <c r="L57">
        <f t="shared" si="3"/>
        <v>0.91700000000000004</v>
      </c>
    </row>
    <row r="58" spans="2:12">
      <c r="B58">
        <v>2001</v>
      </c>
      <c r="C58">
        <f>'CPI-U-RS'!D61</f>
        <v>259.7</v>
      </c>
      <c r="D58">
        <f t="shared" si="9"/>
        <v>156.48539942840989</v>
      </c>
      <c r="E58">
        <f t="shared" si="1"/>
        <v>1.736</v>
      </c>
      <c r="G58">
        <f t="shared" si="7"/>
        <v>2.8514851485148471E-2</v>
      </c>
      <c r="H58">
        <f t="shared" si="8"/>
        <v>2.051485148514854E-2</v>
      </c>
      <c r="I58">
        <f t="shared" si="6"/>
        <v>-7.9999999999999308E-3</v>
      </c>
      <c r="K58">
        <f t="shared" si="2"/>
        <v>0.90700000000000003</v>
      </c>
      <c r="L58">
        <f t="shared" si="3"/>
        <v>0.93600000000000005</v>
      </c>
    </row>
    <row r="59" spans="2:12">
      <c r="B59">
        <v>2002</v>
      </c>
      <c r="C59">
        <f>'CPI-U-RS'!D62</f>
        <v>263.8</v>
      </c>
      <c r="D59">
        <f t="shared" si="9"/>
        <v>157.70402119122861</v>
      </c>
      <c r="E59">
        <f t="shared" si="1"/>
        <v>1.7490000000000001</v>
      </c>
      <c r="G59">
        <f t="shared" si="7"/>
        <v>1.5787447054293503E-2</v>
      </c>
      <c r="H59">
        <f t="shared" si="8"/>
        <v>7.7874470542935084E-3</v>
      </c>
      <c r="I59">
        <f t="shared" si="6"/>
        <v>-7.999999999999995E-3</v>
      </c>
      <c r="K59">
        <f t="shared" si="2"/>
        <v>0.92100000000000004</v>
      </c>
      <c r="L59">
        <f t="shared" si="3"/>
        <v>0.94299999999999995</v>
      </c>
    </row>
    <row r="60" spans="2:12">
      <c r="B60">
        <v>2003</v>
      </c>
      <c r="C60">
        <f>'CPI-U-RS'!D63</f>
        <v>269.8</v>
      </c>
      <c r="D60">
        <f t="shared" si="9"/>
        <v>160.02928866971763</v>
      </c>
      <c r="E60">
        <f t="shared" si="1"/>
        <v>1.7749999999999999</v>
      </c>
      <c r="G60">
        <f t="shared" si="7"/>
        <v>2.2744503411675512E-2</v>
      </c>
      <c r="H60">
        <f t="shared" si="8"/>
        <v>1.4744503411675557E-2</v>
      </c>
      <c r="I60">
        <f t="shared" si="6"/>
        <v>-7.9999999999999551E-3</v>
      </c>
      <c r="K60">
        <f t="shared" si="2"/>
        <v>0.94199999999999995</v>
      </c>
      <c r="L60">
        <f t="shared" si="3"/>
        <v>0.95699999999999996</v>
      </c>
    </row>
    <row r="61" spans="2:12">
      <c r="B61">
        <v>2004</v>
      </c>
      <c r="C61">
        <f>'CPI-U-RS'!D64</f>
        <v>277</v>
      </c>
      <c r="D61">
        <f t="shared" si="9"/>
        <v>163.01966547385865</v>
      </c>
      <c r="E61">
        <f t="shared" si="1"/>
        <v>1.8080000000000001</v>
      </c>
      <c r="G61">
        <f t="shared" si="7"/>
        <v>2.6686434395848734E-2</v>
      </c>
      <c r="H61">
        <f t="shared" si="8"/>
        <v>1.8686434395848758E-2</v>
      </c>
      <c r="I61">
        <f t="shared" si="6"/>
        <v>-7.9999999999999759E-3</v>
      </c>
      <c r="K61">
        <f t="shared" si="2"/>
        <v>0.96699999999999997</v>
      </c>
      <c r="L61">
        <f t="shared" si="3"/>
        <v>0.97499999999999998</v>
      </c>
    </row>
    <row r="62" spans="2:12">
      <c r="B62">
        <v>2005</v>
      </c>
      <c r="C62">
        <f>'CPI-U-RS'!D65</f>
        <v>286.39999999999998</v>
      </c>
      <c r="D62">
        <f t="shared" si="9"/>
        <v>167.24758344051639</v>
      </c>
      <c r="E62">
        <f t="shared" si="1"/>
        <v>1.855</v>
      </c>
      <c r="G62">
        <f t="shared" si="7"/>
        <v>3.3935018050541436E-2</v>
      </c>
      <c r="H62">
        <f t="shared" si="8"/>
        <v>2.5935018050541384E-2</v>
      </c>
      <c r="I62">
        <f t="shared" si="6"/>
        <v>-8.0000000000000522E-3</v>
      </c>
      <c r="K62">
        <f t="shared" si="2"/>
        <v>1</v>
      </c>
      <c r="L62">
        <f t="shared" si="3"/>
        <v>1</v>
      </c>
    </row>
    <row r="63" spans="2:12">
      <c r="B63">
        <f t="shared" ref="B63:B79" si="10">+B62+1</f>
        <v>2006</v>
      </c>
      <c r="C63">
        <f>'CPI-U-RS'!D66</f>
        <v>295.7</v>
      </c>
      <c r="D63">
        <f t="shared" si="9"/>
        <v>171.34047751460122</v>
      </c>
      <c r="E63">
        <f t="shared" si="1"/>
        <v>1.901</v>
      </c>
      <c r="G63">
        <f t="shared" ref="G63:H65" si="11">+(C63-C62)/C62</f>
        <v>3.2472067039106191E-2</v>
      </c>
      <c r="H63">
        <f t="shared" si="11"/>
        <v>2.4472067039106198E-2</v>
      </c>
      <c r="I63">
        <f t="shared" ref="I63:I68" si="12">+H63-G63</f>
        <v>-7.9999999999999932E-3</v>
      </c>
      <c r="K63">
        <f t="shared" ref="K63:K68" si="13">+ROUND(C63/$C$62,3)</f>
        <v>1.032</v>
      </c>
      <c r="L63">
        <f t="shared" ref="L63:L68" si="14">+ROUND(D63/$D$62,3)</f>
        <v>1.024</v>
      </c>
    </row>
    <row r="64" spans="2:12">
      <c r="B64">
        <f t="shared" si="10"/>
        <v>2007</v>
      </c>
      <c r="C64">
        <f>'CPI-U-RS'!D67</f>
        <v>304.10000000000002</v>
      </c>
      <c r="D64">
        <f t="shared" si="9"/>
        <v>174.83705166919748</v>
      </c>
      <c r="E64">
        <f t="shared" si="1"/>
        <v>1.9390000000000001</v>
      </c>
      <c r="G64">
        <f t="shared" si="11"/>
        <v>2.8407169428474922E-2</v>
      </c>
      <c r="H64">
        <f t="shared" si="11"/>
        <v>2.0407169428474894E-2</v>
      </c>
      <c r="I64">
        <f t="shared" si="12"/>
        <v>-8.0000000000000279E-3</v>
      </c>
      <c r="K64">
        <f t="shared" si="13"/>
        <v>1.0620000000000001</v>
      </c>
      <c r="L64">
        <f t="shared" si="14"/>
        <v>1.0449999999999999</v>
      </c>
    </row>
    <row r="65" spans="2:12">
      <c r="B65">
        <f t="shared" si="10"/>
        <v>2008</v>
      </c>
      <c r="C65">
        <f>'CPI-U-RS'!D68</f>
        <v>315.8</v>
      </c>
      <c r="D65">
        <f t="shared" si="9"/>
        <v>180.16506852295868</v>
      </c>
      <c r="E65">
        <f t="shared" ref="E65:E70" si="15">+ROUND(D65/$D$37,3)</f>
        <v>1.9990000000000001</v>
      </c>
      <c r="G65">
        <f t="shared" si="11"/>
        <v>3.8474186122985816E-2</v>
      </c>
      <c r="H65">
        <f t="shared" si="11"/>
        <v>3.047418612298574E-2</v>
      </c>
      <c r="I65">
        <f t="shared" si="12"/>
        <v>-8.0000000000000765E-3</v>
      </c>
      <c r="K65">
        <f t="shared" si="13"/>
        <v>1.103</v>
      </c>
      <c r="L65">
        <f t="shared" si="14"/>
        <v>1.077</v>
      </c>
    </row>
    <row r="66" spans="2:12">
      <c r="B66">
        <f t="shared" si="10"/>
        <v>2009</v>
      </c>
      <c r="C66">
        <f>'CPI-U-RS'!D69</f>
        <v>314.7</v>
      </c>
      <c r="D66">
        <f t="shared" si="9"/>
        <v>178.09619390455569</v>
      </c>
      <c r="E66">
        <f t="shared" si="15"/>
        <v>1.976</v>
      </c>
      <c r="G66">
        <f t="shared" ref="G66:H68" si="16">+(C66-C65)/C65</f>
        <v>-3.4832172260925356E-3</v>
      </c>
      <c r="H66">
        <f t="shared" si="16"/>
        <v>-1.1483217226092567E-2</v>
      </c>
      <c r="I66">
        <f t="shared" si="12"/>
        <v>-8.0000000000000314E-3</v>
      </c>
      <c r="K66">
        <f t="shared" si="13"/>
        <v>1.099</v>
      </c>
      <c r="L66">
        <f t="shared" si="14"/>
        <v>1.0649999999999999</v>
      </c>
    </row>
    <row r="67" spans="2:12">
      <c r="B67">
        <f t="shared" si="10"/>
        <v>2010</v>
      </c>
      <c r="C67">
        <f>'CPI-U-RS'!D70</f>
        <v>319.8</v>
      </c>
      <c r="D67">
        <f>+D66+D66*((C67-C66)/C66-0.008)</f>
        <v>179.55763531268767</v>
      </c>
      <c r="E67">
        <f t="shared" si="15"/>
        <v>1.992</v>
      </c>
      <c r="G67">
        <f t="shared" si="16"/>
        <v>1.62059103908485E-2</v>
      </c>
      <c r="H67">
        <f t="shared" si="16"/>
        <v>8.2059103908485691E-3</v>
      </c>
      <c r="I67">
        <f t="shared" si="12"/>
        <v>-7.9999999999999308E-3</v>
      </c>
      <c r="K67">
        <f t="shared" si="13"/>
        <v>1.117</v>
      </c>
      <c r="L67">
        <f t="shared" si="14"/>
        <v>1.0740000000000001</v>
      </c>
    </row>
    <row r="68" spans="2:12">
      <c r="B68">
        <f t="shared" si="10"/>
        <v>2011</v>
      </c>
      <c r="C68">
        <f>'CPI-U-RS'!D71</f>
        <v>330</v>
      </c>
      <c r="D68">
        <f>+D67+D67*((C68-C67)/C67-0.008)</f>
        <v>183.84815321764523</v>
      </c>
      <c r="E68">
        <f t="shared" si="15"/>
        <v>2.0390000000000001</v>
      </c>
      <c r="G68">
        <f t="shared" si="16"/>
        <v>3.1894934333958687E-2</v>
      </c>
      <c r="H68">
        <f t="shared" si="16"/>
        <v>2.3894934333958655E-2</v>
      </c>
      <c r="I68">
        <f t="shared" si="12"/>
        <v>-8.0000000000000314E-3</v>
      </c>
      <c r="K68">
        <f t="shared" si="13"/>
        <v>1.1519999999999999</v>
      </c>
      <c r="L68">
        <f t="shared" si="14"/>
        <v>1.099</v>
      </c>
    </row>
    <row r="69" spans="2:12">
      <c r="B69">
        <f t="shared" si="10"/>
        <v>2012</v>
      </c>
      <c r="C69">
        <f>'CPI-U-RS'!D72</f>
        <v>336.9</v>
      </c>
      <c r="D69">
        <f>+D68+D68*((C69-C68)/C68-0.008)</f>
        <v>186.22146574100029</v>
      </c>
      <c r="E69">
        <f t="shared" si="15"/>
        <v>2.0659999999999998</v>
      </c>
      <c r="G69">
        <f t="shared" ref="G69" si="17">+(C69-C68)/C68</f>
        <v>2.0909090909090839E-2</v>
      </c>
      <c r="H69">
        <f t="shared" ref="H69" si="18">+(D69-D68)/D68</f>
        <v>1.2909090909090894E-2</v>
      </c>
      <c r="I69">
        <f>+H69-G69</f>
        <v>-7.9999999999999447E-3</v>
      </c>
      <c r="K69">
        <f t="shared" ref="K69" si="19">+ROUND(C69/$C$62,3)</f>
        <v>1.1759999999999999</v>
      </c>
      <c r="L69">
        <f t="shared" ref="L69" si="20">+ROUND(D69/$D$62,3)</f>
        <v>1.113</v>
      </c>
    </row>
    <row r="70" spans="2:12">
      <c r="B70">
        <f t="shared" si="10"/>
        <v>2013</v>
      </c>
      <c r="C70">
        <f>'CPI-U-RS'!D73</f>
        <v>342</v>
      </c>
      <c r="D70">
        <f>+D69+D69*((C70-C69)/C69-0.008)</f>
        <v>187.55071887490934</v>
      </c>
      <c r="E70">
        <f t="shared" si="15"/>
        <v>2.08</v>
      </c>
      <c r="G70">
        <f t="shared" ref="G70" si="21">+(C70-C69)/C69</f>
        <v>1.5138023152270773E-2</v>
      </c>
      <c r="H70">
        <f t="shared" ref="H70" si="22">+(D70-D69)/D69</f>
        <v>7.1380231522707198E-3</v>
      </c>
      <c r="I70">
        <f>+H70-G70</f>
        <v>-8.0000000000000522E-3</v>
      </c>
      <c r="K70">
        <f t="shared" ref="K70" si="23">+ROUND(C70/$C$62,3)</f>
        <v>1.194</v>
      </c>
      <c r="L70">
        <f t="shared" ref="L70" si="24">+ROUND(D70/$D$62,3)</f>
        <v>1.121</v>
      </c>
    </row>
    <row r="71" spans="2:12">
      <c r="B71">
        <f t="shared" si="10"/>
        <v>2014</v>
      </c>
      <c r="C71">
        <f>'CPI-U-RS'!D74</f>
        <v>347.7</v>
      </c>
      <c r="D71">
        <f>+D70+D70*((C71-C70)/C70-0.008)</f>
        <v>189.17615843849188</v>
      </c>
      <c r="E71">
        <f t="shared" ref="E71:E74" si="25">+ROUND(D71/$D$37,3)</f>
        <v>2.0990000000000002</v>
      </c>
      <c r="G71">
        <f t="shared" ref="G71" si="26">+(C71-C70)/C70</f>
        <v>1.6666666666666632E-2</v>
      </c>
      <c r="H71">
        <f t="shared" ref="H71" si="27">+(D71-D70)/D70</f>
        <v>8.6666666666666593E-3</v>
      </c>
      <c r="I71">
        <f>+H71-G71</f>
        <v>-7.9999999999999724E-3</v>
      </c>
      <c r="K71">
        <f t="shared" ref="K71" si="28">+ROUND(C71/$C$62,3)</f>
        <v>1.214</v>
      </c>
      <c r="L71">
        <f t="shared" ref="L71" si="29">+ROUND(D71/$D$62,3)</f>
        <v>1.131</v>
      </c>
    </row>
    <row r="72" spans="2:12">
      <c r="B72">
        <f t="shared" si="10"/>
        <v>2015</v>
      </c>
      <c r="C72">
        <f>'CPI-U-RS'!D75</f>
        <v>348.3</v>
      </c>
      <c r="D72">
        <f t="shared" ref="D72:D73" si="30">+D71+D71*((C72-C71)/C71-0.008)</f>
        <v>187.98919638140413</v>
      </c>
      <c r="E72">
        <f t="shared" si="25"/>
        <v>2.085</v>
      </c>
      <c r="G72">
        <f t="shared" ref="G72:G73" si="31">+(C72-C71)/C71</f>
        <v>1.7256255392580464E-3</v>
      </c>
      <c r="H72">
        <f t="shared" ref="H72:H73" si="32">+(D72-D71)/D71</f>
        <v>-6.2743744607419933E-3</v>
      </c>
      <c r="I72">
        <f t="shared" ref="I72:I73" si="33">+H72-G72</f>
        <v>-8.0000000000000401E-3</v>
      </c>
      <c r="K72">
        <f t="shared" ref="K72:K73" si="34">+ROUND(C72/$C$62,3)</f>
        <v>1.216</v>
      </c>
      <c r="L72">
        <f t="shared" ref="L72:L73" si="35">+ROUND(D72/$D$62,3)</f>
        <v>1.1240000000000001</v>
      </c>
    </row>
    <row r="73" spans="2:12">
      <c r="B73">
        <f t="shared" si="10"/>
        <v>2016</v>
      </c>
      <c r="C73" s="36">
        <f>'CPI-U-RS'!D76</f>
        <v>352.8</v>
      </c>
      <c r="D73">
        <f t="shared" si="30"/>
        <v>188.91408379719275</v>
      </c>
      <c r="E73">
        <f t="shared" si="25"/>
        <v>2.0960000000000001</v>
      </c>
      <c r="G73">
        <f t="shared" si="31"/>
        <v>1.2919896640826873E-2</v>
      </c>
      <c r="H73">
        <f t="shared" si="32"/>
        <v>4.9198966408268959E-3</v>
      </c>
      <c r="I73">
        <f t="shared" si="33"/>
        <v>-7.9999999999999759E-3</v>
      </c>
      <c r="K73">
        <f t="shared" si="34"/>
        <v>1.232</v>
      </c>
      <c r="L73">
        <f t="shared" si="35"/>
        <v>1.1299999999999999</v>
      </c>
    </row>
    <row r="74" spans="2:12">
      <c r="B74">
        <f t="shared" si="10"/>
        <v>2017</v>
      </c>
      <c r="C74" s="36">
        <f>'CPI-U-RS'!D77</f>
        <v>360.3</v>
      </c>
      <c r="D74">
        <f t="shared" ref="D74" si="36">+D73+D73*((C74-C73)/C73-0.008)</f>
        <v>191.41880181978274</v>
      </c>
      <c r="E74">
        <f t="shared" si="25"/>
        <v>2.1230000000000002</v>
      </c>
      <c r="G74">
        <f t="shared" ref="G74:G78" si="37">+(C74-C73)/C73</f>
        <v>2.1258503401360544E-2</v>
      </c>
      <c r="H74">
        <f t="shared" ref="H74:H78" si="38">+(D74-D73)/D73</f>
        <v>1.3258503401360582E-2</v>
      </c>
      <c r="I74">
        <f t="shared" ref="I74:I78" si="39">+H74-G74</f>
        <v>-7.999999999999962E-3</v>
      </c>
    </row>
    <row r="75" spans="2:12">
      <c r="B75">
        <f t="shared" si="10"/>
        <v>2018</v>
      </c>
      <c r="C75" s="36">
        <f>'CPI-U-RS'!D78</f>
        <v>369.1</v>
      </c>
      <c r="D75">
        <f t="shared" ref="D75" si="40">+D74+D74*((C75-C74)/C74-0.008)</f>
        <v>194.56268164672903</v>
      </c>
      <c r="E75">
        <f t="shared" ref="E75:E76" si="41">+ROUND(D75/$D$37,3)</f>
        <v>2.1579999999999999</v>
      </c>
      <c r="G75">
        <f t="shared" si="37"/>
        <v>2.4424091035248435E-2</v>
      </c>
      <c r="H75">
        <f t="shared" si="38"/>
        <v>1.6424091035248427E-2</v>
      </c>
      <c r="I75">
        <f t="shared" si="39"/>
        <v>-8.0000000000000071E-3</v>
      </c>
    </row>
    <row r="76" spans="2:12">
      <c r="B76">
        <f t="shared" si="10"/>
        <v>2019</v>
      </c>
      <c r="C76" s="36">
        <f>'CPI-U-RS'!D79</f>
        <v>375.8</v>
      </c>
      <c r="D76">
        <f t="shared" ref="D76" si="42">+D75+D75*((C76-C75)/C75-0.008)</f>
        <v>196.537933016728</v>
      </c>
      <c r="E76">
        <f t="shared" si="41"/>
        <v>2.1800000000000002</v>
      </c>
      <c r="G76">
        <f t="shared" si="37"/>
        <v>1.8152262259550224E-2</v>
      </c>
      <c r="H76">
        <f t="shared" si="38"/>
        <v>1.0152262259550224E-2</v>
      </c>
      <c r="I76">
        <f t="shared" si="39"/>
        <v>-8.0000000000000002E-3</v>
      </c>
    </row>
    <row r="77" spans="2:12">
      <c r="B77">
        <f t="shared" si="10"/>
        <v>2020</v>
      </c>
      <c r="C77" s="36">
        <f>'CPI-U-RS'!D80</f>
        <v>380.8</v>
      </c>
      <c r="D77">
        <f t="shared" ref="D77" si="43">+D76+D76*((C77-C76)/C76-0.008)</f>
        <v>197.58055681465814</v>
      </c>
      <c r="E77">
        <f t="shared" ref="E77" si="44">+ROUND(D77/$D$37,3)</f>
        <v>2.1920000000000002</v>
      </c>
      <c r="G77">
        <f t="shared" si="37"/>
        <v>1.3304949441192123E-2</v>
      </c>
      <c r="H77">
        <f t="shared" si="38"/>
        <v>5.3049494411920584E-3</v>
      </c>
      <c r="I77">
        <f t="shared" si="39"/>
        <v>-8.0000000000000644E-3</v>
      </c>
    </row>
    <row r="78" spans="2:12">
      <c r="B78">
        <f t="shared" si="10"/>
        <v>2021</v>
      </c>
      <c r="C78" s="36">
        <f>'CPI-U-RS'!D81</f>
        <v>399.2</v>
      </c>
      <c r="D78">
        <f t="shared" ref="D78" si="45">+D77+D77*((C78-C77)/C77-0.008)</f>
        <v>205.54687203816005</v>
      </c>
      <c r="E78">
        <f t="shared" ref="E78" si="46">+ROUND(D78/$D$37,3)</f>
        <v>2.2799999999999998</v>
      </c>
      <c r="G78">
        <f t="shared" si="37"/>
        <v>4.8319327731092376E-2</v>
      </c>
      <c r="H78">
        <f t="shared" si="38"/>
        <v>4.0319327731092328E-2</v>
      </c>
      <c r="I78">
        <f t="shared" si="39"/>
        <v>-8.0000000000000487E-3</v>
      </c>
    </row>
    <row r="79" spans="2:12">
      <c r="B79">
        <f t="shared" si="10"/>
        <v>2022</v>
      </c>
      <c r="C79" s="36">
        <f>'CPI-U-RS'!D82</f>
        <v>431.5</v>
      </c>
      <c r="D79">
        <f t="shared" ref="D79" si="47">+D78+D78*((C79-C78)/C78-0.008)</f>
        <v>220.53366932345941</v>
      </c>
      <c r="E79">
        <f t="shared" ref="E79" si="48">+ROUND(D79/$D$37,3)</f>
        <v>2.4460000000000002</v>
      </c>
      <c r="G79">
        <f t="shared" ref="G79" si="49">+(C79-C78)/C78</f>
        <v>8.0911823647294615E-2</v>
      </c>
      <c r="H79">
        <f t="shared" ref="H79" si="50">+(D79-D78)/D78</f>
        <v>7.2911823647294621E-2</v>
      </c>
      <c r="I79">
        <f t="shared" ref="I79" si="51">+H79-G79</f>
        <v>-7.9999999999999932E-3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6E3-612B-4FB5-9825-1E637893A68B}">
  <dimension ref="A3:L78"/>
  <sheetViews>
    <sheetView topLeftCell="A61" workbookViewId="0">
      <selection activeCell="E78" sqref="E78"/>
    </sheetView>
  </sheetViews>
  <sheetFormatPr defaultColWidth="9.28515625" defaultRowHeight="12.75"/>
  <cols>
    <col min="1" max="1" width="24.140625" customWidth="1"/>
    <col min="4" max="4" width="13.42578125" customWidth="1"/>
    <col min="5" max="5" width="13.85546875" customWidth="1"/>
  </cols>
  <sheetData>
    <row r="3" spans="2:12">
      <c r="C3" t="s">
        <v>45</v>
      </c>
      <c r="D3" t="s">
        <v>95</v>
      </c>
      <c r="E3" t="s">
        <v>50</v>
      </c>
      <c r="G3" t="s">
        <v>48</v>
      </c>
    </row>
    <row r="4" spans="2:12">
      <c r="B4">
        <v>1947</v>
      </c>
      <c r="C4">
        <f>'CPI-U-RS'!D7</f>
        <v>37.5</v>
      </c>
      <c r="D4">
        <f>+C4</f>
        <v>37.5</v>
      </c>
      <c r="E4">
        <f>+ROUND(D4/$D$37,3)</f>
        <v>0.41299999999999998</v>
      </c>
      <c r="K4">
        <f>+ROUND(C4/$C$62,3)</f>
        <v>0.13100000000000001</v>
      </c>
      <c r="L4">
        <f>+ROUND(D4/$D$62,3)</f>
        <v>0.20699999999999999</v>
      </c>
    </row>
    <row r="5" spans="2:12">
      <c r="B5">
        <v>1948</v>
      </c>
      <c r="C5">
        <f>'CPI-U-RS'!D8</f>
        <v>40.5</v>
      </c>
      <c r="D5">
        <f t="shared" ref="D5:D34" si="0">+D4+D4*((C5-C4)/C4-0.011)</f>
        <v>40.087499999999999</v>
      </c>
      <c r="E5">
        <f t="shared" ref="E5:E68" si="1">+ROUND(D5/$D$37,3)</f>
        <v>0.441</v>
      </c>
      <c r="G5">
        <f>+(C5-C4)/C4</f>
        <v>0.08</v>
      </c>
      <c r="H5">
        <f>+(D5-D4)/D4</f>
        <v>6.8999999999999964E-2</v>
      </c>
      <c r="I5">
        <f>+H5-G5</f>
        <v>-1.1000000000000038E-2</v>
      </c>
      <c r="K5">
        <f t="shared" ref="K5:K68" si="2">+ROUND(C5/$C$62,3)</f>
        <v>0.14099999999999999</v>
      </c>
      <c r="L5">
        <f t="shared" ref="L5:L68" si="3">+ROUND(D5/$D$62,3)</f>
        <v>0.221</v>
      </c>
    </row>
    <row r="6" spans="2:12">
      <c r="B6">
        <v>1949</v>
      </c>
      <c r="C6">
        <f>'CPI-U-RS'!D9</f>
        <v>40</v>
      </c>
      <c r="D6">
        <f t="shared" si="0"/>
        <v>39.15163009259259</v>
      </c>
      <c r="E6">
        <f t="shared" si="1"/>
        <v>0.43099999999999999</v>
      </c>
      <c r="G6">
        <f t="shared" ref="G6:H27" si="4">+(C6-C5)/C5</f>
        <v>-1.2345679012345678E-2</v>
      </c>
      <c r="H6">
        <f t="shared" si="4"/>
        <v>-2.3345679012345699E-2</v>
      </c>
      <c r="I6">
        <f t="shared" ref="I6:I68" si="5">+H6-G6</f>
        <v>-1.100000000000002E-2</v>
      </c>
      <c r="K6">
        <f t="shared" si="2"/>
        <v>0.14000000000000001</v>
      </c>
      <c r="L6">
        <f t="shared" si="3"/>
        <v>0.216</v>
      </c>
    </row>
    <row r="7" spans="2:12">
      <c r="B7">
        <v>1950</v>
      </c>
      <c r="C7">
        <f>'CPI-U-RS'!D10</f>
        <v>40.5</v>
      </c>
      <c r="D7">
        <f t="shared" si="0"/>
        <v>39.210357537731483</v>
      </c>
      <c r="E7">
        <f t="shared" si="1"/>
        <v>0.43099999999999999</v>
      </c>
      <c r="G7">
        <f t="shared" si="4"/>
        <v>1.2500000000000001E-2</v>
      </c>
      <c r="H7">
        <f t="shared" si="4"/>
        <v>1.5000000000000837E-3</v>
      </c>
      <c r="I7">
        <f t="shared" si="5"/>
        <v>-1.0999999999999916E-2</v>
      </c>
      <c r="K7">
        <f t="shared" si="2"/>
        <v>0.14099999999999999</v>
      </c>
      <c r="L7">
        <f t="shared" si="3"/>
        <v>0.216</v>
      </c>
    </row>
    <row r="8" spans="2:12">
      <c r="B8">
        <v>1951</v>
      </c>
      <c r="C8">
        <f>'CPI-U-RS'!D11</f>
        <v>43.7</v>
      </c>
      <c r="D8">
        <f t="shared" si="0"/>
        <v>41.877145928785346</v>
      </c>
      <c r="E8">
        <f t="shared" si="1"/>
        <v>0.46100000000000002</v>
      </c>
      <c r="G8">
        <f t="shared" si="4"/>
        <v>7.9012345679012413E-2</v>
      </c>
      <c r="H8">
        <f t="shared" si="4"/>
        <v>6.8012345679012404E-2</v>
      </c>
      <c r="I8">
        <f t="shared" si="5"/>
        <v>-1.100000000000001E-2</v>
      </c>
      <c r="K8">
        <f t="shared" si="2"/>
        <v>0.153</v>
      </c>
      <c r="L8">
        <f t="shared" si="3"/>
        <v>0.23100000000000001</v>
      </c>
    </row>
    <row r="9" spans="2:12">
      <c r="B9">
        <v>1952</v>
      </c>
      <c r="C9">
        <f>'CPI-U-RS'!D12</f>
        <v>44.5</v>
      </c>
      <c r="D9">
        <f t="shared" si="0"/>
        <v>42.183126997322212</v>
      </c>
      <c r="E9">
        <f t="shared" si="1"/>
        <v>0.46400000000000002</v>
      </c>
      <c r="G9">
        <f t="shared" si="4"/>
        <v>1.8306636155606341E-2</v>
      </c>
      <c r="H9">
        <f t="shared" si="4"/>
        <v>7.3066361556063438E-3</v>
      </c>
      <c r="I9">
        <f t="shared" si="5"/>
        <v>-1.0999999999999998E-2</v>
      </c>
      <c r="K9">
        <f t="shared" si="2"/>
        <v>0.155</v>
      </c>
      <c r="L9">
        <f t="shared" si="3"/>
        <v>0.23300000000000001</v>
      </c>
    </row>
    <row r="10" spans="2:12">
      <c r="B10">
        <v>1953</v>
      </c>
      <c r="C10">
        <f>'CPI-U-RS'!D13</f>
        <v>44.8</v>
      </c>
      <c r="D10">
        <f t="shared" si="0"/>
        <v>42.003493231794288</v>
      </c>
      <c r="E10">
        <f t="shared" si="1"/>
        <v>0.46200000000000002</v>
      </c>
      <c r="G10">
        <f t="shared" si="4"/>
        <v>6.7415730337078011E-3</v>
      </c>
      <c r="H10">
        <f t="shared" si="4"/>
        <v>-4.2584269662921791E-3</v>
      </c>
      <c r="I10">
        <f t="shared" si="5"/>
        <v>-1.099999999999998E-2</v>
      </c>
      <c r="K10">
        <f t="shared" si="2"/>
        <v>0.156</v>
      </c>
      <c r="L10">
        <f t="shared" si="3"/>
        <v>0.23200000000000001</v>
      </c>
    </row>
    <row r="11" spans="2:12">
      <c r="B11">
        <v>1954</v>
      </c>
      <c r="C11">
        <f>'CPI-U-RS'!D14</f>
        <v>45.2</v>
      </c>
      <c r="D11">
        <f t="shared" si="0"/>
        <v>41.916485995814149</v>
      </c>
      <c r="E11">
        <f t="shared" si="1"/>
        <v>0.46100000000000002</v>
      </c>
      <c r="G11">
        <f t="shared" si="4"/>
        <v>8.9285714285715564E-3</v>
      </c>
      <c r="H11">
        <f t="shared" si="4"/>
        <v>-2.0714285714284065E-3</v>
      </c>
      <c r="I11">
        <f t="shared" si="5"/>
        <v>-1.0999999999999963E-2</v>
      </c>
      <c r="K11">
        <f t="shared" si="2"/>
        <v>0.158</v>
      </c>
      <c r="L11">
        <f t="shared" si="3"/>
        <v>0.23100000000000001</v>
      </c>
    </row>
    <row r="12" spans="2:12">
      <c r="B12">
        <v>1955</v>
      </c>
      <c r="C12">
        <f>'CPI-U-RS'!D15</f>
        <v>45</v>
      </c>
      <c r="D12">
        <f t="shared" si="0"/>
        <v>41.269933472887558</v>
      </c>
      <c r="E12">
        <f t="shared" si="1"/>
        <v>0.45400000000000001</v>
      </c>
      <c r="G12">
        <f t="shared" si="4"/>
        <v>-4.4247787610620093E-3</v>
      </c>
      <c r="H12">
        <f t="shared" si="4"/>
        <v>-1.5424778761062092E-2</v>
      </c>
      <c r="I12">
        <f t="shared" si="5"/>
        <v>-1.1000000000000083E-2</v>
      </c>
      <c r="K12">
        <f t="shared" si="2"/>
        <v>0.157</v>
      </c>
      <c r="L12">
        <f t="shared" si="3"/>
        <v>0.22700000000000001</v>
      </c>
    </row>
    <row r="13" spans="2:12">
      <c r="B13">
        <v>1956</v>
      </c>
      <c r="C13">
        <f>'CPI-U-RS'!D16</f>
        <v>45.7</v>
      </c>
      <c r="D13">
        <f t="shared" si="0"/>
        <v>41.457940947597379</v>
      </c>
      <c r="E13">
        <f t="shared" si="1"/>
        <v>0.45600000000000002</v>
      </c>
      <c r="G13">
        <f t="shared" si="4"/>
        <v>1.5555555555555619E-2</v>
      </c>
      <c r="H13">
        <f t="shared" si="4"/>
        <v>4.5555555555555436E-3</v>
      </c>
      <c r="I13">
        <f t="shared" si="5"/>
        <v>-1.1000000000000076E-2</v>
      </c>
      <c r="K13">
        <f t="shared" si="2"/>
        <v>0.16</v>
      </c>
      <c r="L13">
        <f t="shared" si="3"/>
        <v>0.22900000000000001</v>
      </c>
    </row>
    <row r="14" spans="2:12">
      <c r="B14">
        <v>1957</v>
      </c>
      <c r="C14">
        <f>'CPI-U-RS'!D17</f>
        <v>47.2</v>
      </c>
      <c r="D14">
        <f t="shared" si="0"/>
        <v>42.362667523243744</v>
      </c>
      <c r="E14">
        <f t="shared" si="1"/>
        <v>0.46600000000000003</v>
      </c>
      <c r="G14">
        <f t="shared" si="4"/>
        <v>3.2822757111597371E-2</v>
      </c>
      <c r="H14">
        <f t="shared" si="4"/>
        <v>2.1822757111597368E-2</v>
      </c>
      <c r="I14">
        <f t="shared" si="5"/>
        <v>-1.1000000000000003E-2</v>
      </c>
      <c r="K14">
        <f t="shared" si="2"/>
        <v>0.16500000000000001</v>
      </c>
      <c r="L14">
        <f t="shared" si="3"/>
        <v>0.23300000000000001</v>
      </c>
    </row>
    <row r="15" spans="2:12">
      <c r="B15">
        <v>1958</v>
      </c>
      <c r="C15">
        <f>'CPI-U-RS'!D18</f>
        <v>48.5</v>
      </c>
      <c r="D15">
        <f t="shared" si="0"/>
        <v>43.063446565662147</v>
      </c>
      <c r="E15">
        <f t="shared" si="1"/>
        <v>0.47399999999999998</v>
      </c>
      <c r="G15">
        <f t="shared" si="4"/>
        <v>2.7542372881355869E-2</v>
      </c>
      <c r="H15">
        <f t="shared" si="4"/>
        <v>1.6542372881355901E-2</v>
      </c>
      <c r="I15">
        <f t="shared" si="5"/>
        <v>-1.0999999999999968E-2</v>
      </c>
      <c r="K15">
        <f t="shared" si="2"/>
        <v>0.16900000000000001</v>
      </c>
      <c r="L15">
        <f t="shared" si="3"/>
        <v>0.23699999999999999</v>
      </c>
    </row>
    <row r="16" spans="2:12">
      <c r="B16">
        <v>1959</v>
      </c>
      <c r="C16">
        <f>'CPI-U-RS'!D19</f>
        <v>48.9</v>
      </c>
      <c r="D16">
        <f t="shared" si="0"/>
        <v>42.944911099342228</v>
      </c>
      <c r="E16">
        <f t="shared" si="1"/>
        <v>0.47199999999999998</v>
      </c>
      <c r="G16">
        <f t="shared" si="4"/>
        <v>8.2474226804123418E-3</v>
      </c>
      <c r="H16">
        <f t="shared" si="4"/>
        <v>-2.7525773195877169E-3</v>
      </c>
      <c r="I16">
        <f t="shared" si="5"/>
        <v>-1.1000000000000058E-2</v>
      </c>
      <c r="K16">
        <f t="shared" si="2"/>
        <v>0.17100000000000001</v>
      </c>
      <c r="L16">
        <f t="shared" si="3"/>
        <v>0.23699999999999999</v>
      </c>
    </row>
    <row r="17" spans="2:12">
      <c r="B17">
        <v>1960</v>
      </c>
      <c r="C17">
        <f>'CPI-U-RS'!D20</f>
        <v>49.7</v>
      </c>
      <c r="D17">
        <f t="shared" si="0"/>
        <v>43.175092309958544</v>
      </c>
      <c r="E17">
        <f t="shared" si="1"/>
        <v>0.47499999999999998</v>
      </c>
      <c r="G17">
        <f t="shared" si="4"/>
        <v>1.6359918200409086E-2</v>
      </c>
      <c r="H17">
        <f t="shared" si="4"/>
        <v>5.3599182004091068E-3</v>
      </c>
      <c r="I17">
        <f t="shared" si="5"/>
        <v>-1.0999999999999979E-2</v>
      </c>
      <c r="K17">
        <f t="shared" si="2"/>
        <v>0.17399999999999999</v>
      </c>
      <c r="L17">
        <f t="shared" si="3"/>
        <v>0.23799999999999999</v>
      </c>
    </row>
    <row r="18" spans="2:12">
      <c r="B18">
        <v>1961</v>
      </c>
      <c r="C18">
        <f>'CPI-U-RS'!D21</f>
        <v>50.2</v>
      </c>
      <c r="D18">
        <f t="shared" si="0"/>
        <v>43.134523360041541</v>
      </c>
      <c r="E18">
        <f t="shared" si="1"/>
        <v>0.47499999999999998</v>
      </c>
      <c r="G18">
        <f t="shared" si="4"/>
        <v>1.0060362173038229E-2</v>
      </c>
      <c r="H18">
        <f t="shared" si="4"/>
        <v>-9.3963782696174811E-4</v>
      </c>
      <c r="I18">
        <f t="shared" si="5"/>
        <v>-1.0999999999999977E-2</v>
      </c>
      <c r="K18">
        <f t="shared" si="2"/>
        <v>0.17499999999999999</v>
      </c>
      <c r="L18">
        <f t="shared" si="3"/>
        <v>0.23799999999999999</v>
      </c>
    </row>
    <row r="19" spans="2:12">
      <c r="B19">
        <v>1962</v>
      </c>
      <c r="C19">
        <f>'CPI-U-RS'!D22</f>
        <v>50.7</v>
      </c>
      <c r="D19">
        <f t="shared" si="0"/>
        <v>43.089670329774727</v>
      </c>
      <c r="E19">
        <f t="shared" si="1"/>
        <v>0.47399999999999998</v>
      </c>
      <c r="G19">
        <f t="shared" si="4"/>
        <v>9.9601593625498006E-3</v>
      </c>
      <c r="H19">
        <f t="shared" si="4"/>
        <v>-1.0398406374501653E-3</v>
      </c>
      <c r="I19">
        <f t="shared" si="5"/>
        <v>-1.0999999999999966E-2</v>
      </c>
      <c r="K19">
        <f t="shared" si="2"/>
        <v>0.17699999999999999</v>
      </c>
      <c r="L19">
        <f t="shared" si="3"/>
        <v>0.23799999999999999</v>
      </c>
    </row>
    <row r="20" spans="2:12">
      <c r="B20">
        <v>1963</v>
      </c>
      <c r="C20">
        <f>'CPI-U-RS'!D23</f>
        <v>51.4</v>
      </c>
      <c r="D20">
        <f t="shared" si="0"/>
        <v>43.210610370956715</v>
      </c>
      <c r="E20">
        <f t="shared" si="1"/>
        <v>0.47499999999999998</v>
      </c>
      <c r="G20">
        <f t="shared" si="4"/>
        <v>1.3806706114398336E-2</v>
      </c>
      <c r="H20">
        <f t="shared" si="4"/>
        <v>2.8067061143983649E-3</v>
      </c>
      <c r="I20">
        <f t="shared" si="5"/>
        <v>-1.0999999999999972E-2</v>
      </c>
      <c r="K20">
        <f t="shared" si="2"/>
        <v>0.17899999999999999</v>
      </c>
      <c r="L20">
        <f t="shared" si="3"/>
        <v>0.23799999999999999</v>
      </c>
    </row>
    <row r="21" spans="2:12">
      <c r="B21">
        <v>1964</v>
      </c>
      <c r="C21">
        <f>'CPI-U-RS'!D24</f>
        <v>52.1</v>
      </c>
      <c r="D21">
        <f t="shared" si="0"/>
        <v>43.323765004340586</v>
      </c>
      <c r="E21">
        <f t="shared" si="1"/>
        <v>0.47699999999999998</v>
      </c>
      <c r="G21">
        <f t="shared" si="4"/>
        <v>1.3618677042801612E-2</v>
      </c>
      <c r="H21">
        <f t="shared" si="4"/>
        <v>2.6186770428016522E-3</v>
      </c>
      <c r="I21">
        <f t="shared" si="5"/>
        <v>-1.0999999999999959E-2</v>
      </c>
      <c r="K21">
        <f t="shared" si="2"/>
        <v>0.182</v>
      </c>
      <c r="L21">
        <f t="shared" si="3"/>
        <v>0.23899999999999999</v>
      </c>
    </row>
    <row r="22" spans="2:12">
      <c r="B22">
        <v>1965</v>
      </c>
      <c r="C22">
        <f>'CPI-U-RS'!D25</f>
        <v>52.9</v>
      </c>
      <c r="D22">
        <f t="shared" si="0"/>
        <v>43.512443742910349</v>
      </c>
      <c r="E22">
        <f t="shared" si="1"/>
        <v>0.47899999999999998</v>
      </c>
      <c r="G22">
        <f t="shared" si="4"/>
        <v>1.535508637236079E-2</v>
      </c>
      <c r="H22">
        <f t="shared" si="4"/>
        <v>4.3550863723607449E-3</v>
      </c>
      <c r="I22">
        <f t="shared" si="5"/>
        <v>-1.1000000000000044E-2</v>
      </c>
      <c r="K22">
        <f t="shared" si="2"/>
        <v>0.185</v>
      </c>
      <c r="L22">
        <f t="shared" si="3"/>
        <v>0.24</v>
      </c>
    </row>
    <row r="23" spans="2:12">
      <c r="B23">
        <v>1966</v>
      </c>
      <c r="C23">
        <f>'CPI-U-RS'!D26</f>
        <v>54.4</v>
      </c>
      <c r="D23">
        <f t="shared" si="0"/>
        <v>44.267619066168685</v>
      </c>
      <c r="E23">
        <f t="shared" si="1"/>
        <v>0.48699999999999999</v>
      </c>
      <c r="G23">
        <f t="shared" si="4"/>
        <v>2.835538752362949E-2</v>
      </c>
      <c r="H23">
        <f t="shared" si="4"/>
        <v>1.7355387523629463E-2</v>
      </c>
      <c r="I23">
        <f t="shared" si="5"/>
        <v>-1.1000000000000027E-2</v>
      </c>
      <c r="K23">
        <f t="shared" si="2"/>
        <v>0.19</v>
      </c>
      <c r="L23">
        <f t="shared" si="3"/>
        <v>0.24399999999999999</v>
      </c>
    </row>
    <row r="24" spans="2:12">
      <c r="B24">
        <v>1967</v>
      </c>
      <c r="C24">
        <f>'CPI-U-RS'!D27</f>
        <v>56.1</v>
      </c>
      <c r="D24">
        <f t="shared" si="0"/>
        <v>45.164038352258601</v>
      </c>
      <c r="E24">
        <f t="shared" si="1"/>
        <v>0.497</v>
      </c>
      <c r="G24">
        <f t="shared" si="4"/>
        <v>3.1250000000000056E-2</v>
      </c>
      <c r="H24">
        <f t="shared" si="4"/>
        <v>2.0250000000000004E-2</v>
      </c>
      <c r="I24">
        <f t="shared" si="5"/>
        <v>-1.1000000000000051E-2</v>
      </c>
      <c r="K24">
        <f t="shared" si="2"/>
        <v>0.19600000000000001</v>
      </c>
      <c r="L24">
        <f t="shared" si="3"/>
        <v>0.249</v>
      </c>
    </row>
    <row r="25" spans="2:12">
      <c r="B25">
        <v>1968</v>
      </c>
      <c r="C25">
        <f>'CPI-U-RS'!D28</f>
        <v>58.3</v>
      </c>
      <c r="D25">
        <f t="shared" si="0"/>
        <v>46.438372689295853</v>
      </c>
      <c r="E25">
        <f t="shared" si="1"/>
        <v>0.51100000000000001</v>
      </c>
      <c r="G25">
        <f t="shared" si="4"/>
        <v>3.9215686274509727E-2</v>
      </c>
      <c r="H25">
        <f t="shared" si="4"/>
        <v>2.8215686274509703E-2</v>
      </c>
      <c r="I25">
        <f t="shared" si="5"/>
        <v>-1.1000000000000024E-2</v>
      </c>
      <c r="K25">
        <f t="shared" si="2"/>
        <v>0.20399999999999999</v>
      </c>
      <c r="L25">
        <f t="shared" si="3"/>
        <v>0.25600000000000001</v>
      </c>
    </row>
    <row r="26" spans="2:12">
      <c r="B26">
        <v>1969</v>
      </c>
      <c r="C26">
        <f>'CPI-U-RS'!D29</f>
        <v>60.9</v>
      </c>
      <c r="D26">
        <f t="shared" si="0"/>
        <v>47.998558634176192</v>
      </c>
      <c r="E26">
        <f t="shared" si="1"/>
        <v>0.52800000000000002</v>
      </c>
      <c r="G26">
        <f t="shared" si="4"/>
        <v>4.4596912521440851E-2</v>
      </c>
      <c r="H26">
        <f t="shared" si="4"/>
        <v>3.3596912521440793E-2</v>
      </c>
      <c r="I26">
        <f t="shared" si="5"/>
        <v>-1.1000000000000058E-2</v>
      </c>
      <c r="K26">
        <f t="shared" si="2"/>
        <v>0.21299999999999999</v>
      </c>
      <c r="L26">
        <f t="shared" si="3"/>
        <v>0.26500000000000001</v>
      </c>
    </row>
    <row r="27" spans="2:12">
      <c r="B27">
        <v>1970</v>
      </c>
      <c r="C27">
        <f>'CPI-U-RS'!D30</f>
        <v>63.9</v>
      </c>
      <c r="D27">
        <f t="shared" si="0"/>
        <v>49.835035505662134</v>
      </c>
      <c r="E27">
        <f t="shared" si="1"/>
        <v>0.54800000000000004</v>
      </c>
      <c r="G27">
        <f t="shared" si="4"/>
        <v>4.9261083743842367E-2</v>
      </c>
      <c r="H27">
        <f t="shared" si="4"/>
        <v>3.8261083743842343E-2</v>
      </c>
      <c r="I27">
        <f t="shared" si="5"/>
        <v>-1.1000000000000024E-2</v>
      </c>
      <c r="K27">
        <f t="shared" si="2"/>
        <v>0.223</v>
      </c>
      <c r="L27">
        <f t="shared" si="3"/>
        <v>0.27500000000000002</v>
      </c>
    </row>
    <row r="28" spans="2:12">
      <c r="B28">
        <v>1971</v>
      </c>
      <c r="C28">
        <f>'CPI-U-RS'!D31</f>
        <v>66.7</v>
      </c>
      <c r="D28">
        <f t="shared" si="0"/>
        <v>51.470544941639041</v>
      </c>
      <c r="E28">
        <f t="shared" si="1"/>
        <v>0.56599999999999995</v>
      </c>
      <c r="G28">
        <f>+(C28-C27)/C27</f>
        <v>4.3818466353677692E-2</v>
      </c>
      <c r="H28">
        <f>+(D28-D27)/D27</f>
        <v>3.281846635367771E-2</v>
      </c>
      <c r="I28">
        <f t="shared" si="5"/>
        <v>-1.0999999999999982E-2</v>
      </c>
      <c r="K28">
        <f t="shared" si="2"/>
        <v>0.23300000000000001</v>
      </c>
      <c r="L28">
        <f t="shared" si="3"/>
        <v>0.28399999999999997</v>
      </c>
    </row>
    <row r="29" spans="2:12">
      <c r="B29">
        <v>1972</v>
      </c>
      <c r="C29">
        <f>'CPI-U-RS'!D32</f>
        <v>68.7</v>
      </c>
      <c r="D29">
        <f t="shared" si="0"/>
        <v>52.447713623192229</v>
      </c>
      <c r="E29">
        <f t="shared" si="1"/>
        <v>0.57699999999999996</v>
      </c>
      <c r="G29">
        <f>+(C29-C28)/C28</f>
        <v>2.9985007496251874E-2</v>
      </c>
      <c r="H29">
        <f>+(D29-D28)/D28</f>
        <v>1.8985007496251909E-2</v>
      </c>
      <c r="I29">
        <f t="shared" si="5"/>
        <v>-1.0999999999999965E-2</v>
      </c>
      <c r="K29">
        <f t="shared" si="2"/>
        <v>0.24</v>
      </c>
      <c r="L29">
        <f t="shared" si="3"/>
        <v>0.28899999999999998</v>
      </c>
    </row>
    <row r="30" spans="2:12">
      <c r="B30">
        <v>1973</v>
      </c>
      <c r="C30">
        <f>'CPI-U-RS'!D33</f>
        <v>73</v>
      </c>
      <c r="D30">
        <f t="shared" si="0"/>
        <v>55.153542318893543</v>
      </c>
      <c r="E30">
        <f t="shared" si="1"/>
        <v>0.60699999999999998</v>
      </c>
      <c r="G30">
        <f t="shared" ref="G30:H62" si="6">+(C30-C29)/C29</f>
        <v>6.2590975254730674E-2</v>
      </c>
      <c r="H30">
        <f t="shared" si="6"/>
        <v>5.1590975254730727E-2</v>
      </c>
      <c r="I30">
        <f t="shared" si="5"/>
        <v>-1.0999999999999947E-2</v>
      </c>
      <c r="K30">
        <f t="shared" si="2"/>
        <v>0.255</v>
      </c>
      <c r="L30">
        <f t="shared" si="3"/>
        <v>0.30399999999999999</v>
      </c>
    </row>
    <row r="31" spans="2:12">
      <c r="B31">
        <v>1974</v>
      </c>
      <c r="C31">
        <f>'CPI-U-RS'!D34</f>
        <v>80.3</v>
      </c>
      <c r="D31">
        <f t="shared" si="0"/>
        <v>60.062207585275068</v>
      </c>
      <c r="E31">
        <f t="shared" si="1"/>
        <v>0.66100000000000003</v>
      </c>
      <c r="G31">
        <f t="shared" si="6"/>
        <v>9.9999999999999964E-2</v>
      </c>
      <c r="H31">
        <f t="shared" si="6"/>
        <v>8.900000000000001E-2</v>
      </c>
      <c r="I31">
        <f t="shared" si="5"/>
        <v>-1.0999999999999954E-2</v>
      </c>
      <c r="K31">
        <f t="shared" si="2"/>
        <v>0.28000000000000003</v>
      </c>
      <c r="L31">
        <f t="shared" si="3"/>
        <v>0.33100000000000002</v>
      </c>
    </row>
    <row r="32" spans="2:12">
      <c r="B32">
        <v>1975</v>
      </c>
      <c r="C32">
        <f>'CPI-U-RS'!D35</f>
        <v>86.9</v>
      </c>
      <c r="D32">
        <f t="shared" si="0"/>
        <v>64.338143103366505</v>
      </c>
      <c r="E32">
        <f t="shared" si="1"/>
        <v>0.70799999999999996</v>
      </c>
      <c r="G32">
        <f t="shared" si="6"/>
        <v>8.2191780821917915E-2</v>
      </c>
      <c r="H32">
        <f t="shared" si="6"/>
        <v>7.1191780821917891E-2</v>
      </c>
      <c r="I32">
        <f t="shared" si="5"/>
        <v>-1.1000000000000024E-2</v>
      </c>
      <c r="K32">
        <f t="shared" si="2"/>
        <v>0.30299999999999999</v>
      </c>
      <c r="L32">
        <f t="shared" si="3"/>
        <v>0.35499999999999998</v>
      </c>
    </row>
    <row r="33" spans="1:12">
      <c r="B33">
        <v>1976</v>
      </c>
      <c r="C33">
        <f>'CPI-U-RS'!D36</f>
        <v>91.9</v>
      </c>
      <c r="D33">
        <f t="shared" si="0"/>
        <v>67.332272959802921</v>
      </c>
      <c r="E33">
        <f t="shared" si="1"/>
        <v>0.74099999999999999</v>
      </c>
      <c r="G33">
        <f t="shared" si="6"/>
        <v>5.7537399309551207E-2</v>
      </c>
      <c r="H33">
        <f t="shared" si="6"/>
        <v>4.6537399309551218E-2</v>
      </c>
      <c r="I33">
        <f t="shared" si="5"/>
        <v>-1.0999999999999989E-2</v>
      </c>
      <c r="K33">
        <f t="shared" si="2"/>
        <v>0.32100000000000001</v>
      </c>
      <c r="L33">
        <f t="shared" si="3"/>
        <v>0.371</v>
      </c>
    </row>
    <row r="34" spans="1:12">
      <c r="A34" s="22" t="s">
        <v>74</v>
      </c>
      <c r="B34">
        <v>1977</v>
      </c>
      <c r="C34">
        <f>'CPI-U-RS'!D37</f>
        <v>97.7</v>
      </c>
      <c r="D34">
        <f t="shared" si="0"/>
        <v>70.841097643500333</v>
      </c>
      <c r="E34">
        <f t="shared" si="1"/>
        <v>0.77900000000000003</v>
      </c>
      <c r="G34">
        <f>+(C34-C33)/C33</f>
        <v>6.3112078346028264E-2</v>
      </c>
      <c r="H34">
        <f t="shared" si="6"/>
        <v>5.2112078346028295E-2</v>
      </c>
      <c r="I34">
        <f>+H34-G34</f>
        <v>-1.0999999999999968E-2</v>
      </c>
      <c r="K34">
        <f t="shared" si="2"/>
        <v>0.34100000000000003</v>
      </c>
      <c r="L34">
        <f t="shared" si="3"/>
        <v>0.39</v>
      </c>
    </row>
    <row r="35" spans="1:12">
      <c r="B35">
        <v>1978</v>
      </c>
      <c r="C35">
        <f>'CPI-U-RS'!D38</f>
        <v>104.4</v>
      </c>
      <c r="D35">
        <f>+D34+D34*((C35-C34)/C34-0.005)</f>
        <v>75.344981758265973</v>
      </c>
      <c r="E35">
        <f t="shared" si="1"/>
        <v>0.82899999999999996</v>
      </c>
      <c r="G35">
        <f t="shared" si="6"/>
        <v>6.8577277379733903E-2</v>
      </c>
      <c r="H35">
        <f t="shared" si="6"/>
        <v>6.3577277379733982E-2</v>
      </c>
      <c r="I35">
        <f t="shared" si="5"/>
        <v>-4.9999999999999212E-3</v>
      </c>
      <c r="K35">
        <f t="shared" si="2"/>
        <v>0.36499999999999999</v>
      </c>
      <c r="L35">
        <f t="shared" si="3"/>
        <v>0.41499999999999998</v>
      </c>
    </row>
    <row r="36" spans="1:12">
      <c r="B36">
        <v>1979</v>
      </c>
      <c r="C36">
        <f>'CPI-U-RS'!D39</f>
        <v>114.3</v>
      </c>
      <c r="D36">
        <f t="shared" ref="D36:D75" si="7">+D35+D35*((C36-C35)/C35-0.005)</f>
        <v>82.11303960241365</v>
      </c>
      <c r="E36">
        <f t="shared" si="1"/>
        <v>0.90300000000000002</v>
      </c>
      <c r="G36">
        <f t="shared" si="6"/>
        <v>9.4827586206896464E-2</v>
      </c>
      <c r="H36">
        <f t="shared" si="6"/>
        <v>8.9827586206896445E-2</v>
      </c>
      <c r="I36">
        <f t="shared" si="5"/>
        <v>-5.0000000000000183E-3</v>
      </c>
      <c r="K36">
        <f t="shared" si="2"/>
        <v>0.39900000000000002</v>
      </c>
      <c r="L36">
        <f t="shared" si="3"/>
        <v>0.45300000000000001</v>
      </c>
    </row>
    <row r="37" spans="1:12">
      <c r="B37">
        <v>1980</v>
      </c>
      <c r="C37">
        <f>'CPI-U-RS'!D40</f>
        <v>127.1</v>
      </c>
      <c r="D37">
        <f t="shared" si="7"/>
        <v>90.897985400997328</v>
      </c>
      <c r="E37">
        <f t="shared" si="1"/>
        <v>1</v>
      </c>
      <c r="G37">
        <f t="shared" si="6"/>
        <v>0.11198600174978125</v>
      </c>
      <c r="H37">
        <f t="shared" si="6"/>
        <v>0.10698600174978118</v>
      </c>
      <c r="I37">
        <f t="shared" si="5"/>
        <v>-5.0000000000000738E-3</v>
      </c>
      <c r="K37">
        <f t="shared" si="2"/>
        <v>0.44400000000000001</v>
      </c>
      <c r="L37">
        <f t="shared" si="3"/>
        <v>0.501</v>
      </c>
    </row>
    <row r="38" spans="1:12">
      <c r="B38">
        <v>1981</v>
      </c>
      <c r="C38">
        <f>'CPI-U-RS'!D41</f>
        <v>139.1</v>
      </c>
      <c r="D38">
        <f t="shared" si="7"/>
        <v>99.025523993362668</v>
      </c>
      <c r="E38">
        <f t="shared" si="1"/>
        <v>1.089</v>
      </c>
      <c r="G38">
        <f t="shared" si="6"/>
        <v>9.4413847364280101E-2</v>
      </c>
      <c r="H38">
        <f t="shared" si="6"/>
        <v>8.9413847364280152E-2</v>
      </c>
      <c r="I38">
        <f t="shared" si="5"/>
        <v>-4.9999999999999489E-3</v>
      </c>
      <c r="K38">
        <f t="shared" si="2"/>
        <v>0.48599999999999999</v>
      </c>
      <c r="L38">
        <f t="shared" si="3"/>
        <v>0.54600000000000004</v>
      </c>
    </row>
    <row r="39" spans="1:12">
      <c r="B39">
        <v>1982</v>
      </c>
      <c r="C39">
        <f>'CPI-U-RS'!D42</f>
        <v>147.5</v>
      </c>
      <c r="D39">
        <f t="shared" si="7"/>
        <v>104.51037050383617</v>
      </c>
      <c r="E39">
        <f t="shared" si="1"/>
        <v>1.1499999999999999</v>
      </c>
      <c r="G39">
        <f t="shared" si="6"/>
        <v>6.0388209920920248E-2</v>
      </c>
      <c r="H39">
        <f t="shared" si="6"/>
        <v>5.5388209920920313E-2</v>
      </c>
      <c r="I39">
        <f t="shared" si="5"/>
        <v>-4.9999999999999351E-3</v>
      </c>
      <c r="K39">
        <f t="shared" si="2"/>
        <v>0.51500000000000001</v>
      </c>
      <c r="L39">
        <f t="shared" si="3"/>
        <v>0.57599999999999996</v>
      </c>
    </row>
    <row r="40" spans="1:12">
      <c r="B40">
        <v>1983</v>
      </c>
      <c r="C40">
        <f>'CPI-U-RS'!D43</f>
        <v>153.80000000000001</v>
      </c>
      <c r="D40">
        <f t="shared" si="7"/>
        <v>108.45165142537915</v>
      </c>
      <c r="E40">
        <f t="shared" si="1"/>
        <v>1.1930000000000001</v>
      </c>
      <c r="G40">
        <f t="shared" si="6"/>
        <v>4.2711864406779737E-2</v>
      </c>
      <c r="H40">
        <f t="shared" si="6"/>
        <v>3.7711864406779746E-2</v>
      </c>
      <c r="I40">
        <f t="shared" si="5"/>
        <v>-4.9999999999999906E-3</v>
      </c>
      <c r="K40">
        <f t="shared" si="2"/>
        <v>0.53700000000000003</v>
      </c>
      <c r="L40">
        <f t="shared" si="3"/>
        <v>0.59799999999999998</v>
      </c>
    </row>
    <row r="41" spans="1:12">
      <c r="B41">
        <v>1984</v>
      </c>
      <c r="C41">
        <f>'CPI-U-RS'!D44</f>
        <v>160.19999999999999</v>
      </c>
      <c r="D41">
        <f t="shared" si="7"/>
        <v>112.42233575032263</v>
      </c>
      <c r="E41">
        <f t="shared" si="1"/>
        <v>1.2370000000000001</v>
      </c>
      <c r="G41">
        <f t="shared" si="6"/>
        <v>4.1612483745123385E-2</v>
      </c>
      <c r="H41">
        <f t="shared" si="6"/>
        <v>3.6612483745123339E-2</v>
      </c>
      <c r="I41">
        <f t="shared" si="5"/>
        <v>-5.0000000000000461E-3</v>
      </c>
      <c r="K41">
        <f t="shared" si="2"/>
        <v>0.55900000000000005</v>
      </c>
      <c r="L41">
        <f t="shared" si="3"/>
        <v>0.62</v>
      </c>
    </row>
    <row r="42" spans="1:12">
      <c r="B42">
        <v>1985</v>
      </c>
      <c r="C42">
        <f>'CPI-U-RS'!D45</f>
        <v>165.6</v>
      </c>
      <c r="D42">
        <f t="shared" si="7"/>
        <v>115.64974100697516</v>
      </c>
      <c r="E42">
        <f t="shared" si="1"/>
        <v>1.272</v>
      </c>
      <c r="G42">
        <f t="shared" si="6"/>
        <v>3.3707865168539367E-2</v>
      </c>
      <c r="H42">
        <f t="shared" si="6"/>
        <v>2.8707865168539421E-2</v>
      </c>
      <c r="I42">
        <f t="shared" si="5"/>
        <v>-4.9999999999999455E-3</v>
      </c>
      <c r="K42">
        <f t="shared" si="2"/>
        <v>0.57799999999999996</v>
      </c>
      <c r="L42">
        <f t="shared" si="3"/>
        <v>0.63700000000000001</v>
      </c>
    </row>
    <row r="43" spans="1:12">
      <c r="B43">
        <v>1986</v>
      </c>
      <c r="C43">
        <f>'CPI-U-RS'!D46</f>
        <v>168.4</v>
      </c>
      <c r="D43">
        <f t="shared" si="7"/>
        <v>117.02692270543987</v>
      </c>
      <c r="E43">
        <f t="shared" si="1"/>
        <v>1.2869999999999999</v>
      </c>
      <c r="G43">
        <f t="shared" si="6"/>
        <v>1.6908212560386542E-2</v>
      </c>
      <c r="H43">
        <f t="shared" si="6"/>
        <v>1.1908212560386525E-2</v>
      </c>
      <c r="I43">
        <f t="shared" si="5"/>
        <v>-5.0000000000000166E-3</v>
      </c>
      <c r="K43">
        <f t="shared" si="2"/>
        <v>0.58799999999999997</v>
      </c>
      <c r="L43">
        <f t="shared" si="3"/>
        <v>0.64500000000000002</v>
      </c>
    </row>
    <row r="44" spans="1:12">
      <c r="B44">
        <v>1987</v>
      </c>
      <c r="C44">
        <f>'CPI-U-RS'!D47</f>
        <v>174.1</v>
      </c>
      <c r="D44">
        <f t="shared" si="7"/>
        <v>120.40291314785689</v>
      </c>
      <c r="E44">
        <f t="shared" si="1"/>
        <v>1.325</v>
      </c>
      <c r="G44">
        <f t="shared" si="6"/>
        <v>3.3847980997624635E-2</v>
      </c>
      <c r="H44">
        <f t="shared" si="6"/>
        <v>2.8847980997624666E-2</v>
      </c>
      <c r="I44">
        <f t="shared" si="5"/>
        <v>-4.9999999999999697E-3</v>
      </c>
      <c r="K44">
        <f t="shared" si="2"/>
        <v>0.60799999999999998</v>
      </c>
      <c r="L44">
        <f t="shared" si="3"/>
        <v>0.66400000000000003</v>
      </c>
    </row>
    <row r="45" spans="1:12">
      <c r="B45">
        <v>1988</v>
      </c>
      <c r="C45">
        <f>'CPI-U-RS'!D48</f>
        <v>180.5</v>
      </c>
      <c r="D45">
        <f t="shared" si="7"/>
        <v>124.22696776159081</v>
      </c>
      <c r="E45">
        <f t="shared" si="1"/>
        <v>1.367</v>
      </c>
      <c r="G45">
        <f t="shared" si="6"/>
        <v>3.6760482481332603E-2</v>
      </c>
      <c r="H45">
        <f t="shared" si="6"/>
        <v>3.1760482481332612E-2</v>
      </c>
      <c r="I45">
        <f t="shared" si="5"/>
        <v>-4.9999999999999906E-3</v>
      </c>
      <c r="K45">
        <f t="shared" si="2"/>
        <v>0.63</v>
      </c>
      <c r="L45">
        <f t="shared" si="3"/>
        <v>0.68500000000000005</v>
      </c>
    </row>
    <row r="46" spans="1:12">
      <c r="B46">
        <v>1989</v>
      </c>
      <c r="C46">
        <f>'CPI-U-RS'!D49</f>
        <v>188.3</v>
      </c>
      <c r="D46">
        <f t="shared" si="7"/>
        <v>128.97408970140009</v>
      </c>
      <c r="E46">
        <f t="shared" si="1"/>
        <v>1.419</v>
      </c>
      <c r="G46">
        <f t="shared" si="6"/>
        <v>4.3213296398892029E-2</v>
      </c>
      <c r="H46">
        <f t="shared" si="6"/>
        <v>3.8213296398892038E-2</v>
      </c>
      <c r="I46">
        <f t="shared" si="5"/>
        <v>-4.9999999999999906E-3</v>
      </c>
      <c r="K46">
        <f t="shared" si="2"/>
        <v>0.65700000000000003</v>
      </c>
      <c r="L46">
        <f t="shared" si="3"/>
        <v>0.71099999999999997</v>
      </c>
    </row>
    <row r="47" spans="1:12">
      <c r="B47">
        <v>1990</v>
      </c>
      <c r="C47">
        <f>'CPI-U-RS'!D50</f>
        <v>197.6</v>
      </c>
      <c r="D47">
        <f t="shared" si="7"/>
        <v>134.69915570654695</v>
      </c>
      <c r="E47">
        <f t="shared" si="1"/>
        <v>1.482</v>
      </c>
      <c r="G47">
        <f t="shared" si="6"/>
        <v>4.9389272437599482E-2</v>
      </c>
      <c r="H47">
        <f t="shared" si="6"/>
        <v>4.4389272437599596E-2</v>
      </c>
      <c r="I47">
        <f t="shared" si="5"/>
        <v>-4.9999999999998865E-3</v>
      </c>
      <c r="K47">
        <f t="shared" si="2"/>
        <v>0.69</v>
      </c>
      <c r="L47">
        <f t="shared" si="3"/>
        <v>0.74199999999999999</v>
      </c>
    </row>
    <row r="48" spans="1:12">
      <c r="B48">
        <v>1991</v>
      </c>
      <c r="C48">
        <f>'CPI-U-RS'!D51</f>
        <v>204.8</v>
      </c>
      <c r="D48">
        <f t="shared" si="7"/>
        <v>138.93372633027707</v>
      </c>
      <c r="E48">
        <f t="shared" si="1"/>
        <v>1.528</v>
      </c>
      <c r="G48">
        <f t="shared" si="6"/>
        <v>3.643724696356284E-2</v>
      </c>
      <c r="H48">
        <f t="shared" si="6"/>
        <v>3.1437246963562843E-2</v>
      </c>
      <c r="I48">
        <f t="shared" si="5"/>
        <v>-4.9999999999999975E-3</v>
      </c>
      <c r="K48">
        <f t="shared" si="2"/>
        <v>0.71499999999999997</v>
      </c>
      <c r="L48">
        <f t="shared" si="3"/>
        <v>0.76600000000000001</v>
      </c>
    </row>
    <row r="49" spans="2:12">
      <c r="B49">
        <v>1992</v>
      </c>
      <c r="C49">
        <f>'CPI-U-RS'!D52</f>
        <v>209.9</v>
      </c>
      <c r="D49">
        <f t="shared" si="7"/>
        <v>141.69883311017065</v>
      </c>
      <c r="E49">
        <f t="shared" si="1"/>
        <v>1.5589999999999999</v>
      </c>
      <c r="G49">
        <f t="shared" si="6"/>
        <v>2.4902343749999972E-2</v>
      </c>
      <c r="H49">
        <f t="shared" si="6"/>
        <v>1.9902343749999895E-2</v>
      </c>
      <c r="I49">
        <f t="shared" si="5"/>
        <v>-5.0000000000000773E-3</v>
      </c>
      <c r="K49">
        <f t="shared" si="2"/>
        <v>0.73299999999999998</v>
      </c>
      <c r="L49">
        <f t="shared" si="3"/>
        <v>0.78100000000000003</v>
      </c>
    </row>
    <row r="50" spans="2:12">
      <c r="B50">
        <v>1993</v>
      </c>
      <c r="C50">
        <f>'CPI-U-RS'!D53</f>
        <v>215.2</v>
      </c>
      <c r="D50">
        <f t="shared" si="7"/>
        <v>144.56825135759695</v>
      </c>
      <c r="E50">
        <f t="shared" si="1"/>
        <v>1.59</v>
      </c>
      <c r="G50">
        <f t="shared" si="6"/>
        <v>2.5250119104335316E-2</v>
      </c>
      <c r="H50">
        <f t="shared" si="6"/>
        <v>2.0250119104335371E-2</v>
      </c>
      <c r="I50">
        <f t="shared" si="5"/>
        <v>-4.9999999999999455E-3</v>
      </c>
      <c r="K50">
        <f t="shared" si="2"/>
        <v>0.751</v>
      </c>
      <c r="L50">
        <f t="shared" si="3"/>
        <v>0.79700000000000004</v>
      </c>
    </row>
    <row r="51" spans="2:12">
      <c r="B51">
        <v>1994</v>
      </c>
      <c r="C51">
        <f>'CPI-U-RS'!D54</f>
        <v>219.7</v>
      </c>
      <c r="D51">
        <f t="shared" si="7"/>
        <v>146.86844509666949</v>
      </c>
      <c r="E51">
        <f t="shared" si="1"/>
        <v>1.6160000000000001</v>
      </c>
      <c r="G51">
        <f t="shared" si="6"/>
        <v>2.0910780669144983E-2</v>
      </c>
      <c r="H51">
        <f t="shared" si="6"/>
        <v>1.591078066914494E-2</v>
      </c>
      <c r="I51">
        <f t="shared" si="5"/>
        <v>-5.0000000000000426E-3</v>
      </c>
      <c r="K51">
        <f t="shared" si="2"/>
        <v>0.76700000000000002</v>
      </c>
      <c r="L51">
        <f t="shared" si="3"/>
        <v>0.81</v>
      </c>
    </row>
    <row r="52" spans="2:12">
      <c r="B52">
        <v>1995</v>
      </c>
      <c r="C52">
        <f>'CPI-U-RS'!D55</f>
        <v>225</v>
      </c>
      <c r="D52">
        <f t="shared" si="7"/>
        <v>149.67712862909397</v>
      </c>
      <c r="E52">
        <f t="shared" si="1"/>
        <v>1.647</v>
      </c>
      <c r="G52">
        <f t="shared" si="6"/>
        <v>2.4123805188893999E-2</v>
      </c>
      <c r="H52">
        <f t="shared" si="6"/>
        <v>1.9123805188894002E-2</v>
      </c>
      <c r="I52">
        <f t="shared" si="5"/>
        <v>-4.9999999999999975E-3</v>
      </c>
      <c r="K52">
        <f t="shared" si="2"/>
        <v>0.78600000000000003</v>
      </c>
      <c r="L52">
        <f t="shared" si="3"/>
        <v>0.82499999999999996</v>
      </c>
    </row>
    <row r="53" spans="2:12">
      <c r="B53">
        <v>1996</v>
      </c>
      <c r="C53">
        <f>'CPI-U-RS'!D56</f>
        <v>231</v>
      </c>
      <c r="D53">
        <f t="shared" si="7"/>
        <v>152.92013308272433</v>
      </c>
      <c r="E53">
        <f t="shared" si="1"/>
        <v>1.6819999999999999</v>
      </c>
      <c r="G53">
        <f t="shared" si="6"/>
        <v>2.6666666666666668E-2</v>
      </c>
      <c r="H53">
        <f t="shared" si="6"/>
        <v>2.1666666666666622E-2</v>
      </c>
      <c r="I53">
        <f t="shared" si="5"/>
        <v>-5.0000000000000461E-3</v>
      </c>
      <c r="K53">
        <f t="shared" si="2"/>
        <v>0.80700000000000005</v>
      </c>
      <c r="L53">
        <f t="shared" si="3"/>
        <v>0.84299999999999997</v>
      </c>
    </row>
    <row r="54" spans="2:12">
      <c r="B54">
        <v>1997</v>
      </c>
      <c r="C54">
        <f>'CPI-U-RS'!D57</f>
        <v>236</v>
      </c>
      <c r="D54">
        <f t="shared" si="7"/>
        <v>155.46549200784588</v>
      </c>
      <c r="E54">
        <f t="shared" si="1"/>
        <v>1.71</v>
      </c>
      <c r="G54">
        <f t="shared" si="6"/>
        <v>2.1645021645021644E-2</v>
      </c>
      <c r="H54">
        <f t="shared" si="6"/>
        <v>1.6645021645021713E-2</v>
      </c>
      <c r="I54">
        <f t="shared" si="5"/>
        <v>-4.9999999999999316E-3</v>
      </c>
      <c r="K54">
        <f t="shared" si="2"/>
        <v>0.82399999999999995</v>
      </c>
      <c r="L54">
        <f t="shared" si="3"/>
        <v>0.85699999999999998</v>
      </c>
    </row>
    <row r="55" spans="2:12">
      <c r="B55">
        <v>1998</v>
      </c>
      <c r="C55">
        <f>'CPI-U-RS'!D58</f>
        <v>239.2</v>
      </c>
      <c r="D55">
        <f t="shared" si="7"/>
        <v>156.79617121909948</v>
      </c>
      <c r="E55">
        <f t="shared" si="1"/>
        <v>1.7250000000000001</v>
      </c>
      <c r="G55">
        <f t="shared" si="6"/>
        <v>1.3559322033898256E-2</v>
      </c>
      <c r="H55">
        <f t="shared" si="6"/>
        <v>8.5593220338983037E-3</v>
      </c>
      <c r="I55">
        <f t="shared" si="5"/>
        <v>-4.9999999999999524E-3</v>
      </c>
      <c r="K55">
        <f t="shared" si="2"/>
        <v>0.83499999999999996</v>
      </c>
      <c r="L55">
        <f t="shared" si="3"/>
        <v>0.86399999999999999</v>
      </c>
    </row>
    <row r="56" spans="2:12">
      <c r="B56">
        <v>1999</v>
      </c>
      <c r="C56">
        <f>'CPI-U-RS'!D59</f>
        <v>244.2</v>
      </c>
      <c r="D56">
        <f t="shared" si="7"/>
        <v>159.28970230320255</v>
      </c>
      <c r="E56">
        <f t="shared" si="1"/>
        <v>1.752</v>
      </c>
      <c r="G56">
        <f t="shared" si="6"/>
        <v>2.0903010033444816E-2</v>
      </c>
      <c r="H56">
        <f t="shared" si="6"/>
        <v>1.5903010033444805E-2</v>
      </c>
      <c r="I56">
        <f t="shared" si="5"/>
        <v>-5.0000000000000114E-3</v>
      </c>
      <c r="K56">
        <f t="shared" si="2"/>
        <v>0.85299999999999998</v>
      </c>
      <c r="L56">
        <f t="shared" si="3"/>
        <v>0.878</v>
      </c>
    </row>
    <row r="57" spans="2:12">
      <c r="B57">
        <v>2000</v>
      </c>
      <c r="C57">
        <f>'CPI-U-RS'!D60</f>
        <v>252.5</v>
      </c>
      <c r="D57">
        <f t="shared" si="7"/>
        <v>163.90727725244241</v>
      </c>
      <c r="E57">
        <f t="shared" si="1"/>
        <v>1.8029999999999999</v>
      </c>
      <c r="G57">
        <f t="shared" si="6"/>
        <v>3.3988533988534034E-2</v>
      </c>
      <c r="H57">
        <f t="shared" si="6"/>
        <v>2.8988533988534106E-2</v>
      </c>
      <c r="I57">
        <f t="shared" si="5"/>
        <v>-4.9999999999999281E-3</v>
      </c>
      <c r="K57">
        <f t="shared" si="2"/>
        <v>0.88200000000000001</v>
      </c>
      <c r="L57">
        <f t="shared" si="3"/>
        <v>0.90300000000000002</v>
      </c>
    </row>
    <row r="58" spans="2:12">
      <c r="B58">
        <v>2001</v>
      </c>
      <c r="C58">
        <f>'CPI-U-RS'!D61</f>
        <v>259.7</v>
      </c>
      <c r="D58">
        <f t="shared" si="7"/>
        <v>167.76153253436865</v>
      </c>
      <c r="E58">
        <f t="shared" si="1"/>
        <v>1.8460000000000001</v>
      </c>
      <c r="G58">
        <f t="shared" si="6"/>
        <v>2.8514851485148471E-2</v>
      </c>
      <c r="H58">
        <f t="shared" si="6"/>
        <v>2.3514851485148501E-2</v>
      </c>
      <c r="I58">
        <f t="shared" si="5"/>
        <v>-4.9999999999999697E-3</v>
      </c>
      <c r="K58">
        <f t="shared" si="2"/>
        <v>0.90700000000000003</v>
      </c>
      <c r="L58">
        <f t="shared" si="3"/>
        <v>0.92500000000000004</v>
      </c>
    </row>
    <row r="59" spans="2:12">
      <c r="B59">
        <v>2002</v>
      </c>
      <c r="C59">
        <f>'CPI-U-RS'!D62</f>
        <v>263.8</v>
      </c>
      <c r="D59">
        <f t="shared" si="7"/>
        <v>169.57125118433029</v>
      </c>
      <c r="E59">
        <f t="shared" si="1"/>
        <v>1.8660000000000001</v>
      </c>
      <c r="G59">
        <f t="shared" si="6"/>
        <v>1.5787447054293503E-2</v>
      </c>
      <c r="H59">
        <f t="shared" si="6"/>
        <v>1.0787447054293501E-2</v>
      </c>
      <c r="I59">
        <f t="shared" si="5"/>
        <v>-5.0000000000000027E-3</v>
      </c>
      <c r="K59">
        <f t="shared" si="2"/>
        <v>0.92100000000000004</v>
      </c>
      <c r="L59">
        <f t="shared" si="3"/>
        <v>0.93500000000000005</v>
      </c>
    </row>
    <row r="60" spans="2:12">
      <c r="B60">
        <v>2003</v>
      </c>
      <c r="C60">
        <f>'CPI-U-RS'!D63</f>
        <v>269.8</v>
      </c>
      <c r="D60">
        <f t="shared" si="7"/>
        <v>172.58020882949273</v>
      </c>
      <c r="E60">
        <f t="shared" si="1"/>
        <v>1.899</v>
      </c>
      <c r="G60">
        <f t="shared" si="6"/>
        <v>2.2744503411675512E-2</v>
      </c>
      <c r="H60">
        <f t="shared" si="6"/>
        <v>1.7744503411675543E-2</v>
      </c>
      <c r="I60">
        <f t="shared" si="5"/>
        <v>-4.9999999999999697E-3</v>
      </c>
      <c r="K60">
        <f t="shared" si="2"/>
        <v>0.94199999999999995</v>
      </c>
      <c r="L60">
        <f t="shared" si="3"/>
        <v>0.95099999999999996</v>
      </c>
    </row>
    <row r="61" spans="2:12">
      <c r="B61">
        <v>2004</v>
      </c>
      <c r="C61">
        <f>'CPI-U-RS'!D64</f>
        <v>277</v>
      </c>
      <c r="D61">
        <f t="shared" si="7"/>
        <v>176.32285820629539</v>
      </c>
      <c r="E61">
        <f t="shared" si="1"/>
        <v>1.94</v>
      </c>
      <c r="G61">
        <f t="shared" si="6"/>
        <v>2.6686434395848734E-2</v>
      </c>
      <c r="H61">
        <f t="shared" si="6"/>
        <v>2.1686434395848685E-2</v>
      </c>
      <c r="I61">
        <f t="shared" si="5"/>
        <v>-5.0000000000000495E-3</v>
      </c>
      <c r="K61">
        <f t="shared" si="2"/>
        <v>0.96699999999999997</v>
      </c>
      <c r="L61">
        <f t="shared" si="3"/>
        <v>0.97199999999999998</v>
      </c>
    </row>
    <row r="62" spans="2:12">
      <c r="B62">
        <v>2005</v>
      </c>
      <c r="C62">
        <f>'CPI-U-RS'!D65</f>
        <v>286.39999999999998</v>
      </c>
      <c r="D62">
        <f t="shared" si="7"/>
        <v>181.4247632912176</v>
      </c>
      <c r="E62">
        <f t="shared" si="1"/>
        <v>1.996</v>
      </c>
      <c r="G62">
        <f t="shared" si="6"/>
        <v>3.3935018050541436E-2</v>
      </c>
      <c r="H62">
        <f t="shared" si="6"/>
        <v>2.8935018050541397E-2</v>
      </c>
      <c r="I62">
        <f t="shared" si="5"/>
        <v>-5.0000000000000391E-3</v>
      </c>
      <c r="K62">
        <f t="shared" si="2"/>
        <v>1</v>
      </c>
      <c r="L62">
        <f t="shared" si="3"/>
        <v>1</v>
      </c>
    </row>
    <row r="63" spans="2:12">
      <c r="B63">
        <f t="shared" ref="B63:B78" si="8">+B62+1</f>
        <v>2006</v>
      </c>
      <c r="C63">
        <f>'CPI-U-RS'!D66</f>
        <v>295.7</v>
      </c>
      <c r="D63">
        <f t="shared" si="7"/>
        <v>186.40887655090791</v>
      </c>
      <c r="E63">
        <f t="shared" si="1"/>
        <v>2.0510000000000002</v>
      </c>
      <c r="G63">
        <f t="shared" ref="G63:H73" si="9">+(C63-C62)/C62</f>
        <v>3.2472067039106191E-2</v>
      </c>
      <c r="H63">
        <f t="shared" si="9"/>
        <v>2.74720670391062E-2</v>
      </c>
      <c r="I63">
        <f t="shared" si="5"/>
        <v>-4.9999999999999906E-3</v>
      </c>
      <c r="K63">
        <f t="shared" si="2"/>
        <v>1.032</v>
      </c>
      <c r="L63">
        <f t="shared" si="3"/>
        <v>1.0269999999999999</v>
      </c>
    </row>
    <row r="64" spans="2:12">
      <c r="B64">
        <f t="shared" si="8"/>
        <v>2007</v>
      </c>
      <c r="C64">
        <f>'CPI-U-RS'!D67</f>
        <v>304.10000000000002</v>
      </c>
      <c r="D64">
        <f t="shared" si="7"/>
        <v>190.77218070730666</v>
      </c>
      <c r="E64">
        <f t="shared" si="1"/>
        <v>2.0990000000000002</v>
      </c>
      <c r="G64">
        <f t="shared" si="9"/>
        <v>2.8407169428474922E-2</v>
      </c>
      <c r="H64">
        <f t="shared" si="9"/>
        <v>2.3407169428474855E-2</v>
      </c>
      <c r="I64">
        <f t="shared" si="5"/>
        <v>-5.0000000000000669E-3</v>
      </c>
      <c r="K64">
        <f t="shared" si="2"/>
        <v>1.0620000000000001</v>
      </c>
      <c r="L64">
        <f t="shared" si="3"/>
        <v>1.052</v>
      </c>
    </row>
    <row r="65" spans="2:12">
      <c r="B65">
        <f t="shared" si="8"/>
        <v>2008</v>
      </c>
      <c r="C65">
        <f>'CPI-U-RS'!D68</f>
        <v>315.8</v>
      </c>
      <c r="D65">
        <f t="shared" si="7"/>
        <v>197.15812419139093</v>
      </c>
      <c r="E65">
        <f t="shared" si="1"/>
        <v>2.169</v>
      </c>
      <c r="G65">
        <f t="shared" si="9"/>
        <v>3.8474186122985816E-2</v>
      </c>
      <c r="H65">
        <f t="shared" si="9"/>
        <v>3.3474186122985805E-2</v>
      </c>
      <c r="I65">
        <f t="shared" si="5"/>
        <v>-5.0000000000000114E-3</v>
      </c>
      <c r="K65">
        <f t="shared" si="2"/>
        <v>1.103</v>
      </c>
      <c r="L65">
        <f t="shared" si="3"/>
        <v>1.087</v>
      </c>
    </row>
    <row r="66" spans="2:12">
      <c r="B66">
        <f t="shared" si="8"/>
        <v>2009</v>
      </c>
      <c r="C66">
        <f>'CPI-U-RS'!D69</f>
        <v>314.7</v>
      </c>
      <c r="D66">
        <f t="shared" si="7"/>
        <v>195.48558899598643</v>
      </c>
      <c r="E66">
        <f t="shared" si="1"/>
        <v>2.1509999999999998</v>
      </c>
      <c r="G66">
        <f t="shared" si="9"/>
        <v>-3.4832172260925356E-3</v>
      </c>
      <c r="H66">
        <f t="shared" si="9"/>
        <v>-8.4832172260925019E-3</v>
      </c>
      <c r="I66">
        <f t="shared" si="5"/>
        <v>-4.9999999999999663E-3</v>
      </c>
      <c r="K66">
        <f t="shared" si="2"/>
        <v>1.099</v>
      </c>
      <c r="L66">
        <f t="shared" si="3"/>
        <v>1.0780000000000001</v>
      </c>
    </row>
    <row r="67" spans="2:12">
      <c r="B67">
        <f t="shared" si="8"/>
        <v>2010</v>
      </c>
      <c r="C67">
        <f>'CPI-U-RS'!D70</f>
        <v>319.8</v>
      </c>
      <c r="D67">
        <f t="shared" si="7"/>
        <v>197.6761829889777</v>
      </c>
      <c r="E67">
        <f t="shared" si="1"/>
        <v>2.1749999999999998</v>
      </c>
      <c r="G67">
        <f t="shared" si="9"/>
        <v>1.62059103908485E-2</v>
      </c>
      <c r="H67">
        <f t="shared" si="9"/>
        <v>1.1205910390848521E-2</v>
      </c>
      <c r="I67">
        <f t="shared" si="5"/>
        <v>-4.9999999999999784E-3</v>
      </c>
      <c r="K67">
        <f t="shared" si="2"/>
        <v>1.117</v>
      </c>
      <c r="L67">
        <f t="shared" si="3"/>
        <v>1.0900000000000001</v>
      </c>
    </row>
    <row r="68" spans="2:12">
      <c r="B68">
        <f t="shared" si="8"/>
        <v>2011</v>
      </c>
      <c r="C68">
        <f>'CPI-U-RS'!D71</f>
        <v>330</v>
      </c>
      <c r="D68">
        <f t="shared" si="7"/>
        <v>202.99267094985385</v>
      </c>
      <c r="E68">
        <f t="shared" si="1"/>
        <v>2.2330000000000001</v>
      </c>
      <c r="G68">
        <f t="shared" si="9"/>
        <v>3.1894934333958687E-2</v>
      </c>
      <c r="H68">
        <f t="shared" si="9"/>
        <v>2.689493433395863E-2</v>
      </c>
      <c r="I68">
        <f t="shared" si="5"/>
        <v>-5.0000000000000565E-3</v>
      </c>
      <c r="K68">
        <f t="shared" si="2"/>
        <v>1.1519999999999999</v>
      </c>
      <c r="L68">
        <f t="shared" si="3"/>
        <v>1.119</v>
      </c>
    </row>
    <row r="69" spans="2:12">
      <c r="B69">
        <f t="shared" si="8"/>
        <v>2012</v>
      </c>
      <c r="C69">
        <f>'CPI-U-RS'!D72</f>
        <v>336.9</v>
      </c>
      <c r="D69">
        <f t="shared" si="7"/>
        <v>206.22209980587422</v>
      </c>
      <c r="E69">
        <f t="shared" ref="E69:E75" si="10">+ROUND(D69/$D$37,3)</f>
        <v>2.2690000000000001</v>
      </c>
      <c r="G69">
        <f t="shared" si="9"/>
        <v>2.0909090909090839E-2</v>
      </c>
      <c r="H69">
        <f t="shared" si="9"/>
        <v>1.5909090909090786E-2</v>
      </c>
      <c r="I69">
        <f>+H69-G69</f>
        <v>-5.000000000000053E-3</v>
      </c>
      <c r="K69">
        <f t="shared" ref="K69:K73" si="11">+ROUND(C69/$C$62,3)</f>
        <v>1.1759999999999999</v>
      </c>
      <c r="L69">
        <f t="shared" ref="L69:L73" si="12">+ROUND(D69/$D$62,3)</f>
        <v>1.137</v>
      </c>
    </row>
    <row r="70" spans="2:12">
      <c r="B70">
        <f t="shared" si="8"/>
        <v>2013</v>
      </c>
      <c r="C70">
        <f>'CPI-U-RS'!D73</f>
        <v>342</v>
      </c>
      <c r="D70">
        <f t="shared" si="7"/>
        <v>208.31278422821606</v>
      </c>
      <c r="E70">
        <f t="shared" si="10"/>
        <v>2.2919999999999998</v>
      </c>
      <c r="G70">
        <f t="shared" si="9"/>
        <v>1.5138023152270773E-2</v>
      </c>
      <c r="H70">
        <f t="shared" si="9"/>
        <v>1.0138023152270727E-2</v>
      </c>
      <c r="I70">
        <f>+H70-G70</f>
        <v>-5.0000000000000461E-3</v>
      </c>
      <c r="K70">
        <f t="shared" si="11"/>
        <v>1.194</v>
      </c>
      <c r="L70">
        <f t="shared" si="12"/>
        <v>1.1479999999999999</v>
      </c>
    </row>
    <row r="71" spans="2:12">
      <c r="B71">
        <f t="shared" si="8"/>
        <v>2014</v>
      </c>
      <c r="C71">
        <f>'CPI-U-RS'!D74</f>
        <v>347.7</v>
      </c>
      <c r="D71">
        <f t="shared" si="7"/>
        <v>210.7431000442119</v>
      </c>
      <c r="E71">
        <f t="shared" si="10"/>
        <v>2.3180000000000001</v>
      </c>
      <c r="G71">
        <f t="shared" si="9"/>
        <v>1.6666666666666632E-2</v>
      </c>
      <c r="H71">
        <f t="shared" si="9"/>
        <v>1.16666666666666E-2</v>
      </c>
      <c r="I71">
        <f>+H71-G71</f>
        <v>-5.0000000000000322E-3</v>
      </c>
      <c r="K71">
        <f t="shared" si="11"/>
        <v>1.214</v>
      </c>
      <c r="L71">
        <f t="shared" si="12"/>
        <v>1.1619999999999999</v>
      </c>
    </row>
    <row r="72" spans="2:12">
      <c r="B72">
        <f t="shared" si="8"/>
        <v>2015</v>
      </c>
      <c r="C72">
        <f>'CPI-U-RS'!D75</f>
        <v>348.3</v>
      </c>
      <c r="D72">
        <f t="shared" si="7"/>
        <v>210.05304821964955</v>
      </c>
      <c r="E72">
        <f t="shared" si="10"/>
        <v>2.3109999999999999</v>
      </c>
      <c r="G72">
        <f t="shared" si="9"/>
        <v>1.7256255392580464E-3</v>
      </c>
      <c r="H72">
        <f t="shared" si="9"/>
        <v>-3.2743744607419156E-3</v>
      </c>
      <c r="I72">
        <f t="shared" ref="I72:I73" si="13">+H72-G72</f>
        <v>-4.9999999999999619E-3</v>
      </c>
      <c r="K72">
        <f t="shared" si="11"/>
        <v>1.216</v>
      </c>
      <c r="L72">
        <f t="shared" si="12"/>
        <v>1.1579999999999999</v>
      </c>
    </row>
    <row r="73" spans="2:12">
      <c r="B73">
        <f t="shared" si="8"/>
        <v>2016</v>
      </c>
      <c r="C73" s="36">
        <f>'CPI-U-RS'!D76</f>
        <v>352.8</v>
      </c>
      <c r="D73">
        <f t="shared" si="7"/>
        <v>211.7166466506398</v>
      </c>
      <c r="E73">
        <f t="shared" si="10"/>
        <v>2.3290000000000002</v>
      </c>
      <c r="G73">
        <f t="shared" si="9"/>
        <v>1.2919896640826873E-2</v>
      </c>
      <c r="H73">
        <f t="shared" si="9"/>
        <v>7.9198966408268751E-3</v>
      </c>
      <c r="I73">
        <f t="shared" si="13"/>
        <v>-4.9999999999999975E-3</v>
      </c>
      <c r="K73">
        <f t="shared" si="11"/>
        <v>1.232</v>
      </c>
      <c r="L73">
        <f t="shared" si="12"/>
        <v>1.167</v>
      </c>
    </row>
    <row r="74" spans="2:12">
      <c r="B74">
        <f t="shared" si="8"/>
        <v>2017</v>
      </c>
      <c r="C74" s="36">
        <f>'CPI-U-RS'!D77</f>
        <v>360.3</v>
      </c>
      <c r="D74">
        <f t="shared" si="7"/>
        <v>215.15884247033387</v>
      </c>
      <c r="E74">
        <f t="shared" si="10"/>
        <v>2.367</v>
      </c>
    </row>
    <row r="75" spans="2:12">
      <c r="B75">
        <f t="shared" si="8"/>
        <v>2018</v>
      </c>
      <c r="C75" s="36">
        <f>'CPI-U-RS'!D78</f>
        <v>369.1</v>
      </c>
      <c r="D75">
        <f t="shared" si="7"/>
        <v>219.3381074135163</v>
      </c>
      <c r="E75">
        <f t="shared" si="10"/>
        <v>2.4129999999999998</v>
      </c>
    </row>
    <row r="76" spans="2:12">
      <c r="B76">
        <f t="shared" si="8"/>
        <v>2019</v>
      </c>
      <c r="C76" s="36">
        <f>'CPI-U-RS'!D79</f>
        <v>375.8</v>
      </c>
      <c r="D76">
        <f t="shared" ref="D76" si="14">+D75+D75*((C76-C75)/C75-0.005)</f>
        <v>222.22289972573225</v>
      </c>
      <c r="E76">
        <f t="shared" ref="E76" si="15">+ROUND(D76/$D$37,3)</f>
        <v>2.4449999999999998</v>
      </c>
    </row>
    <row r="77" spans="2:12">
      <c r="B77">
        <f t="shared" si="8"/>
        <v>2020</v>
      </c>
      <c r="C77" s="36">
        <f>'CPI-U-RS'!D80</f>
        <v>380.8</v>
      </c>
      <c r="D77">
        <f t="shared" ref="D77" si="16">+D76+D76*((C77-C76)/C76-0.005)</f>
        <v>224.06844967262955</v>
      </c>
      <c r="E77">
        <f t="shared" ref="E77" si="17">+ROUND(D77/$D$37,3)</f>
        <v>2.4649999999999999</v>
      </c>
    </row>
    <row r="78" spans="2:12">
      <c r="B78">
        <f t="shared" si="8"/>
        <v>2021</v>
      </c>
      <c r="C78" s="36">
        <f>'CPI-U-RS'!D81</f>
        <v>399.2</v>
      </c>
      <c r="D78">
        <f t="shared" ref="D78" si="18">+D77+D77*((C78-C77)/C77-0.005)</f>
        <v>233.77494427819596</v>
      </c>
      <c r="E78">
        <f t="shared" ref="E78" si="19">+ROUND(D78/$D$37,3)</f>
        <v>2.5720000000000001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topLeftCell="A49" workbookViewId="0">
      <selection activeCell="I68" sqref="I68"/>
    </sheetView>
  </sheetViews>
  <sheetFormatPr defaultRowHeight="12.75"/>
  <sheetData>
    <row r="1" spans="2:10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s="31" t="s">
        <v>94</v>
      </c>
      <c r="J1" t="s">
        <v>96</v>
      </c>
    </row>
    <row r="2" spans="2:10">
      <c r="B2">
        <f>+Sheet3!A2</f>
        <v>1947</v>
      </c>
      <c r="C2">
        <f>+ROUND(Sheet3!B2/Sheet3!B$35,4)</f>
        <v>0.30330000000000001</v>
      </c>
      <c r="D2">
        <f>+ROUND(Sheet3!C2/Sheet3!C$35,4)</f>
        <v>0.29499999999999998</v>
      </c>
      <c r="E2">
        <f>+ROUND(Sheet3!D2/Sheet3!D$35,4)</f>
        <v>0.27060000000000001</v>
      </c>
      <c r="F2">
        <f>+ROUND(Sheet3!E2,4)</f>
        <v>1.496</v>
      </c>
      <c r="G2">
        <f>+ROUND(Sheet3!F2,4)</f>
        <v>1.4978</v>
      </c>
      <c r="H2" s="13">
        <f>+ROUND('cpi-u-rs-adj'!D4/'cpi-u-rs-adj'!D$37,4)</f>
        <v>0.41599999999999998</v>
      </c>
      <c r="I2">
        <f>1/H2</f>
        <v>2.4038461538461537</v>
      </c>
      <c r="J2" s="13">
        <f>'cpi-u-rs-adj-03'!E4</f>
        <v>0.41299999999999998</v>
      </c>
    </row>
    <row r="3" spans="2:10">
      <c r="B3">
        <f>+Sheet3!A3</f>
        <v>1948</v>
      </c>
      <c r="C3">
        <f>+ROUND(Sheet3!B3/Sheet3!B$35,4)</f>
        <v>0.32050000000000001</v>
      </c>
      <c r="D3">
        <f>+ROUND(Sheet3!C3/Sheet3!C$35,4)</f>
        <v>0.31859999999999999</v>
      </c>
      <c r="E3">
        <f>+ROUND(Sheet3!D3/Sheet3!D$35,4)</f>
        <v>0.29249999999999998</v>
      </c>
      <c r="F3">
        <f>+ROUND(Sheet3!E3,4)</f>
        <v>1.3852</v>
      </c>
      <c r="G3">
        <f>+ROUND(Sheet3!F3,4)</f>
        <v>1.3858999999999999</v>
      </c>
      <c r="H3">
        <f>+ROUND('cpi-u-rs-adj'!D5/'cpi-u-rs-adj'!D$37,4)</f>
        <v>0.44469999999999998</v>
      </c>
      <c r="I3">
        <f t="shared" ref="I3:I66" si="0">1/H3</f>
        <v>2.2487069934787498</v>
      </c>
      <c r="J3" s="13">
        <f>'cpi-u-rs-adj-03'!E5</f>
        <v>0.441</v>
      </c>
    </row>
    <row r="4" spans="2:10">
      <c r="B4">
        <f>+Sheet3!A4</f>
        <v>1949</v>
      </c>
      <c r="C4">
        <f>+ROUND(Sheet3!B4/Sheet3!B$35,4)</f>
        <v>0.318</v>
      </c>
      <c r="D4">
        <f>+ROUND(Sheet3!C4/Sheet3!C$35,4)</f>
        <v>0.31469999999999998</v>
      </c>
      <c r="E4">
        <f>+ROUND(Sheet3!D4/Sheet3!D$35,4)</f>
        <v>0.2888</v>
      </c>
      <c r="F4">
        <f>+ROUND(Sheet3!E4,4)</f>
        <v>1.4025000000000001</v>
      </c>
      <c r="G4">
        <f>+ROUND(Sheet3!F4,4)</f>
        <v>1.4034</v>
      </c>
      <c r="H4">
        <f>+ROUND('cpi-u-rs-adj'!D6/'cpi-u-rs-adj'!D$37,4)</f>
        <v>0.43430000000000002</v>
      </c>
      <c r="I4">
        <f t="shared" si="0"/>
        <v>2.3025558369790464</v>
      </c>
      <c r="J4" s="13">
        <f>'cpi-u-rs-adj-03'!E6</f>
        <v>0.43099999999999999</v>
      </c>
    </row>
    <row r="5" spans="2:10">
      <c r="B5">
        <f>+Sheet3!A5</f>
        <v>1950</v>
      </c>
      <c r="C5">
        <f>+ROUND(Sheet3!B5/Sheet3!B$35,4)</f>
        <v>0.32179999999999997</v>
      </c>
      <c r="D5">
        <f>+ROUND(Sheet3!C5/Sheet3!C$35,4)</f>
        <v>0.31859999999999999</v>
      </c>
      <c r="E5">
        <f>+ROUND(Sheet3!D5/Sheet3!D$35,4)</f>
        <v>0.29249999999999998</v>
      </c>
      <c r="F5">
        <f>+ROUND(Sheet3!E5,4)</f>
        <v>1.3852</v>
      </c>
      <c r="G5">
        <f>+ROUND(Sheet3!F5,4)</f>
        <v>1.3858999999999999</v>
      </c>
      <c r="H5">
        <f>+ROUND('cpi-u-rs-adj'!D7/'cpi-u-rs-adj'!D$37,4)</f>
        <v>0.435</v>
      </c>
      <c r="I5">
        <f t="shared" si="0"/>
        <v>2.2988505747126435</v>
      </c>
      <c r="J5" s="13">
        <f>'cpi-u-rs-adj-03'!E7</f>
        <v>0.43099999999999999</v>
      </c>
    </row>
    <row r="6" spans="2:10">
      <c r="B6">
        <f>+Sheet3!A6</f>
        <v>1951</v>
      </c>
      <c r="C6">
        <f>+ROUND(Sheet3!B6/Sheet3!B$35,4)</f>
        <v>0.34370000000000001</v>
      </c>
      <c r="D6">
        <f>+ROUND(Sheet3!C6/Sheet3!C$35,4)</f>
        <v>0.34379999999999999</v>
      </c>
      <c r="E6">
        <f>+ROUND(Sheet3!D6/Sheet3!D$35,4)</f>
        <v>0.3155</v>
      </c>
      <c r="F6">
        <f>+ROUND(Sheet3!E6,4)</f>
        <v>1.2838000000000001</v>
      </c>
      <c r="G6">
        <f>+ROUND(Sheet3!F6,4)</f>
        <v>1.2846</v>
      </c>
      <c r="H6">
        <f>+ROUND('cpi-u-rs-adj'!D8/'cpi-u-rs-adj'!D$37,4)</f>
        <v>0.46450000000000002</v>
      </c>
      <c r="I6">
        <f t="shared" si="0"/>
        <v>2.1528525296017222</v>
      </c>
      <c r="J6" s="13">
        <f>'cpi-u-rs-adj-03'!E8</f>
        <v>0.46100000000000002</v>
      </c>
    </row>
    <row r="7" spans="2:10">
      <c r="B7">
        <f>+Sheet3!A7</f>
        <v>1952</v>
      </c>
      <c r="C7">
        <f>+ROUND(Sheet3!B7/Sheet3!B$35,4)</f>
        <v>0.3508</v>
      </c>
      <c r="D7">
        <f>+ROUND(Sheet3!C7/Sheet3!C$35,4)</f>
        <v>0.35010000000000002</v>
      </c>
      <c r="E7">
        <f>+ROUND(Sheet3!D7/Sheet3!D$35,4)</f>
        <v>0.3216</v>
      </c>
      <c r="F7">
        <f>+ROUND(Sheet3!E7,4)</f>
        <v>1.2606999999999999</v>
      </c>
      <c r="G7">
        <f>+ROUND(Sheet3!F7,4)</f>
        <v>1.2604</v>
      </c>
      <c r="H7">
        <f>+ROUND('cpi-u-rs-adj'!D9/'cpi-u-rs-adj'!D$37,4)</f>
        <v>0.46789999999999998</v>
      </c>
      <c r="I7">
        <f t="shared" si="0"/>
        <v>2.1372088053002778</v>
      </c>
      <c r="J7" s="13">
        <f>'cpi-u-rs-adj-03'!E9</f>
        <v>0.46400000000000002</v>
      </c>
    </row>
    <row r="8" spans="2:10">
      <c r="B8">
        <f>+Sheet3!A8</f>
        <v>1953</v>
      </c>
      <c r="C8">
        <f>+ROUND(Sheet3!B8/Sheet3!B$35,4)</f>
        <v>0.35539999999999999</v>
      </c>
      <c r="D8">
        <f>+ROUND(Sheet3!C8/Sheet3!C$35,4)</f>
        <v>0.35249999999999998</v>
      </c>
      <c r="E8">
        <f>+ROUND(Sheet3!D8/Sheet3!D$35,4)</f>
        <v>0.32400000000000001</v>
      </c>
      <c r="F8">
        <f>+ROUND(Sheet3!E8,4)</f>
        <v>1.2522</v>
      </c>
      <c r="G8">
        <f>+ROUND(Sheet3!F8,4)</f>
        <v>1.2508999999999999</v>
      </c>
      <c r="H8">
        <f>+ROUND('cpi-u-rs-adj'!D10/'cpi-u-rs-adj'!D$37,4)</f>
        <v>0.46589999999999998</v>
      </c>
      <c r="I8">
        <f t="shared" si="0"/>
        <v>2.1463833440652502</v>
      </c>
      <c r="J8" s="13">
        <f>'cpi-u-rs-adj-03'!E10</f>
        <v>0.46200000000000002</v>
      </c>
    </row>
    <row r="9" spans="2:10">
      <c r="B9">
        <f>+Sheet3!A9</f>
        <v>1954</v>
      </c>
      <c r="C9">
        <f>+ROUND(Sheet3!B9/Sheet3!B$35,4)</f>
        <v>0.3584</v>
      </c>
      <c r="D9">
        <f>+ROUND(Sheet3!C9/Sheet3!C$35,4)</f>
        <v>0.35560000000000003</v>
      </c>
      <c r="E9">
        <f>+ROUND(Sheet3!D9/Sheet3!D$35,4)</f>
        <v>0.32650000000000001</v>
      </c>
      <c r="F9">
        <f>+ROUND(Sheet3!E9,4)</f>
        <v>1.2412000000000001</v>
      </c>
      <c r="G9">
        <f>+ROUND(Sheet3!F9,4)</f>
        <v>1.2416</v>
      </c>
      <c r="H9">
        <f>+ROUND('cpi-u-rs-adj'!D11/'cpi-u-rs-adj'!D$37,4)</f>
        <v>0.46500000000000002</v>
      </c>
      <c r="I9">
        <f t="shared" si="0"/>
        <v>2.150537634408602</v>
      </c>
      <c r="J9" s="13">
        <f>'cpi-u-rs-adj-03'!E11</f>
        <v>0.46100000000000002</v>
      </c>
    </row>
    <row r="10" spans="2:10">
      <c r="B10">
        <f>+Sheet3!A10</f>
        <v>1955</v>
      </c>
      <c r="C10">
        <f>+ROUND(Sheet3!B10/Sheet3!B$35,4)</f>
        <v>0.35980000000000001</v>
      </c>
      <c r="D10">
        <f>+ROUND(Sheet3!C10/Sheet3!C$35,4)</f>
        <v>0.35410000000000003</v>
      </c>
      <c r="E10">
        <f>+ROUND(Sheet3!D10/Sheet3!D$35,4)</f>
        <v>0.32519999999999999</v>
      </c>
      <c r="F10">
        <f>+ROUND(Sheet3!E10,4)</f>
        <v>1.2466999999999999</v>
      </c>
      <c r="G10">
        <f>+ROUND(Sheet3!F10,4)</f>
        <v>1.2463</v>
      </c>
      <c r="H10">
        <f>+ROUND('cpi-u-rs-adj'!D12/'cpi-u-rs-adj'!D$37,4)</f>
        <v>0.45779999999999998</v>
      </c>
      <c r="I10">
        <f t="shared" si="0"/>
        <v>2.1843599825251201</v>
      </c>
      <c r="J10" s="13">
        <f>'cpi-u-rs-adj-03'!E12</f>
        <v>0.45400000000000001</v>
      </c>
    </row>
    <row r="11" spans="2:10">
      <c r="B11">
        <f>+Sheet3!A11</f>
        <v>1956</v>
      </c>
      <c r="C11">
        <f>+ROUND(Sheet3!B11/Sheet3!B$35,4)</f>
        <v>0.3669</v>
      </c>
      <c r="D11">
        <f>+ROUND(Sheet3!C11/Sheet3!C$35,4)</f>
        <v>0.35959999999999998</v>
      </c>
      <c r="E11">
        <f>+ROUND(Sheet3!D11/Sheet3!D$35,4)</f>
        <v>0.3301</v>
      </c>
      <c r="F11">
        <f>+ROUND(Sheet3!E11,4)</f>
        <v>1.2276</v>
      </c>
      <c r="G11">
        <f>+ROUND(Sheet3!F11,4)</f>
        <v>1.2279</v>
      </c>
      <c r="H11">
        <f>+ROUND('cpi-u-rs-adj'!D13/'cpi-u-rs-adj'!D$37,4)</f>
        <v>0.45989999999999998</v>
      </c>
      <c r="I11">
        <f t="shared" si="0"/>
        <v>2.174385736029572</v>
      </c>
      <c r="J11" s="13">
        <f>'cpi-u-rs-adj-03'!E13</f>
        <v>0.45600000000000002</v>
      </c>
    </row>
    <row r="12" spans="2:10">
      <c r="B12">
        <f>+Sheet3!A12</f>
        <v>1957</v>
      </c>
      <c r="C12">
        <f>+ROUND(Sheet3!B12/Sheet3!B$35,4)</f>
        <v>0.37809999999999999</v>
      </c>
      <c r="D12">
        <f>+ROUND(Sheet3!C12/Sheet3!C$35,4)</f>
        <v>0.37140000000000001</v>
      </c>
      <c r="E12">
        <f>+ROUND(Sheet3!D12/Sheet3!D$35,4)</f>
        <v>0.34100000000000003</v>
      </c>
      <c r="F12">
        <f>+ROUND(Sheet3!E12,4)</f>
        <v>1.1886000000000001</v>
      </c>
      <c r="G12">
        <f>+ROUND(Sheet3!F12,4)</f>
        <v>1.1886000000000001</v>
      </c>
      <c r="H12">
        <f>+ROUND('cpi-u-rs-adj'!D14/'cpi-u-rs-adj'!D$37,4)</f>
        <v>0.46989999999999998</v>
      </c>
      <c r="I12">
        <f t="shared" si="0"/>
        <v>2.128112364332837</v>
      </c>
      <c r="J12" s="13">
        <f>'cpi-u-rs-adj-03'!E14</f>
        <v>0.46600000000000003</v>
      </c>
    </row>
    <row r="13" spans="2:10">
      <c r="B13">
        <f>+Sheet3!A13</f>
        <v>1958</v>
      </c>
      <c r="C13">
        <f>+ROUND(Sheet3!B13/Sheet3!B$35,4)</f>
        <v>0.38700000000000001</v>
      </c>
      <c r="D13">
        <f>+ROUND(Sheet3!C13/Sheet3!C$35,4)</f>
        <v>0.38159999999999999</v>
      </c>
      <c r="E13">
        <f>+ROUND(Sheet3!D13/Sheet3!D$35,4)</f>
        <v>0.35070000000000001</v>
      </c>
      <c r="F13">
        <f>+ROUND(Sheet3!E13,4)</f>
        <v>1.1567000000000001</v>
      </c>
      <c r="G13">
        <f>+ROUND(Sheet3!F13,4)</f>
        <v>1.1556999999999999</v>
      </c>
      <c r="H13">
        <f>+ROUND('cpi-u-rs-adj'!D15/'cpi-u-rs-adj'!D$37,4)</f>
        <v>0.47770000000000001</v>
      </c>
      <c r="I13">
        <f t="shared" si="0"/>
        <v>2.0933640360058612</v>
      </c>
      <c r="J13" s="13">
        <f>'cpi-u-rs-adj-03'!E15</f>
        <v>0.47399999999999998</v>
      </c>
    </row>
    <row r="14" spans="2:10">
      <c r="B14">
        <f>+Sheet3!A14</f>
        <v>1959</v>
      </c>
      <c r="C14">
        <f>+ROUND(Sheet3!B14/Sheet3!B$35,4)</f>
        <v>0.39279999999999998</v>
      </c>
      <c r="D14">
        <f>+ROUND(Sheet3!C14/Sheet3!C$35,4)</f>
        <v>0.38469999999999999</v>
      </c>
      <c r="E14">
        <f>+ROUND(Sheet3!D14/Sheet3!D$35,4)</f>
        <v>0.35320000000000001</v>
      </c>
      <c r="F14">
        <f>+ROUND(Sheet3!E14,4)</f>
        <v>1.1472</v>
      </c>
      <c r="G14">
        <f>+ROUND(Sheet3!F14,4)</f>
        <v>1.1477999999999999</v>
      </c>
      <c r="H14">
        <f>+ROUND('cpi-u-rs-adj'!D16/'cpi-u-rs-adj'!D$37,4)</f>
        <v>0.47639999999999999</v>
      </c>
      <c r="I14">
        <f t="shared" si="0"/>
        <v>2.0990764063811924</v>
      </c>
      <c r="J14" s="13">
        <f>'cpi-u-rs-adj-03'!E16</f>
        <v>0.47199999999999998</v>
      </c>
    </row>
    <row r="15" spans="2:10">
      <c r="B15">
        <f>+Sheet3!A15</f>
        <v>1960</v>
      </c>
      <c r="C15">
        <f>+ROUND(Sheet3!B15/Sheet3!B$35,4)</f>
        <v>0.3992</v>
      </c>
      <c r="D15">
        <f>+ROUND(Sheet3!C15/Sheet3!C$35,4)</f>
        <v>0.39100000000000001</v>
      </c>
      <c r="E15">
        <f>+ROUND(Sheet3!D15/Sheet3!D$35,4)</f>
        <v>0.35920000000000002</v>
      </c>
      <c r="F15">
        <f>+ROUND(Sheet3!E15,4)</f>
        <v>1.1288</v>
      </c>
      <c r="G15">
        <f>+ROUND(Sheet3!F15,4)</f>
        <v>1.1284000000000001</v>
      </c>
      <c r="H15">
        <f>+ROUND('cpi-u-rs-adj'!D17/'cpi-u-rs-adj'!D$37,4)</f>
        <v>0.47889999999999999</v>
      </c>
      <c r="I15">
        <f t="shared" si="0"/>
        <v>2.0881186051367719</v>
      </c>
      <c r="J15" s="13">
        <f>'cpi-u-rs-adj-03'!E17</f>
        <v>0.47499999999999998</v>
      </c>
    </row>
    <row r="16" spans="2:10">
      <c r="B16">
        <f>+Sheet3!A16</f>
        <v>1961</v>
      </c>
      <c r="C16">
        <f>+ROUND(Sheet3!B16/Sheet3!B$35,4)</f>
        <v>0.40339999999999998</v>
      </c>
      <c r="D16">
        <f>+ROUND(Sheet3!C16/Sheet3!C$35,4)</f>
        <v>0.39500000000000002</v>
      </c>
      <c r="E16">
        <f>+ROUND(Sheet3!D16/Sheet3!D$35,4)</f>
        <v>0.3629</v>
      </c>
      <c r="F16">
        <f>+ROUND(Sheet3!E16,4)</f>
        <v>1.1174999999999999</v>
      </c>
      <c r="G16">
        <f>+ROUND(Sheet3!F16,4)</f>
        <v>1.1171</v>
      </c>
      <c r="H16">
        <f>+ROUND('cpi-u-rs-adj'!D18/'cpi-u-rs-adj'!D$37,4)</f>
        <v>0.47849999999999998</v>
      </c>
      <c r="I16">
        <f t="shared" si="0"/>
        <v>2.089864158829676</v>
      </c>
      <c r="J16" s="13">
        <f>'cpi-u-rs-adj-03'!E18</f>
        <v>0.47499999999999998</v>
      </c>
    </row>
    <row r="17" spans="2:10">
      <c r="B17">
        <f>+Sheet3!A17</f>
        <v>1962</v>
      </c>
      <c r="C17">
        <f>+ROUND(Sheet3!B17/Sheet3!B$35,4)</f>
        <v>0.40810000000000002</v>
      </c>
      <c r="D17">
        <f>+ROUND(Sheet3!C17/Sheet3!C$35,4)</f>
        <v>0.39889999999999998</v>
      </c>
      <c r="E17">
        <f>+ROUND(Sheet3!D17/Sheet3!D$35,4)</f>
        <v>0.36649999999999999</v>
      </c>
      <c r="F17">
        <f>+ROUND(Sheet3!E17,4)</f>
        <v>1.1065</v>
      </c>
      <c r="G17">
        <f>+ROUND(Sheet3!F17,4)</f>
        <v>1.1060000000000001</v>
      </c>
      <c r="H17">
        <f>+ROUND('cpi-u-rs-adj'!D19/'cpi-u-rs-adj'!D$37,4)</f>
        <v>0.47799999999999998</v>
      </c>
      <c r="I17">
        <f t="shared" si="0"/>
        <v>2.0920502092050208</v>
      </c>
      <c r="J17" s="13">
        <f>'cpi-u-rs-adj-03'!E19</f>
        <v>0.47399999999999998</v>
      </c>
    </row>
    <row r="18" spans="2:10">
      <c r="B18">
        <f>+Sheet3!A18</f>
        <v>1963</v>
      </c>
      <c r="C18">
        <f>+ROUND(Sheet3!B18/Sheet3!B$35,4)</f>
        <v>0.41299999999999998</v>
      </c>
      <c r="D18">
        <f>+ROUND(Sheet3!C18/Sheet3!C$35,4)</f>
        <v>0.40439999999999998</v>
      </c>
      <c r="E18">
        <f>+ROUND(Sheet3!D18/Sheet3!D$35,4)</f>
        <v>0.37140000000000001</v>
      </c>
      <c r="F18">
        <f>+ROUND(Sheet3!E18,4)</f>
        <v>1.0913999999999999</v>
      </c>
      <c r="G18">
        <f>+ROUND(Sheet3!F18,4)</f>
        <v>1.0914999999999999</v>
      </c>
      <c r="H18">
        <f>+ROUND('cpi-u-rs-adj'!D20/'cpi-u-rs-adj'!D$37,4)</f>
        <v>0.4793</v>
      </c>
      <c r="I18">
        <f t="shared" si="0"/>
        <v>2.0863759649488838</v>
      </c>
      <c r="J18" s="13">
        <f>'cpi-u-rs-adj-03'!E20</f>
        <v>0.47499999999999998</v>
      </c>
    </row>
    <row r="19" spans="2:10">
      <c r="B19">
        <f>+Sheet3!A19</f>
        <v>1964</v>
      </c>
      <c r="C19">
        <f>+ROUND(Sheet3!B19/Sheet3!B$35,4)</f>
        <v>0.41899999999999998</v>
      </c>
      <c r="D19">
        <f>+ROUND(Sheet3!C19/Sheet3!C$35,4)</f>
        <v>0.40989999999999999</v>
      </c>
      <c r="E19">
        <f>+ROUND(Sheet3!D19/Sheet3!D$35,4)</f>
        <v>0.37619999999999998</v>
      </c>
      <c r="F19">
        <f>+ROUND(Sheet3!E19,4)</f>
        <v>1.0768</v>
      </c>
      <c r="G19">
        <f>+ROUND(Sheet3!F19,4)</f>
        <v>1.0773999999999999</v>
      </c>
      <c r="H19">
        <f>+ROUND('cpi-u-rs-adj'!D21/'cpi-u-rs-adj'!D$37,4)</f>
        <v>0.48060000000000003</v>
      </c>
      <c r="I19">
        <f t="shared" si="0"/>
        <v>2.0807324178110695</v>
      </c>
      <c r="J19" s="13">
        <f>'cpi-u-rs-adj-03'!E21</f>
        <v>0.47699999999999998</v>
      </c>
    </row>
    <row r="20" spans="2:10">
      <c r="B20">
        <f>+Sheet3!A20</f>
        <v>1965</v>
      </c>
      <c r="C20">
        <f>+ROUND(Sheet3!B20/Sheet3!B$35,4)</f>
        <v>0.42499999999999999</v>
      </c>
      <c r="D20">
        <f>+ROUND(Sheet3!C20/Sheet3!C$35,4)</f>
        <v>0.41620000000000001</v>
      </c>
      <c r="E20">
        <f>+ROUND(Sheet3!D20/Sheet3!D$35,4)</f>
        <v>0.38229999999999997</v>
      </c>
      <c r="F20">
        <f>+ROUND(Sheet3!E20,4)</f>
        <v>1.0605</v>
      </c>
      <c r="G20">
        <f>+ROUND(Sheet3!F20,4)</f>
        <v>1.0603</v>
      </c>
      <c r="H20">
        <f>+ROUND('cpi-u-rs-adj'!D22/'cpi-u-rs-adj'!D$37,4)</f>
        <v>0.48270000000000002</v>
      </c>
      <c r="I20">
        <f t="shared" si="0"/>
        <v>2.0716801325875283</v>
      </c>
      <c r="J20" s="13">
        <f>'cpi-u-rs-adj-03'!E22</f>
        <v>0.47899999999999998</v>
      </c>
    </row>
    <row r="21" spans="2:10">
      <c r="B21">
        <f>+Sheet3!A21</f>
        <v>1966</v>
      </c>
      <c r="C21">
        <f>+ROUND(Sheet3!B21/Sheet3!B$35,4)</f>
        <v>0.43569999999999998</v>
      </c>
      <c r="D21">
        <f>+ROUND(Sheet3!C21/Sheet3!C$35,4)</f>
        <v>0.42799999999999999</v>
      </c>
      <c r="E21">
        <f>+ROUND(Sheet3!D21/Sheet3!D$35,4)</f>
        <v>0.39319999999999999</v>
      </c>
      <c r="F21">
        <f>+ROUND(Sheet3!E21,4)</f>
        <v>1.0313000000000001</v>
      </c>
      <c r="G21">
        <f>+ROUND(Sheet3!F21,4)</f>
        <v>1.0308999999999999</v>
      </c>
      <c r="H21">
        <f>+ROUND('cpi-u-rs-adj'!D23/'cpi-u-rs-adj'!D$37,4)</f>
        <v>0.49109999999999998</v>
      </c>
      <c r="I21">
        <f t="shared" si="0"/>
        <v>2.0362451639177359</v>
      </c>
      <c r="J21" s="13">
        <f>'cpi-u-rs-adj-03'!E23</f>
        <v>0.48699999999999999</v>
      </c>
    </row>
    <row r="22" spans="2:10">
      <c r="B22">
        <f>+Sheet3!A22</f>
        <v>1967</v>
      </c>
      <c r="C22">
        <f>+ROUND(Sheet3!B22/Sheet3!B$35,4)</f>
        <v>0.44669999999999999</v>
      </c>
      <c r="D22">
        <f>+ROUND(Sheet3!C22/Sheet3!C$35,4)</f>
        <v>0.44140000000000001</v>
      </c>
      <c r="E22">
        <f>+ROUND(Sheet3!D22/Sheet3!D$35,4)</f>
        <v>0.40529999999999999</v>
      </c>
      <c r="F22">
        <f>+ROUND(Sheet3!E22,4)</f>
        <v>1</v>
      </c>
      <c r="G22">
        <f>+ROUND(Sheet3!F22,4)</f>
        <v>1</v>
      </c>
      <c r="H22">
        <f>+ROUND('cpi-u-rs-adj'!D24/'cpi-u-rs-adj'!D$37,4)</f>
        <v>0.501</v>
      </c>
      <c r="I22">
        <f t="shared" si="0"/>
        <v>1.996007984031936</v>
      </c>
      <c r="J22" s="13">
        <f>'cpi-u-rs-adj-03'!E24</f>
        <v>0.497</v>
      </c>
    </row>
    <row r="23" spans="2:10">
      <c r="B23">
        <f>+Sheet3!A23</f>
        <v>1968</v>
      </c>
      <c r="C23">
        <f>+ROUND(Sheet3!B23/Sheet3!B$35,4)</f>
        <v>0.4642</v>
      </c>
      <c r="D23">
        <f>+ROUND(Sheet3!C23/Sheet3!C$35,4)</f>
        <v>0.4587</v>
      </c>
      <c r="E23">
        <f>+ROUND(Sheet3!D23/Sheet3!D$35,4)</f>
        <v>0.42230000000000001</v>
      </c>
      <c r="F23">
        <f>+ROUND(Sheet3!E23,4)</f>
        <v>0.96230000000000004</v>
      </c>
      <c r="G23">
        <f>+ROUND(Sheet3!F23,4)</f>
        <v>0.95979999999999999</v>
      </c>
      <c r="H23">
        <f>+ROUND('cpi-u-rs-adj'!D25/'cpi-u-rs-adj'!D$37,4)</f>
        <v>0.5151</v>
      </c>
      <c r="I23">
        <f t="shared" si="0"/>
        <v>1.9413706076490003</v>
      </c>
      <c r="J23" s="13">
        <f>'cpi-u-rs-adj-03'!E25</f>
        <v>0.51100000000000001</v>
      </c>
    </row>
    <row r="24" spans="2:10">
      <c r="B24">
        <f>+Sheet3!A24</f>
        <v>1969</v>
      </c>
      <c r="C24">
        <f>+ROUND(Sheet3!B24/Sheet3!B$35,4)</f>
        <v>0.48509999999999998</v>
      </c>
      <c r="D24">
        <f>+ROUND(Sheet3!C24/Sheet3!C$35,4)</f>
        <v>0.47920000000000001</v>
      </c>
      <c r="E24">
        <f>+ROUND(Sheet3!D24/Sheet3!D$35,4)</f>
        <v>0.44540000000000002</v>
      </c>
      <c r="F24">
        <f>+ROUND(Sheet3!E24,4)</f>
        <v>0.92120000000000002</v>
      </c>
      <c r="G24">
        <f>+ROUND(Sheet3!F24,4)</f>
        <v>0.91010000000000002</v>
      </c>
      <c r="H24">
        <f>+ROUND('cpi-u-rs-adj'!D26/'cpi-u-rs-adj'!D$37,4)</f>
        <v>0.53239999999999998</v>
      </c>
      <c r="I24">
        <f t="shared" si="0"/>
        <v>1.8782870022539444</v>
      </c>
      <c r="J24" s="13">
        <f>'cpi-u-rs-adj-03'!E26</f>
        <v>0.52800000000000002</v>
      </c>
    </row>
    <row r="25" spans="2:10">
      <c r="B25">
        <f>+Sheet3!A25</f>
        <v>1970</v>
      </c>
      <c r="C25">
        <f>+ROUND(Sheet3!B25/Sheet3!B$35,4)</f>
        <v>0.50780000000000003</v>
      </c>
      <c r="D25">
        <f>+ROUND(Sheet3!C25/Sheet3!C$35,4)</f>
        <v>0.50280000000000002</v>
      </c>
      <c r="E25">
        <f>+ROUND(Sheet3!D25/Sheet3!D$35,4)</f>
        <v>0.47089999999999999</v>
      </c>
      <c r="F25">
        <f>+ROUND(Sheet3!E25,4)</f>
        <v>0.87790000000000001</v>
      </c>
      <c r="G25">
        <f>+ROUND(Sheet3!F25,4)</f>
        <v>0.86080000000000001</v>
      </c>
      <c r="H25">
        <f>+ROUND('cpi-u-rs-adj'!D27/'cpi-u-rs-adj'!D$37,4)</f>
        <v>0.55279999999999996</v>
      </c>
      <c r="I25">
        <f t="shared" si="0"/>
        <v>1.8089725036179451</v>
      </c>
      <c r="J25" s="13">
        <f>'cpi-u-rs-adj-03'!E27</f>
        <v>0.54800000000000004</v>
      </c>
    </row>
    <row r="26" spans="2:10">
      <c r="B26">
        <f>+Sheet3!A26</f>
        <v>1971</v>
      </c>
      <c r="C26">
        <f>+ROUND(Sheet3!B26/Sheet3!B$35,4)</f>
        <v>0.52929999999999999</v>
      </c>
      <c r="D26">
        <f>+ROUND(Sheet3!C26/Sheet3!C$35,4)</f>
        <v>0.52480000000000004</v>
      </c>
      <c r="E26">
        <f>+ROUND(Sheet3!D26/Sheet3!D$35,4)</f>
        <v>0.49149999999999999</v>
      </c>
      <c r="F26">
        <f>+ROUND(Sheet3!E26,4)</f>
        <v>0.84109999999999996</v>
      </c>
      <c r="G26">
        <f>+ROUND(Sheet3!F26,4)</f>
        <v>0.82469999999999999</v>
      </c>
      <c r="H26">
        <f>+ROUND('cpi-u-rs-adj'!D28/'cpi-u-rs-adj'!D$37,4)</f>
        <v>0.57099999999999995</v>
      </c>
      <c r="I26">
        <f t="shared" si="0"/>
        <v>1.7513134851138354</v>
      </c>
      <c r="J26" s="13">
        <f>'cpi-u-rs-adj-03'!E28</f>
        <v>0.56599999999999995</v>
      </c>
    </row>
    <row r="27" spans="2:10">
      <c r="B27">
        <f>+Sheet3!A27</f>
        <v>1972</v>
      </c>
      <c r="C27">
        <f>+ROUND(Sheet3!B27/Sheet3!B$35,4)</f>
        <v>0.5474</v>
      </c>
      <c r="D27">
        <f>+ROUND(Sheet3!C27/Sheet3!C$35,4)</f>
        <v>0.54049999999999998</v>
      </c>
      <c r="E27">
        <f>+ROUND(Sheet3!D27/Sheet3!D$35,4)</f>
        <v>0.50729999999999997</v>
      </c>
      <c r="F27">
        <f>+ROUND(Sheet3!E27,4)</f>
        <v>0.81659999999999999</v>
      </c>
      <c r="G27">
        <f>+ROUND(Sheet3!F27,4)</f>
        <v>0.79900000000000004</v>
      </c>
      <c r="H27">
        <f>+ROUND('cpi-u-rs-adj'!D29/'cpi-u-rs-adj'!D$37,4)</f>
        <v>0.58179999999999998</v>
      </c>
      <c r="I27">
        <f t="shared" si="0"/>
        <v>1.7188037126160194</v>
      </c>
      <c r="J27" s="13">
        <f>'cpi-u-rs-adj-03'!E29</f>
        <v>0.57699999999999996</v>
      </c>
    </row>
    <row r="28" spans="2:10">
      <c r="B28">
        <f>+Sheet3!A28</f>
        <v>1973</v>
      </c>
      <c r="C28">
        <f>+ROUND(Sheet3!B28/Sheet3!B$35,4)</f>
        <v>0.57679999999999998</v>
      </c>
      <c r="D28">
        <f>+ROUND(Sheet3!C28/Sheet3!C$35,4)</f>
        <v>0.57440000000000002</v>
      </c>
      <c r="E28">
        <f>+ROUND(Sheet3!D28/Sheet3!D$35,4)</f>
        <v>0.53879999999999995</v>
      </c>
      <c r="F28">
        <f>+ROUND(Sheet3!E28,4)</f>
        <v>0.76849999999999996</v>
      </c>
      <c r="G28">
        <f>+ROUND(Sheet3!F28,4)</f>
        <v>0.75229999999999997</v>
      </c>
      <c r="H28">
        <f>+ROUND('cpi-u-rs-adj'!D30/'cpi-u-rs-adj'!D$37,4)</f>
        <v>0.61180000000000001</v>
      </c>
      <c r="I28">
        <f t="shared" si="0"/>
        <v>1.6345210853220007</v>
      </c>
      <c r="J28" s="13">
        <f>'cpi-u-rs-adj-03'!E30</f>
        <v>0.60699999999999998</v>
      </c>
    </row>
    <row r="29" spans="2:10">
      <c r="B29">
        <f>+Sheet3!A29</f>
        <v>1974</v>
      </c>
      <c r="C29">
        <f>+ROUND(Sheet3!B29/Sheet3!B$35,4)</f>
        <v>0.63690000000000002</v>
      </c>
      <c r="D29">
        <f>+ROUND(Sheet3!C29/Sheet3!C$35,4)</f>
        <v>0.63180000000000003</v>
      </c>
      <c r="E29">
        <f>+ROUND(Sheet3!D29/Sheet3!D$35,4)</f>
        <v>0.59830000000000005</v>
      </c>
      <c r="F29">
        <f>+ROUND(Sheet3!E29,4)</f>
        <v>0.6986</v>
      </c>
      <c r="G29">
        <f>+ROUND(Sheet3!F29,4)</f>
        <v>0.67749999999999999</v>
      </c>
      <c r="H29">
        <f>+ROUND('cpi-u-rs-adj'!D31/'cpi-u-rs-adj'!D$37,4)</f>
        <v>0.6663</v>
      </c>
      <c r="I29">
        <f t="shared" si="0"/>
        <v>1.5008254539996999</v>
      </c>
      <c r="J29" s="13">
        <f>'cpi-u-rs-adj-03'!E31</f>
        <v>0.66100000000000003</v>
      </c>
    </row>
    <row r="30" spans="2:10">
      <c r="B30">
        <f>+Sheet3!A30</f>
        <v>1975</v>
      </c>
      <c r="C30">
        <f>+ROUND(Sheet3!B30/Sheet3!B$35,4)</f>
        <v>0.69</v>
      </c>
      <c r="D30">
        <f>+ROUND(Sheet3!C30/Sheet3!C$35,4)</f>
        <v>0.68369999999999997</v>
      </c>
      <c r="E30">
        <f>+ROUND(Sheet3!D30/Sheet3!D$35,4)</f>
        <v>0.65290000000000004</v>
      </c>
      <c r="F30">
        <f>+ROUND(Sheet3!E30,4)</f>
        <v>0.64559999999999995</v>
      </c>
      <c r="G30">
        <f>+ROUND(Sheet3!F30,4)</f>
        <v>0.62080000000000002</v>
      </c>
      <c r="H30">
        <f>+ROUND('cpi-u-rs-adj'!D32/'cpi-u-rs-adj'!D$37,4)</f>
        <v>0.7137</v>
      </c>
      <c r="I30">
        <f t="shared" si="0"/>
        <v>1.4011489421325487</v>
      </c>
      <c r="J30" s="13">
        <f>'cpi-u-rs-adj-03'!E32</f>
        <v>0.70799999999999996</v>
      </c>
    </row>
    <row r="31" spans="2:10">
      <c r="B31">
        <f>+Sheet3!A31</f>
        <v>1976</v>
      </c>
      <c r="C31">
        <f>+ROUND(Sheet3!B31/Sheet3!B$35,4)</f>
        <v>0.7278</v>
      </c>
      <c r="D31">
        <f>+ROUND(Sheet3!C31/Sheet3!C$35,4)</f>
        <v>0.72309999999999997</v>
      </c>
      <c r="E31">
        <f>+ROUND(Sheet3!D31/Sheet3!D$35,4)</f>
        <v>0.6905</v>
      </c>
      <c r="F31">
        <f>+ROUND(Sheet3!E31,4)</f>
        <v>0.61040000000000005</v>
      </c>
      <c r="G31">
        <f>+ROUND(Sheet3!F31,4)</f>
        <v>0.58699999999999997</v>
      </c>
      <c r="H31">
        <f>+ROUND('cpi-u-rs-adj'!D33/'cpi-u-rs-adj'!D$37,4)</f>
        <v>0.74690000000000001</v>
      </c>
      <c r="I31">
        <f t="shared" si="0"/>
        <v>1.3388673182487616</v>
      </c>
      <c r="J31" s="13">
        <f>'cpi-u-rs-adj-03'!E33</f>
        <v>0.74099999999999999</v>
      </c>
    </row>
    <row r="32" spans="2:10">
      <c r="B32">
        <f>+Sheet3!A32</f>
        <v>1977</v>
      </c>
      <c r="C32">
        <f>+ROUND(Sheet3!B32/Sheet3!B$35,4)</f>
        <v>0.7752</v>
      </c>
      <c r="D32">
        <f>+ROUND(Sheet3!C32/Sheet3!C$35,4)</f>
        <v>0.76870000000000005</v>
      </c>
      <c r="E32">
        <f>+ROUND(Sheet3!D32/Sheet3!D$35,4)</f>
        <v>0.73540000000000005</v>
      </c>
      <c r="F32">
        <f>+ROUND(Sheet3!E32,4)</f>
        <v>0.57420000000000004</v>
      </c>
      <c r="G32">
        <f>+ROUND(Sheet3!F32,4)</f>
        <v>0.55120000000000002</v>
      </c>
      <c r="H32">
        <f>+ROUND('cpi-u-rs-adj'!D34/'cpi-u-rs-adj'!D$37,4)</f>
        <v>0.78580000000000005</v>
      </c>
      <c r="I32">
        <f t="shared" si="0"/>
        <v>1.2725884448969202</v>
      </c>
      <c r="J32" s="13">
        <f>'cpi-u-rs-adj-03'!E34</f>
        <v>0.77900000000000003</v>
      </c>
    </row>
    <row r="33" spans="2:10">
      <c r="B33">
        <f>+Sheet3!A33</f>
        <v>1978</v>
      </c>
      <c r="C33">
        <f>+ROUND(Sheet3!B33/Sheet3!B$35,4)</f>
        <v>0.82909999999999995</v>
      </c>
      <c r="D33">
        <f>+ROUND(Sheet3!C33/Sheet3!C$35,4)</f>
        <v>0.82140000000000002</v>
      </c>
      <c r="E33">
        <f>+ROUND(Sheet3!D33/Sheet3!D$35,4)</f>
        <v>0.7913</v>
      </c>
      <c r="F33">
        <f>+ROUND(Sheet3!E33,4)</f>
        <v>0.53739999999999999</v>
      </c>
      <c r="G33">
        <f>+ROUND(Sheet3!F33,4)</f>
        <v>0.51229999999999998</v>
      </c>
      <c r="H33">
        <f>+ROUND('cpi-u-rs-adj'!D35/'cpi-u-rs-adj'!D$37,4)</f>
        <v>0.83340000000000003</v>
      </c>
      <c r="I33">
        <f t="shared" si="0"/>
        <v>1.1999040076793857</v>
      </c>
      <c r="J33" s="13">
        <f>'cpi-u-rs-adj-03'!E35</f>
        <v>0.82899999999999996</v>
      </c>
    </row>
    <row r="34" spans="2:10">
      <c r="B34">
        <f>+Sheet3!A34</f>
        <v>1979</v>
      </c>
      <c r="C34">
        <f>+ROUND(Sheet3!B34/Sheet3!B$35,4)</f>
        <v>0.90280000000000005</v>
      </c>
      <c r="D34">
        <f>+ROUND(Sheet3!C34/Sheet3!C$35,4)</f>
        <v>0.89929999999999999</v>
      </c>
      <c r="E34">
        <f>+ROUND(Sheet3!D34/Sheet3!D$35,4)</f>
        <v>0.88109999999999999</v>
      </c>
      <c r="F34">
        <f>+ROUND(Sheet3!E34,4)</f>
        <v>0.49080000000000001</v>
      </c>
      <c r="G34">
        <f>+ROUND(Sheet3!F34,4)</f>
        <v>0.46010000000000001</v>
      </c>
      <c r="H34">
        <f>+ROUND('cpi-u-rs-adj'!D36/'cpi-u-rs-adj'!D$37,4)</f>
        <v>0.90580000000000005</v>
      </c>
      <c r="I34">
        <f t="shared" si="0"/>
        <v>1.103996467211305</v>
      </c>
      <c r="J34" s="13">
        <f>'cpi-u-rs-adj-03'!E36</f>
        <v>0.90300000000000002</v>
      </c>
    </row>
    <row r="35" spans="2:10">
      <c r="B35">
        <f>+Sheet3!A35</f>
        <v>1980</v>
      </c>
      <c r="C35">
        <f>+ROUND(Sheet3!B35/Sheet3!B$35,4)</f>
        <v>1</v>
      </c>
      <c r="D35">
        <f>+ROUND(Sheet3!C35/Sheet3!C$35,4)</f>
        <v>1</v>
      </c>
      <c r="E35">
        <f>+ROUND(Sheet3!D35/Sheet3!D$35,4)</f>
        <v>1</v>
      </c>
      <c r="F35">
        <f>+ROUND(Sheet3!E35,4)</f>
        <v>0.44140000000000001</v>
      </c>
      <c r="G35">
        <f>+ROUND(Sheet3!F35,4)</f>
        <v>0.40529999999999999</v>
      </c>
      <c r="H35">
        <f>+ROUND('cpi-u-rs-adj'!D37/'cpi-u-rs-adj'!D$37,4)</f>
        <v>1</v>
      </c>
      <c r="I35">
        <f t="shared" si="0"/>
        <v>1</v>
      </c>
      <c r="J35" s="13">
        <f>'cpi-u-rs-adj-03'!E37</f>
        <v>1</v>
      </c>
    </row>
    <row r="36" spans="2:10">
      <c r="B36">
        <f>+Sheet3!A36</f>
        <v>1981</v>
      </c>
      <c r="C36">
        <f>+ROUND(Sheet3!B36/Sheet3!B$35,4)</f>
        <v>1.0895999999999999</v>
      </c>
      <c r="D36">
        <f>+ROUND(Sheet3!C36/Sheet3!C$35,4)</f>
        <v>1.0944</v>
      </c>
      <c r="E36">
        <f>+ROUND(Sheet3!D36/Sheet3!D$35,4)</f>
        <v>1.1032</v>
      </c>
      <c r="F36">
        <f>+ROUND(Sheet3!E36,4)</f>
        <v>0.40329999999999999</v>
      </c>
      <c r="G36">
        <f>+ROUND(Sheet3!F36,4)</f>
        <v>0.3674</v>
      </c>
      <c r="H36">
        <f>+ROUND('cpi-u-rs-adj'!D38/'cpi-u-rs-adj'!D$37,4)</f>
        <v>1.0864</v>
      </c>
      <c r="I36">
        <f t="shared" si="0"/>
        <v>0.92047128129602351</v>
      </c>
      <c r="J36" s="13">
        <f>'cpi-u-rs-adj-03'!E38</f>
        <v>1.089</v>
      </c>
    </row>
    <row r="37" spans="2:10">
      <c r="B37">
        <f>+Sheet3!A37</f>
        <v>1982</v>
      </c>
      <c r="C37">
        <f>+ROUND(Sheet3!B37/Sheet3!B$35,4)</f>
        <v>1.1500999999999999</v>
      </c>
      <c r="D37">
        <f>+ROUND(Sheet3!C37/Sheet3!C$35,4)</f>
        <v>1.1605000000000001</v>
      </c>
      <c r="E37">
        <f>+ROUND(Sheet3!D37/Sheet3!D$35,4)</f>
        <v>1.1711</v>
      </c>
      <c r="F37">
        <f>+ROUND(Sheet3!E37,4)</f>
        <v>0.38030000000000003</v>
      </c>
      <c r="G37">
        <f>+ROUND(Sheet3!F37,4)</f>
        <v>0.34610000000000002</v>
      </c>
      <c r="H37">
        <f>+ROUND('cpi-u-rs-adj'!D39/'cpi-u-rs-adj'!D$37,4)</f>
        <v>1.1433</v>
      </c>
      <c r="I37">
        <f t="shared" si="0"/>
        <v>0.87466106883582617</v>
      </c>
      <c r="J37" s="13">
        <f>'cpi-u-rs-adj-03'!E39</f>
        <v>1.1499999999999999</v>
      </c>
    </row>
    <row r="38" spans="2:10">
      <c r="B38">
        <f>+Sheet3!A38</f>
        <v>1983</v>
      </c>
      <c r="C38">
        <f>+ROUND(Sheet3!B38/Sheet3!B$35,4)</f>
        <v>1.1990000000000001</v>
      </c>
      <c r="D38">
        <f>+ROUND(Sheet3!C38/Sheet3!C$35,4)</f>
        <v>1.2101</v>
      </c>
      <c r="E38">
        <f>+ROUND(Sheet3!D38/Sheet3!D$35,4)</f>
        <v>1.2087000000000001</v>
      </c>
      <c r="F38">
        <f>+ROUND(Sheet3!E38,4)</f>
        <v>0.36480000000000001</v>
      </c>
      <c r="G38">
        <f>+ROUND(Sheet3!F38,4)</f>
        <v>0.33529999999999999</v>
      </c>
      <c r="H38">
        <f>+ROUND('cpi-u-rs-adj'!D40/'cpi-u-rs-adj'!D$37,4)</f>
        <v>1.1830000000000001</v>
      </c>
      <c r="I38">
        <f t="shared" si="0"/>
        <v>0.84530853761622993</v>
      </c>
      <c r="J38" s="13">
        <f>'cpi-u-rs-adj-03'!E40</f>
        <v>1.1930000000000001</v>
      </c>
    </row>
    <row r="39" spans="2:10">
      <c r="B39">
        <f>+Sheet3!A39</f>
        <v>1984</v>
      </c>
      <c r="C39">
        <f>+ROUND(Sheet3!B39/Sheet3!B$35,4)</f>
        <v>1.2443</v>
      </c>
      <c r="D39">
        <f>+ROUND(Sheet3!C39/Sheet3!C$35,4)</f>
        <v>1.2604</v>
      </c>
      <c r="E39">
        <f>+ROUND(Sheet3!D39/Sheet3!D$35,4)</f>
        <v>1.2608999999999999</v>
      </c>
      <c r="F39">
        <f>+ROUND(Sheet3!E39,4)</f>
        <v>0.35020000000000001</v>
      </c>
      <c r="G39">
        <f>+ROUND(Sheet3!F39,4)</f>
        <v>0.32150000000000001</v>
      </c>
      <c r="H39">
        <f>+ROUND('cpi-u-rs-adj'!D41/'cpi-u-rs-adj'!D$37,4)</f>
        <v>1.2228000000000001</v>
      </c>
      <c r="I39">
        <f t="shared" si="0"/>
        <v>0.81779522407589134</v>
      </c>
      <c r="J39" s="13">
        <f>'cpi-u-rs-adj-03'!E41</f>
        <v>1.2370000000000001</v>
      </c>
    </row>
    <row r="40" spans="2:10">
      <c r="B40">
        <f>+Sheet3!A40</f>
        <v>1985</v>
      </c>
      <c r="C40">
        <f>+ROUND(Sheet3!B40/Sheet3!B$35,4)</f>
        <v>1.2877000000000001</v>
      </c>
      <c r="D40">
        <f>+ROUND(Sheet3!C40/Sheet3!C$35,4)</f>
        <v>1.3028999999999999</v>
      </c>
      <c r="E40">
        <f>+ROUND(Sheet3!D40/Sheet3!D$35,4)</f>
        <v>1.3058000000000001</v>
      </c>
      <c r="F40">
        <f>+ROUND(Sheet3!E40,4)</f>
        <v>0.33879999999999999</v>
      </c>
      <c r="G40">
        <f>+ROUND(Sheet3!F40,4)</f>
        <v>0.31040000000000001</v>
      </c>
      <c r="H40">
        <f>+ROUND('cpi-u-rs-adj'!D42/'cpi-u-rs-adj'!D$37,4)</f>
        <v>1.2542</v>
      </c>
      <c r="I40">
        <f t="shared" si="0"/>
        <v>0.79732100143517781</v>
      </c>
      <c r="J40" s="13">
        <f>'cpi-u-rs-adj-03'!E42</f>
        <v>1.272</v>
      </c>
    </row>
    <row r="41" spans="2:10">
      <c r="B41">
        <f>+Sheet3!A41</f>
        <v>1986</v>
      </c>
      <c r="C41">
        <f>+ROUND(Sheet3!B41/Sheet3!B$35,4)</f>
        <v>1.3157000000000001</v>
      </c>
      <c r="D41">
        <f>+ROUND(Sheet3!C41/Sheet3!C$35,4)</f>
        <v>1.3249</v>
      </c>
      <c r="E41">
        <f>+ROUND(Sheet3!D41/Sheet3!D$35,4)</f>
        <v>1.3301000000000001</v>
      </c>
      <c r="F41">
        <f>+ROUND(Sheet3!E41,4)</f>
        <v>0.33310000000000001</v>
      </c>
      <c r="G41">
        <f>+ROUND(Sheet3!F41,4)</f>
        <v>0.30470000000000003</v>
      </c>
      <c r="H41">
        <f>+ROUND('cpi-u-rs-adj'!D43/'cpi-u-rs-adj'!D$37,4)</f>
        <v>1.2654000000000001</v>
      </c>
      <c r="I41">
        <f t="shared" si="0"/>
        <v>0.79026394815868495</v>
      </c>
      <c r="J41" s="13">
        <f>'cpi-u-rs-adj-03'!E43</f>
        <v>1.2869999999999999</v>
      </c>
    </row>
    <row r="42" spans="2:10">
      <c r="B42">
        <f>+Sheet3!A42</f>
        <v>1987</v>
      </c>
      <c r="C42">
        <f>+ROUND(Sheet3!B42/Sheet3!B$35,4)</f>
        <v>1.3563000000000001</v>
      </c>
      <c r="D42">
        <f>+ROUND(Sheet3!C42/Sheet3!C$35,4)</f>
        <v>1.3697999999999999</v>
      </c>
      <c r="E42">
        <f>+ROUND(Sheet3!D42/Sheet3!D$35,4)</f>
        <v>1.3786</v>
      </c>
      <c r="F42">
        <f>+ROUND(Sheet3!E42,4)</f>
        <v>0.32219999999999999</v>
      </c>
      <c r="G42">
        <f>+ROUND(Sheet3!F42,4)</f>
        <v>0.29399999999999998</v>
      </c>
      <c r="H42">
        <f>+ROUND('cpi-u-rs-adj'!D44/'cpi-u-rs-adj'!D$37,4)</f>
        <v>1.2981</v>
      </c>
      <c r="I42">
        <f t="shared" si="0"/>
        <v>0.77035667514059003</v>
      </c>
      <c r="J42" s="13">
        <f>'cpi-u-rs-adj-03'!E44</f>
        <v>1.325</v>
      </c>
    </row>
    <row r="43" spans="2:10">
      <c r="B43">
        <f>+Sheet3!A43</f>
        <v>1988</v>
      </c>
      <c r="C43">
        <f>+ROUND(Sheet3!B43/Sheet3!B$35,4)</f>
        <v>1.4093</v>
      </c>
      <c r="D43">
        <f>+ROUND(Sheet3!C43/Sheet3!C$35,4)</f>
        <v>1.4200999999999999</v>
      </c>
      <c r="E43">
        <f>+ROUND(Sheet3!D43/Sheet3!D$35,4)</f>
        <v>1.4357</v>
      </c>
      <c r="F43">
        <f>+ROUND(Sheet3!E43,4)</f>
        <v>0.31080000000000002</v>
      </c>
      <c r="G43">
        <f>+ROUND(Sheet3!F43,4)</f>
        <v>0.2823</v>
      </c>
      <c r="H43">
        <f>+ROUND('cpi-u-rs-adj'!D45/'cpi-u-rs-adj'!D$37,4)</f>
        <v>1.3353999999999999</v>
      </c>
      <c r="I43">
        <f t="shared" si="0"/>
        <v>0.74883929908641611</v>
      </c>
      <c r="J43" s="13">
        <f>'cpi-u-rs-adj-03'!E45</f>
        <v>1.367</v>
      </c>
    </row>
    <row r="44" spans="2:10">
      <c r="B44">
        <f>+Sheet3!A44</f>
        <v>1989</v>
      </c>
      <c r="C44">
        <f>+ROUND(Sheet3!B44/Sheet3!B$35,4)</f>
        <v>1.4709000000000001</v>
      </c>
      <c r="D44">
        <f>+ROUND(Sheet3!C44/Sheet3!C$35,4)</f>
        <v>1.4815</v>
      </c>
      <c r="E44">
        <f>+ROUND(Sheet3!D44/Sheet3!D$35,4)</f>
        <v>1.5048999999999999</v>
      </c>
      <c r="F44">
        <f>+ROUND(Sheet3!E44,4)</f>
        <v>0.2979</v>
      </c>
      <c r="G44">
        <f>+ROUND(Sheet3!F44,4)</f>
        <v>0.26939999999999997</v>
      </c>
      <c r="H44">
        <f>+ROUND('cpi-u-rs-adj'!D46/'cpi-u-rs-adj'!D$37,4)</f>
        <v>1.3825000000000001</v>
      </c>
      <c r="I44">
        <f t="shared" si="0"/>
        <v>0.72332730560578662</v>
      </c>
      <c r="J44" s="13">
        <f>'cpi-u-rs-adj-03'!E46</f>
        <v>1.419</v>
      </c>
    </row>
    <row r="45" spans="2:10">
      <c r="B45">
        <f>+Sheet3!A45</f>
        <v>1990</v>
      </c>
      <c r="C45">
        <f>+ROUND(Sheet3!B45/Sheet3!B$35,4)</f>
        <v>1.5354000000000001</v>
      </c>
      <c r="D45">
        <f>+ROUND(Sheet3!C45/Sheet3!C$35,4)</f>
        <v>1.5547</v>
      </c>
      <c r="E45">
        <f>+ROUND(Sheet3!D45/Sheet3!D$35,4)</f>
        <v>1.5862000000000001</v>
      </c>
      <c r="F45">
        <f>+ROUND(Sheet3!E45,4)</f>
        <v>0.28389999999999999</v>
      </c>
      <c r="G45">
        <f>+ROUND(Sheet3!F45,4)</f>
        <v>0.2555</v>
      </c>
      <c r="H45">
        <f>+ROUND('cpi-u-rs-adj'!D47/'cpi-u-rs-adj'!D$37,4)</f>
        <v>1.4397</v>
      </c>
      <c r="I45">
        <f t="shared" si="0"/>
        <v>0.69458915051746895</v>
      </c>
      <c r="J45" s="13">
        <f>'cpi-u-rs-adj-03'!E47</f>
        <v>1.482</v>
      </c>
    </row>
    <row r="46" spans="2:10">
      <c r="B46">
        <f>+Sheet3!A46</f>
        <v>1991</v>
      </c>
      <c r="C46">
        <f>+ROUND(Sheet3!B46/Sheet3!B$35,4)</f>
        <v>1.5868</v>
      </c>
      <c r="D46">
        <f>+ROUND(Sheet3!C46/Sheet3!C$35,4)</f>
        <v>1.6113</v>
      </c>
      <c r="E46">
        <f>+ROUND(Sheet3!D46/Sheet3!D$35,4)</f>
        <v>1.6529</v>
      </c>
      <c r="F46">
        <f>+ROUND(Sheet3!E46,4)</f>
        <v>0.27389999999999998</v>
      </c>
      <c r="G46">
        <f>+ROUND(Sheet3!F46,4)</f>
        <v>0.2452</v>
      </c>
      <c r="H46">
        <f>+ROUND('cpi-u-rs-adj'!D48/'cpi-u-rs-adj'!D$37,4)</f>
        <v>1.4805999999999999</v>
      </c>
      <c r="I46">
        <f t="shared" si="0"/>
        <v>0.67540186410914493</v>
      </c>
      <c r="J46" s="13">
        <f>'cpi-u-rs-adj-03'!E48</f>
        <v>1.528</v>
      </c>
    </row>
    <row r="47" spans="2:10">
      <c r="B47">
        <f>+Sheet3!A47</f>
        <v>1992</v>
      </c>
      <c r="C47">
        <f>+ROUND(Sheet3!B47/Sheet3!B$35,4)</f>
        <v>1.6291</v>
      </c>
      <c r="D47">
        <f>+ROUND(Sheet3!C47/Sheet3!C$35,4)</f>
        <v>1.6515</v>
      </c>
      <c r="E47">
        <f>+ROUND(Sheet3!D47/Sheet3!D$35,4)</f>
        <v>1.7027000000000001</v>
      </c>
      <c r="F47">
        <f>+ROUND(Sheet3!E47,4)</f>
        <v>0.26729999999999998</v>
      </c>
      <c r="G47">
        <f>+ROUND(Sheet3!F47,4)</f>
        <v>0.23810000000000001</v>
      </c>
      <c r="H47">
        <f>+ROUND('cpi-u-rs-adj'!D49/'cpi-u-rs-adj'!D$37,4)</f>
        <v>1.5056</v>
      </c>
      <c r="I47">
        <f t="shared" si="0"/>
        <v>0.66418703506907539</v>
      </c>
      <c r="J47" s="13">
        <f>'cpi-u-rs-adj-03'!E49</f>
        <v>1.5589999999999999</v>
      </c>
    </row>
    <row r="48" spans="2:10">
      <c r="B48">
        <f>+Sheet3!A48</f>
        <v>1993</v>
      </c>
      <c r="C48">
        <f>+ROUND(Sheet3!B48/Sheet3!B$35,4)</f>
        <v>1.6696</v>
      </c>
      <c r="D48">
        <f>+ROUND(Sheet3!C48/Sheet3!C$35,4)</f>
        <v>1.6932</v>
      </c>
      <c r="E48">
        <f>+ROUND(Sheet3!D48/Sheet3!D$35,4)</f>
        <v>1.7536</v>
      </c>
      <c r="F48">
        <f>+ROUND(Sheet3!E48,4)</f>
        <v>0.26069999999999999</v>
      </c>
      <c r="G48">
        <f>+ROUND(Sheet3!F48,4)</f>
        <v>0.2311</v>
      </c>
      <c r="H48">
        <f>+ROUND('cpi-u-rs-adj'!D50/'cpi-u-rs-adj'!D$37,4)</f>
        <v>1.5316000000000001</v>
      </c>
      <c r="I48">
        <f t="shared" si="0"/>
        <v>0.65291198746408985</v>
      </c>
      <c r="J48" s="13">
        <f>'cpi-u-rs-adj-03'!E50</f>
        <v>1.59</v>
      </c>
    </row>
    <row r="49" spans="2:10">
      <c r="B49">
        <f>+Sheet3!A49</f>
        <v>1994</v>
      </c>
      <c r="C49">
        <f>+ROUND(Sheet3!B49/Sheet3!B$35,4)</f>
        <v>1.7044999999999999</v>
      </c>
      <c r="D49">
        <f>+ROUND(Sheet3!C49/Sheet3!C$35,4)</f>
        <v>1.7285999999999999</v>
      </c>
      <c r="E49">
        <f>+ROUND(Sheet3!D49/Sheet3!D$35,4)</f>
        <v>1.7985</v>
      </c>
      <c r="F49">
        <f>+ROUND(Sheet3!E49,4)</f>
        <v>0.25530000000000003</v>
      </c>
      <c r="G49">
        <f>+ROUND(Sheet3!F49,4)</f>
        <v>0.22539999999999999</v>
      </c>
      <c r="H49">
        <f>+ROUND('cpi-u-rs-adj'!D51/'cpi-u-rs-adj'!D$37,4)</f>
        <v>1.5513999999999999</v>
      </c>
      <c r="I49">
        <f t="shared" si="0"/>
        <v>0.64457908985432522</v>
      </c>
      <c r="J49" s="13">
        <f>'cpi-u-rs-adj-03'!E51</f>
        <v>1.6160000000000001</v>
      </c>
    </row>
    <row r="50" spans="2:10">
      <c r="B50">
        <f>+Sheet3!A50</f>
        <v>1995</v>
      </c>
      <c r="C50">
        <f>+ROUND(Sheet3!B50/Sheet3!B$35,4)</f>
        <v>1.7403999999999999</v>
      </c>
      <c r="D50">
        <f>+ROUND(Sheet3!C50/Sheet3!C$35,4)</f>
        <v>1.7703</v>
      </c>
      <c r="E50">
        <f>+ROUND(Sheet3!D50/Sheet3!D$35,4)</f>
        <v>1.8494999999999999</v>
      </c>
      <c r="F50">
        <f>+ROUND(Sheet3!E50,4)</f>
        <v>0.24929999999999999</v>
      </c>
      <c r="G50">
        <f>+ROUND(Sheet3!F50,4)</f>
        <v>0.21920000000000001</v>
      </c>
      <c r="H50">
        <f>+ROUND('cpi-u-rs-adj'!D52/'cpi-u-rs-adj'!D$37,4)</f>
        <v>1.5764</v>
      </c>
      <c r="I50">
        <f t="shared" si="0"/>
        <v>0.63435676224308546</v>
      </c>
      <c r="J50" s="13">
        <f>'cpi-u-rs-adj-03'!E52</f>
        <v>1.647</v>
      </c>
    </row>
    <row r="51" spans="2:10">
      <c r="B51">
        <f>+Sheet3!A51</f>
        <v>1996</v>
      </c>
      <c r="C51">
        <f>+ROUND(Sheet3!B51/Sheet3!B$35,4)</f>
        <v>1.7776000000000001</v>
      </c>
      <c r="D51">
        <f>+ROUND(Sheet3!C51/Sheet3!C$35,4)</f>
        <v>1.8174999999999999</v>
      </c>
      <c r="E51">
        <f>+ROUND(Sheet3!D51/Sheet3!D$35,4)</f>
        <v>1.9040999999999999</v>
      </c>
      <c r="F51">
        <f>+ROUND(Sheet3!E51,4)</f>
        <v>0.2429</v>
      </c>
      <c r="G51">
        <f>+ROUND(Sheet3!F51,4)</f>
        <v>0.21290000000000001</v>
      </c>
      <c r="H51">
        <f>+ROUND('cpi-u-rs-adj'!D53/'cpi-u-rs-adj'!D$37,4)</f>
        <v>1.6057999999999999</v>
      </c>
      <c r="I51">
        <f t="shared" si="0"/>
        <v>0.62274255822642921</v>
      </c>
      <c r="J51" s="13">
        <f>'cpi-u-rs-adj-03'!E53</f>
        <v>1.6819999999999999</v>
      </c>
    </row>
    <row r="52" spans="2:10">
      <c r="B52">
        <f>+Sheet3!A52</f>
        <v>1997</v>
      </c>
      <c r="C52">
        <f>+ROUND(Sheet3!B52/Sheet3!B$35,4)</f>
        <v>1.8085</v>
      </c>
      <c r="D52">
        <f>+ROUND(Sheet3!C52/Sheet3!C$35,4)</f>
        <v>1.8568</v>
      </c>
      <c r="E52">
        <f>+ROUND(Sheet3!D52/Sheet3!D$35,4)</f>
        <v>1.9478</v>
      </c>
      <c r="F52">
        <f>+ROUND(Sheet3!E52,4)</f>
        <v>0.23769999999999999</v>
      </c>
      <c r="G52">
        <f>+ROUND(Sheet3!F52,4)</f>
        <v>0.20810000000000001</v>
      </c>
      <c r="H52">
        <f>+ROUND('cpi-u-rs-adj'!D54/'cpi-u-rs-adj'!D$37,4)</f>
        <v>1.6276999999999999</v>
      </c>
      <c r="I52">
        <f t="shared" si="0"/>
        <v>0.61436382625790997</v>
      </c>
      <c r="J52" s="13">
        <f>'cpi-u-rs-adj-03'!E54</f>
        <v>1.71</v>
      </c>
    </row>
    <row r="53" spans="2:10">
      <c r="B53">
        <f>+Sheet3!A53</f>
        <v>1998</v>
      </c>
      <c r="C53">
        <f>+ROUND(Sheet3!B53/Sheet3!B$35,4)</f>
        <v>1.8229</v>
      </c>
      <c r="D53">
        <f>+ROUND(Sheet3!C53/Sheet3!C$35,4)</f>
        <v>1.8819999999999999</v>
      </c>
      <c r="E53">
        <f>+ROUND(Sheet3!D53/Sheet3!D$35,4)</f>
        <v>1.9782</v>
      </c>
      <c r="F53">
        <f>+ROUND(Sheet3!E53,4)</f>
        <v>0.23449999999999999</v>
      </c>
      <c r="G53">
        <f>+ROUND(Sheet3!F53,4)</f>
        <v>0.2049</v>
      </c>
      <c r="H53">
        <f>+ROUND('cpi-u-rs-adj'!D55/'cpi-u-rs-adj'!D$37,4)</f>
        <v>1.6368</v>
      </c>
      <c r="I53">
        <f t="shared" si="0"/>
        <v>0.6109481915933529</v>
      </c>
      <c r="J53" s="13">
        <f>'cpi-u-rs-adj-03'!E55</f>
        <v>1.7250000000000001</v>
      </c>
    </row>
    <row r="54" spans="2:10">
      <c r="B54">
        <f>+Sheet3!A54</f>
        <v>1999</v>
      </c>
      <c r="C54">
        <f>+ROUND(Sheet3!B54/Sheet3!B$35,4)</f>
        <v>1.8494999999999999</v>
      </c>
      <c r="D54">
        <f>+ROUND(Sheet3!C54/Sheet3!C$35,4)</f>
        <v>1.9213</v>
      </c>
      <c r="E54">
        <f>+ROUND(Sheet3!D54/Sheet3!D$35,4)</f>
        <v>2.0217999999999998</v>
      </c>
      <c r="F54">
        <f>+ROUND(Sheet3!E54,4)</f>
        <v>0.22969999999999999</v>
      </c>
      <c r="G54">
        <f>+ROUND(Sheet3!F54,4)</f>
        <v>0.20050000000000001</v>
      </c>
      <c r="H54">
        <f>+ROUND('cpi-u-rs-adj'!D56/'cpi-u-rs-adj'!D$37,4)</f>
        <v>1.6578999999999999</v>
      </c>
      <c r="I54">
        <f t="shared" si="0"/>
        <v>0.60317268834067195</v>
      </c>
      <c r="J54" s="13">
        <f>'cpi-u-rs-adj-03'!E56</f>
        <v>1.752</v>
      </c>
    </row>
    <row r="55" spans="2:10">
      <c r="B55">
        <f>+Sheet3!A55</f>
        <v>2000</v>
      </c>
      <c r="C55">
        <f>+ROUND(Sheet3!B55/Sheet3!B$35,4)</f>
        <v>1.8963000000000001</v>
      </c>
      <c r="D55">
        <f>+ROUND(Sheet3!C55/Sheet3!C$35,4)</f>
        <v>1.9865999999999999</v>
      </c>
      <c r="E55">
        <f>+ROUND(Sheet3!D55/Sheet3!D$35,4)</f>
        <v>2.0897999999999999</v>
      </c>
      <c r="F55">
        <f>+ROUND(Sheet3!E55,4)</f>
        <v>0.22220000000000001</v>
      </c>
      <c r="G55">
        <f>+ROUND(Sheet3!F55,4)</f>
        <v>0.19400000000000001</v>
      </c>
      <c r="H55">
        <f>+ROUND('cpi-u-rs-adj'!D57/'cpi-u-rs-adj'!D$37,4)</f>
        <v>1.7010000000000001</v>
      </c>
      <c r="I55">
        <f t="shared" si="0"/>
        <v>0.58788947677836567</v>
      </c>
      <c r="J55" s="13">
        <f>'cpi-u-rs-adj-03'!E57</f>
        <v>1.8029999999999999</v>
      </c>
    </row>
    <row r="56" spans="2:10">
      <c r="B56">
        <f>+Sheet3!A56</f>
        <v>2001</v>
      </c>
      <c r="C56">
        <f>+ROUND(Sheet3!B56/Sheet3!B$35,4)</f>
        <v>1.9342999999999999</v>
      </c>
      <c r="D56">
        <f>+ROUND(Sheet3!C56/Sheet3!C$35,4)</f>
        <v>2.0432999999999999</v>
      </c>
      <c r="E56">
        <f>+ROUND(Sheet3!D56/Sheet3!D$35,4)</f>
        <v>2.1493000000000002</v>
      </c>
      <c r="F56">
        <f>+ROUND(Sheet3!E56,4)</f>
        <v>0.216</v>
      </c>
      <c r="G56">
        <f>+ROUND(Sheet3!F56,4)</f>
        <v>0.18859999999999999</v>
      </c>
      <c r="H56">
        <f>+ROUND('cpi-u-rs-adj'!D58/'cpi-u-rs-adj'!D$37,4)</f>
        <v>1.7359</v>
      </c>
      <c r="I56">
        <f t="shared" si="0"/>
        <v>0.57607005011809431</v>
      </c>
      <c r="J56" s="13">
        <f>'cpi-u-rs-adj-03'!E58</f>
        <v>1.8460000000000001</v>
      </c>
    </row>
    <row r="57" spans="2:10">
      <c r="B57">
        <f>+Sheet3!A57</f>
        <v>2002</v>
      </c>
      <c r="C57">
        <f>+ROUND(Sheet3!B57/Sheet3!B$35,4)</f>
        <v>1.9597</v>
      </c>
      <c r="D57">
        <f>+ROUND(Sheet3!C57/Sheet3!C$35,4)</f>
        <v>2.0754999999999999</v>
      </c>
      <c r="E57">
        <f>+ROUND(Sheet3!D57/Sheet3!D$35,4)</f>
        <v>2.1833</v>
      </c>
      <c r="F57">
        <f>+ROUND(Sheet3!E57,4)</f>
        <v>0.2127</v>
      </c>
      <c r="G57">
        <f>+ROUND(Sheet3!F57,4)</f>
        <v>0.1857</v>
      </c>
      <c r="H57">
        <f>+ROUND('cpi-u-rs-adj'!D59/'cpi-u-rs-adj'!D$37,4)</f>
        <v>1.7494000000000001</v>
      </c>
      <c r="I57">
        <f t="shared" si="0"/>
        <v>0.57162455699096826</v>
      </c>
      <c r="J57" s="13">
        <f>'cpi-u-rs-adj-03'!E59</f>
        <v>1.8660000000000001</v>
      </c>
    </row>
    <row r="58" spans="2:10">
      <c r="B58">
        <f>+Sheet3!A58</f>
        <v>2003</v>
      </c>
      <c r="C58">
        <f>+ROUND(Sheet3!B58/Sheet3!B$35,4)</f>
        <v>2.0007999999999999</v>
      </c>
      <c r="D58">
        <f>+ROUND(Sheet3!C58/Sheet3!C$35,4)</f>
        <v>2.1227</v>
      </c>
      <c r="E58">
        <f>+ROUND(Sheet3!D58/Sheet3!D$35,4)</f>
        <v>2.2330000000000001</v>
      </c>
      <c r="F58">
        <f>+ROUND(Sheet3!E58,4)</f>
        <v>0.2079</v>
      </c>
      <c r="G58">
        <f>+ROUND(Sheet3!F58,4)</f>
        <v>0.18149999999999999</v>
      </c>
      <c r="H58">
        <f>+ROUND('cpi-u-rs-adj'!D60/'cpi-u-rs-adj'!D$37,4)</f>
        <v>1.7751999999999999</v>
      </c>
      <c r="I58">
        <f t="shared" si="0"/>
        <v>0.56331680937359174</v>
      </c>
      <c r="J58" s="13">
        <f>'cpi-u-rs-adj-03'!E60</f>
        <v>1.899</v>
      </c>
    </row>
    <row r="59" spans="2:10">
      <c r="B59">
        <f>+Sheet3!A59</f>
        <v>2004</v>
      </c>
      <c r="C59">
        <f>+ROUND(Sheet3!B59/Sheet3!B$35,4)</f>
        <v>2.0505</v>
      </c>
      <c r="D59">
        <f>+ROUND(Sheet3!C59/Sheet3!C$35,4)</f>
        <v>2.1793999999999998</v>
      </c>
      <c r="E59">
        <f>+ROUND(Sheet3!D59/Sheet3!D$35,4)</f>
        <v>2.2925</v>
      </c>
      <c r="F59">
        <f>+ROUND(Sheet3!E59,4)</f>
        <v>0.20250000000000001</v>
      </c>
      <c r="G59">
        <f>+ROUND(Sheet3!F59,4)</f>
        <v>0.17680000000000001</v>
      </c>
      <c r="H59">
        <f>+ROUND('cpi-u-rs-adj'!D61/'cpi-u-rs-adj'!D$37,4)</f>
        <v>1.8084</v>
      </c>
      <c r="I59">
        <f t="shared" si="0"/>
        <v>0.5529750055297501</v>
      </c>
      <c r="J59" s="13">
        <f>'cpi-u-rs-adj-03'!E61</f>
        <v>1.94</v>
      </c>
    </row>
    <row r="60" spans="2:10">
      <c r="B60">
        <f>+Sheet3!A60</f>
        <v>2005</v>
      </c>
      <c r="C60">
        <f>+ROUND(Sheet3!B60/Sheet3!B$35,4)</f>
        <v>2.1095999999999999</v>
      </c>
      <c r="D60">
        <f>+ROUND(Sheet3!C60/Sheet3!C$35,4)</f>
        <v>2.2532999999999999</v>
      </c>
      <c r="E60">
        <f>+ROUND(Sheet3!D60/Sheet3!D$35,4)</f>
        <v>2.3700999999999999</v>
      </c>
      <c r="F60">
        <f>+ROUND(Sheet3!E60,4)</f>
        <v>0.19589999999999999</v>
      </c>
      <c r="G60">
        <f>+ROUND(Sheet3!F60,4)</f>
        <v>0.17100000000000001</v>
      </c>
      <c r="H60">
        <f>+ROUND('cpi-u-rs-adj'!D62/'cpi-u-rs-adj'!D$37,4)</f>
        <v>1.8552999999999999</v>
      </c>
      <c r="I60">
        <f t="shared" si="0"/>
        <v>0.53899638872419553</v>
      </c>
      <c r="J60" s="13">
        <f>'cpi-u-rs-adj-03'!E62</f>
        <v>1.996</v>
      </c>
    </row>
    <row r="61" spans="2:10">
      <c r="B61">
        <f>+Sheet3!A61</f>
        <v>2006</v>
      </c>
      <c r="C61">
        <f>+ROUND(Sheet3!B61/Sheet3!B$35,4)</f>
        <v>2.169</v>
      </c>
      <c r="D61">
        <f>+ROUND(Sheet3!C61/Sheet3!C$35,4)</f>
        <v>2.3264999999999998</v>
      </c>
      <c r="E61">
        <f>+ROUND(Sheet3!D61/Sheet3!D$35,4)</f>
        <v>2.4464999999999999</v>
      </c>
      <c r="F61">
        <f>+ROUND(Sheet3!E61,4)</f>
        <v>0.18970000000000001</v>
      </c>
      <c r="G61">
        <f>+ROUND(Sheet3!F61,4)</f>
        <v>0.16569999999999999</v>
      </c>
      <c r="H61">
        <f>+ROUND('cpi-u-rs-adj'!D63/'cpi-u-rs-adj'!D$37,4)</f>
        <v>1.9007000000000001</v>
      </c>
      <c r="I61">
        <f t="shared" si="0"/>
        <v>0.52612195506918502</v>
      </c>
      <c r="J61" s="13">
        <f>'cpi-u-rs-adj-03'!E63</f>
        <v>2.0510000000000002</v>
      </c>
    </row>
    <row r="62" spans="2:10">
      <c r="B62">
        <f>+Sheet3!A62</f>
        <v>2007</v>
      </c>
      <c r="C62">
        <f>+ROUND(Sheet3!B62/Sheet3!B$35,4)</f>
        <v>2.2246000000000001</v>
      </c>
      <c r="D62">
        <f>+ROUND(Sheet3!C62/Sheet3!C$35,4)</f>
        <v>2.3925999999999998</v>
      </c>
      <c r="E62">
        <f>+ROUND(Sheet3!D62/Sheet3!D$35,4)</f>
        <v>2.5163000000000002</v>
      </c>
      <c r="F62">
        <f>+ROUND(Sheet3!E62,4)</f>
        <v>0.1845</v>
      </c>
      <c r="G62">
        <f>+ROUND(Sheet3!F62,4)</f>
        <v>0.16109999999999999</v>
      </c>
      <c r="H62">
        <f>+ROUND('cpi-u-rs-adj'!D64/'cpi-u-rs-adj'!D$37,4)</f>
        <v>1.9395</v>
      </c>
      <c r="I62">
        <f t="shared" si="0"/>
        <v>0.51559680329981949</v>
      </c>
      <c r="J62" s="13">
        <f>'cpi-u-rs-adj-03'!E64</f>
        <v>2.0990000000000002</v>
      </c>
    </row>
    <row r="63" spans="2:10">
      <c r="B63">
        <f>+Sheet3!A63</f>
        <v>2008</v>
      </c>
      <c r="C63">
        <f>+ROUND(Sheet3!B63/Sheet3!B$35,4)</f>
        <v>2.2905000000000002</v>
      </c>
      <c r="D63">
        <f>+ROUND(Sheet3!C63/Sheet3!C$35,4)</f>
        <v>2.4847000000000001</v>
      </c>
      <c r="E63">
        <f>+ROUND(Sheet3!D63/Sheet3!D$35,4)</f>
        <v>2.6128999999999998</v>
      </c>
      <c r="F63">
        <f>+ROUND(Sheet3!E63,4)</f>
        <v>0.17760000000000001</v>
      </c>
      <c r="G63">
        <f>+ROUND(Sheet3!F63,4)</f>
        <v>0.15509999999999999</v>
      </c>
      <c r="H63">
        <f>+ROUND('cpi-u-rs-adj'!D65/'cpi-u-rs-adj'!D$37,4)</f>
        <v>1.9985999999999999</v>
      </c>
      <c r="I63">
        <f t="shared" si="0"/>
        <v>0.50035024517162019</v>
      </c>
      <c r="J63" s="13">
        <f>'cpi-u-rs-adj-03'!E65</f>
        <v>2.169</v>
      </c>
    </row>
    <row r="64" spans="2:10">
      <c r="B64">
        <f>+Sheet3!A64</f>
        <v>2009</v>
      </c>
      <c r="C64">
        <f>+ROUND(Sheet3!B64/Sheet3!B$35,4)</f>
        <v>2.2841</v>
      </c>
      <c r="D64">
        <f>+ROUND(Sheet3!C64/Sheet3!C$35,4)</f>
        <v>2.476</v>
      </c>
      <c r="E64">
        <f>+ROUND(Sheet3!D64/Sheet3!D$35,4)</f>
        <v>2.6036000000000001</v>
      </c>
      <c r="F64">
        <f>+ROUND(Sheet3!E64,4)</f>
        <v>0.17829999999999999</v>
      </c>
      <c r="G64">
        <f>+ROUND(Sheet3!F64,4)</f>
        <v>0.15570000000000001</v>
      </c>
      <c r="H64">
        <f>+ROUND('cpi-u-rs-adj'!D66/'cpi-u-rs-adj'!D$37,4)</f>
        <v>1.9756</v>
      </c>
      <c r="I64">
        <f t="shared" si="0"/>
        <v>0.50617533913747725</v>
      </c>
      <c r="J64" s="13">
        <f>'cpi-u-rs-adj-03'!E66</f>
        <v>2.1509999999999998</v>
      </c>
    </row>
    <row r="65" spans="2:10">
      <c r="B65">
        <f>+Sheet3!A65</f>
        <v>2010</v>
      </c>
      <c r="C65">
        <f>+ROUND(Sheet3!B65/Sheet3!B$35,4)</f>
        <v>2.3250000000000002</v>
      </c>
      <c r="D65">
        <f>+ROUND(Sheet3!C65/Sheet3!C$35,4)</f>
        <v>2.5160999999999998</v>
      </c>
      <c r="E65">
        <f>+ROUND(Sheet3!D65/Sheet3!D$35,4)</f>
        <v>2.6463000000000001</v>
      </c>
      <c r="F65">
        <f>+ROUND(Sheet3!E65,4)</f>
        <v>0.1754</v>
      </c>
      <c r="G65">
        <f>+ROUND(Sheet3!F65,4)</f>
        <v>0.1532</v>
      </c>
      <c r="H65">
        <f>+ROUND('cpi-u-rs-adj'!D67/'cpi-u-rs-adj'!D$37,4)</f>
        <v>1.9918</v>
      </c>
      <c r="I65">
        <f t="shared" si="0"/>
        <v>0.50205843960236973</v>
      </c>
      <c r="J65" s="13">
        <f>'cpi-u-rs-adj-03'!E67</f>
        <v>2.1749999999999998</v>
      </c>
    </row>
    <row r="66" spans="2:10">
      <c r="B66">
        <f>+Sheet3!A66</f>
        <v>2011</v>
      </c>
      <c r="C66">
        <f>+ROUND(Sheet3!B66/Sheet3!B$35,4)</f>
        <v>2.3837999999999999</v>
      </c>
      <c r="D66">
        <f>+ROUND(Sheet3!C66/Sheet3!C$35,4)</f>
        <v>2.5964</v>
      </c>
      <c r="E66">
        <f>+ROUND(Sheet3!D66/Sheet3!D$35,4)</f>
        <v>2.7298</v>
      </c>
      <c r="F66">
        <f>+ROUND(Sheet3!E66,4)</f>
        <v>0.17</v>
      </c>
      <c r="G66">
        <f>+ROUND(Sheet3!F66,4)</f>
        <v>0.14849999999999999</v>
      </c>
      <c r="H66">
        <f>+ROUND('cpi-u-rs-adj'!D68/'cpi-u-rs-adj'!D$37,4)</f>
        <v>2.0394000000000001</v>
      </c>
      <c r="I66">
        <f t="shared" si="0"/>
        <v>0.49034029616553887</v>
      </c>
      <c r="J66" s="13">
        <f>'cpi-u-rs-adj-03'!E68</f>
        <v>2.2330000000000001</v>
      </c>
    </row>
    <row r="67" spans="2:10">
      <c r="B67">
        <f>+Sheet3!A67</f>
        <v>2012</v>
      </c>
      <c r="C67">
        <f>+ROUND(Sheet3!B67/Sheet3!B$35,4)</f>
        <v>2.4283000000000001</v>
      </c>
      <c r="D67">
        <f>+ROUND(Sheet3!C67/Sheet3!C$35,4)</f>
        <v>2.6507000000000001</v>
      </c>
      <c r="E67">
        <f>+ROUND(Sheet3!D67/Sheet3!D$35,4)</f>
        <v>2.7863000000000002</v>
      </c>
      <c r="F67">
        <f>+ROUND(Sheet3!E67,4)</f>
        <v>0.16650000000000001</v>
      </c>
      <c r="G67">
        <f>+ROUND(Sheet3!F67,4)</f>
        <v>0.14549999999999999</v>
      </c>
      <c r="H67">
        <f>+ROUND('cpi-u-rs-adj'!D69/'cpi-u-rs-adj'!D$37,4)</f>
        <v>2.0657999999999999</v>
      </c>
      <c r="I67">
        <f t="shared" ref="I67:I72" si="1">1/H67</f>
        <v>0.48407396650208157</v>
      </c>
      <c r="J67" s="13">
        <f>'cpi-u-rs-adj-03'!E69</f>
        <v>2.2690000000000001</v>
      </c>
    </row>
    <row r="68" spans="2:10">
      <c r="B68">
        <f>+Sheet3!A68</f>
        <v>2013</v>
      </c>
      <c r="C68">
        <f>+ROUND(Sheet3!B68/Sheet3!B$35,4)</f>
        <v>2.4611999999999998</v>
      </c>
      <c r="D68">
        <f>+ROUND(Sheet3!C68/Sheet3!C$35,4)</f>
        <v>2.6907999999999999</v>
      </c>
      <c r="E68">
        <f>+ROUND(Sheet3!D68/Sheet3!D$35,4)</f>
        <v>2.8271000000000002</v>
      </c>
      <c r="F68">
        <f>+ROUND(Sheet3!E68,4)</f>
        <v>0.16400000000000001</v>
      </c>
      <c r="G68">
        <f>+ROUND(Sheet3!F68,4)</f>
        <v>0.1434</v>
      </c>
      <c r="H68">
        <f>+ROUND('cpi-u-rs-adj'!D70/'cpi-u-rs-adj'!D$37,4)</f>
        <v>2.0804999999999998</v>
      </c>
      <c r="I68">
        <f t="shared" si="1"/>
        <v>0.48065368901706323</v>
      </c>
      <c r="J68" s="13">
        <f>'cpi-u-rs-adj-03'!E70</f>
        <v>2.2919999999999998</v>
      </c>
    </row>
    <row r="69" spans="2:10">
      <c r="B69">
        <f>+Sheet3!A69</f>
        <v>2014</v>
      </c>
      <c r="C69">
        <f>+ROUND(Sheet3!B69/Sheet3!B$35,4)</f>
        <v>2.4984000000000002</v>
      </c>
      <c r="D69">
        <f>+ROUND(Sheet3!C69/Sheet3!C$35,4)</f>
        <v>2.7355999999999998</v>
      </c>
      <c r="E69">
        <f>+ROUND(Sheet3!D69/Sheet3!D$35,4)</f>
        <v>2.8730000000000002</v>
      </c>
      <c r="F69">
        <f>+ROUND(Sheet3!E69,4)</f>
        <v>0.1613</v>
      </c>
      <c r="G69">
        <f>+ROUND(Sheet3!F69,4)</f>
        <v>0.1411</v>
      </c>
      <c r="H69">
        <f>+ROUND('cpi-u-rs-adj'!D71/'cpi-u-rs-adj'!D$37,4)</f>
        <v>2.0985</v>
      </c>
      <c r="I69">
        <f t="shared" si="1"/>
        <v>0.47653085537288536</v>
      </c>
      <c r="J69" s="13">
        <f>'cpi-u-rs-adj-03'!E71</f>
        <v>2.3180000000000001</v>
      </c>
    </row>
    <row r="70" spans="2:10">
      <c r="B70">
        <f>+Sheet3!A70</f>
        <v>2015</v>
      </c>
      <c r="C70">
        <f>+ROUND(Sheet3!B70/Sheet3!B$35,4)</f>
        <v>2.5038999999999998</v>
      </c>
      <c r="D70">
        <f>+ROUND(Sheet3!C70/Sheet3!C$35,4)</f>
        <v>2.7404000000000002</v>
      </c>
      <c r="E70">
        <f>+ROUND(Sheet3!D70/Sheet3!D$35,4)</f>
        <v>2.8763999999999998</v>
      </c>
      <c r="F70">
        <f>+ROUND(Sheet3!E70,4)</f>
        <v>0.16109999999999999</v>
      </c>
      <c r="G70">
        <f>+ROUND(Sheet3!F70,4)</f>
        <v>0.1409</v>
      </c>
      <c r="H70">
        <f>+ROUND('cpi-u-rs-adj'!D72/'cpi-u-rs-adj'!D$37,4)</f>
        <v>2.0853999999999999</v>
      </c>
      <c r="I70">
        <f t="shared" si="1"/>
        <v>0.47952431188261246</v>
      </c>
      <c r="J70" s="13">
        <f>'cpi-u-rs-adj-03'!E72</f>
        <v>2.3109999999999999</v>
      </c>
    </row>
    <row r="71" spans="2:10">
      <c r="B71">
        <f>+Sheet3!A71</f>
        <v>2016</v>
      </c>
      <c r="C71">
        <f>+ROUND(Sheet3!B71/Sheet3!B$35,4)</f>
        <v>2.5289999999999999</v>
      </c>
      <c r="D71">
        <f>+ROUND(Sheet3!C71/Sheet3!C$35,4)</f>
        <v>2.7757999999999998</v>
      </c>
      <c r="E71">
        <f>+ROUND(Sheet3!D71/Sheet3!D$35,4)</f>
        <v>2.9127000000000001</v>
      </c>
      <c r="F71">
        <f>+ROUND(Sheet3!E71,4)</f>
        <v>0.159</v>
      </c>
      <c r="G71">
        <f>+ROUND(Sheet3!F71,4)</f>
        <v>0.13919999999999999</v>
      </c>
      <c r="H71">
        <f>+ROUND('cpi-u-rs-adj'!D73/'cpi-u-rs-adj'!D$37,4)</f>
        <v>2.0956000000000001</v>
      </c>
      <c r="I71">
        <f t="shared" si="1"/>
        <v>0.47719030349303299</v>
      </c>
      <c r="J71" s="13">
        <f>'cpi-u-rs-adj-03'!E73</f>
        <v>2.3290000000000002</v>
      </c>
    </row>
    <row r="72" spans="2:10">
      <c r="B72">
        <f>+Sheet3!A72</f>
        <v>2017</v>
      </c>
      <c r="C72">
        <f>+ROUND(Sheet3!B72/Sheet3!B$35,4)</f>
        <v>2.5752999999999999</v>
      </c>
      <c r="D72">
        <f>+ROUND(Sheet3!C72/Sheet3!C$35,4)</f>
        <v>2.8348</v>
      </c>
      <c r="E72">
        <f>+ROUND(Sheet3!D72/Sheet3!D$35,4)</f>
        <v>2.9748000000000001</v>
      </c>
      <c r="F72">
        <f>+ROUND(Sheet3!E72,4)</f>
        <v>0.15570000000000001</v>
      </c>
      <c r="G72">
        <f>+ROUND(Sheet3!F72,4)</f>
        <v>0.1363</v>
      </c>
      <c r="H72">
        <f>+ROUND('cpi-u-rs-adj'!D74/'cpi-u-rs-adj'!D$37,4)</f>
        <v>2.1234000000000002</v>
      </c>
      <c r="I72">
        <f t="shared" si="1"/>
        <v>0.47094282754073652</v>
      </c>
      <c r="J72" s="13">
        <f>'cpi-u-rs-adj-03'!E74</f>
        <v>2.367</v>
      </c>
    </row>
    <row r="73" spans="2:10">
      <c r="B73">
        <f>+Sheet3!A73</f>
        <v>2018</v>
      </c>
      <c r="C73">
        <f>+ROUND(Sheet3!B73/Sheet3!B$35,4)</f>
        <v>2.6301999999999999</v>
      </c>
      <c r="D73">
        <f>+ROUND(Sheet3!C73/Sheet3!C$35,4)</f>
        <v>2.9039999999999999</v>
      </c>
      <c r="E73">
        <f>+ROUND(Sheet3!D73/Sheet3!D$35,4)</f>
        <v>3.0474000000000001</v>
      </c>
      <c r="F73">
        <f>+ROUND(Sheet3!E73,4)</f>
        <v>0.152</v>
      </c>
      <c r="G73">
        <f>+ROUND(Sheet3!F73,4)</f>
        <v>0.13300000000000001</v>
      </c>
      <c r="H73">
        <f>+ROUND('cpi-u-rs-adj'!D75/'cpi-u-rs-adj'!D$37,4)</f>
        <v>2.1583000000000001</v>
      </c>
      <c r="I73">
        <f t="shared" ref="I73" si="2">1/H73</f>
        <v>0.46332761895936614</v>
      </c>
      <c r="J73" s="13">
        <f>'cpi-u-rs-adj-03'!E75</f>
        <v>2.4129999999999998</v>
      </c>
    </row>
    <row r="74" spans="2:10">
      <c r="B74">
        <f>+Sheet3!A74</f>
        <v>2019</v>
      </c>
      <c r="C74">
        <f>+ROUND(Sheet3!B74/Sheet3!B$35,4)</f>
        <v>2.6695000000000002</v>
      </c>
      <c r="D74">
        <f>+ROUND(Sheet3!C74/Sheet3!C$35,4)</f>
        <v>2.9567000000000001</v>
      </c>
      <c r="E74">
        <f>+ROUND(Sheet3!D74/Sheet3!D$35,4)</f>
        <v>3.1025999999999998</v>
      </c>
      <c r="F74">
        <f>+ROUND(Sheet3!E74,4)</f>
        <v>0.14929999999999999</v>
      </c>
      <c r="G74">
        <f>+ROUND(Sheet3!F74,4)</f>
        <v>0.13059999999999999</v>
      </c>
      <c r="H74">
        <f>+ROUND('cpi-u-rs-adj'!D76/'cpi-u-rs-adj'!D$37,4)</f>
        <v>2.1802000000000001</v>
      </c>
      <c r="I74">
        <f t="shared" ref="I74" si="3">1/H74</f>
        <v>0.45867351619117508</v>
      </c>
      <c r="J74" s="13">
        <f>'cpi-u-rs-adj-03'!E76</f>
        <v>2.4449999999999998</v>
      </c>
    </row>
    <row r="75" spans="2:10">
      <c r="B75">
        <f>+Sheet3!A75</f>
        <v>2020</v>
      </c>
      <c r="C75">
        <f>+ROUND(Sheet3!B75/Sheet3!B$35,4)</f>
        <v>2.6989000000000001</v>
      </c>
      <c r="D75">
        <f>+ROUND(Sheet3!C75/Sheet3!C$35,4)</f>
        <v>2.9961000000000002</v>
      </c>
      <c r="E75">
        <f>+ROUND(Sheet3!D75/Sheet3!D$35,4)</f>
        <v>3.1408999999999998</v>
      </c>
      <c r="F75">
        <f>+ROUND(Sheet3!E75,4)</f>
        <v>0.14729999999999999</v>
      </c>
      <c r="G75">
        <f>+ROUND(Sheet3!F75,4)</f>
        <v>0.12909999999999999</v>
      </c>
      <c r="H75">
        <f>+ROUND('cpi-u-rs-adj'!D77/'cpi-u-rs-adj'!D$37,4)</f>
        <v>2.1918000000000002</v>
      </c>
      <c r="I75">
        <f t="shared" ref="I75" si="4">1/H75</f>
        <v>0.4562460078474313</v>
      </c>
      <c r="J75" s="13">
        <f>'cpi-u-rs-adj-03'!E77</f>
        <v>2.4649999999999999</v>
      </c>
    </row>
    <row r="76" spans="2:10">
      <c r="B76">
        <f>+Sheet3!A76</f>
        <v>2021</v>
      </c>
      <c r="C76">
        <f>+ROUND(Sheet3!B76/Sheet3!B$35,4)</f>
        <v>2.8075999999999999</v>
      </c>
      <c r="D76">
        <f>+ROUND(Sheet3!C76/Sheet3!C$35,4)</f>
        <v>3.1408</v>
      </c>
      <c r="E76">
        <f>+ROUND(Sheet3!D76/Sheet3!D$35,4)</f>
        <v>3.2885</v>
      </c>
      <c r="F76">
        <f>+ROUND(Sheet3!E76,4)</f>
        <v>0.14050000000000001</v>
      </c>
      <c r="G76">
        <f>+ROUND(Sheet3!F76,4)</f>
        <v>0.12330000000000001</v>
      </c>
      <c r="H76">
        <f>+ROUND('cpi-u-rs-adj'!D78/'cpi-u-rs-adj'!D$37,4)</f>
        <v>2.2801</v>
      </c>
      <c r="I76">
        <f t="shared" ref="I76" si="5">1/H76</f>
        <v>0.43857725538353581</v>
      </c>
      <c r="J76" s="13">
        <f>'cpi-u-rs-adj-03'!E78</f>
        <v>2.5720000000000001</v>
      </c>
    </row>
    <row r="77" spans="2:10">
      <c r="B77">
        <f>+Sheet3!A77</f>
        <v>2022</v>
      </c>
      <c r="C77">
        <f>+ROUND(Sheet3!B77/Sheet3!B$35,4)</f>
        <v>2.9834000000000001</v>
      </c>
      <c r="D77">
        <f>+ROUND(Sheet3!C77/Sheet3!C$35,4)</f>
        <v>3.395</v>
      </c>
      <c r="E77">
        <f>+ROUND(Sheet3!D77/Sheet3!D$35,4)</f>
        <v>3.5516000000000001</v>
      </c>
      <c r="F77">
        <f>+ROUND(Sheet3!E77,4)</f>
        <v>0.13</v>
      </c>
      <c r="G77">
        <f>+ROUND(Sheet3!F77,4)</f>
        <v>0.11409999999999999</v>
      </c>
      <c r="H77">
        <f>+ROUND('cpi-u-rs-adj'!D79/'cpi-u-rs-adj'!D$37,4)</f>
        <v>2.4464000000000001</v>
      </c>
      <c r="I77">
        <f t="shared" ref="I77" si="6">1/H77</f>
        <v>0.40876389797253104</v>
      </c>
      <c r="J77" s="13">
        <f>'cpi-u-rs-adj-03'!E79</f>
        <v>0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D949-F4CE-4216-B2F3-D381BCBD7F8B}">
  <dimension ref="B1:I76"/>
  <sheetViews>
    <sheetView workbookViewId="0">
      <selection activeCell="K13" sqref="K13"/>
    </sheetView>
  </sheetViews>
  <sheetFormatPr defaultRowHeight="12.75"/>
  <sheetData>
    <row r="1" spans="2:9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s="31" t="s">
        <v>94</v>
      </c>
    </row>
    <row r="2" spans="2:9">
      <c r="B2">
        <f>+Sheet3!A2</f>
        <v>1947</v>
      </c>
      <c r="C2">
        <f>ROUND('dat_file 1980'!C2/'dat_file 1980'!C$55,4)</f>
        <v>0.15989999999999999</v>
      </c>
      <c r="D2">
        <f>ROUND('dat_file 1980'!D2/'dat_file 1980'!D$55,4)</f>
        <v>0.14849999999999999</v>
      </c>
      <c r="E2">
        <f>ROUND('dat_file 1980'!E2/'dat_file 1980'!E$55,4)</f>
        <v>0.1295</v>
      </c>
      <c r="F2">
        <f>'dat_file 1980'!F2</f>
        <v>1.496</v>
      </c>
      <c r="G2">
        <f>'dat_file 1980'!G2</f>
        <v>1.4978</v>
      </c>
      <c r="H2">
        <f>ROUND('dat_file 1980'!H2/'dat_file 1980'!H$55,4)</f>
        <v>0.24460000000000001</v>
      </c>
      <c r="I2">
        <f>1/H2</f>
        <v>4.0883074407195421</v>
      </c>
    </row>
    <row r="3" spans="2:9">
      <c r="B3">
        <f>+Sheet3!A3</f>
        <v>1948</v>
      </c>
      <c r="C3">
        <f>ROUND('dat_file 1980'!C3/'dat_file 1980'!C$55,4)</f>
        <v>0.16900000000000001</v>
      </c>
      <c r="D3">
        <f>ROUND('dat_file 1980'!D3/'dat_file 1980'!D$55,4)</f>
        <v>0.16039999999999999</v>
      </c>
      <c r="E3">
        <f>ROUND('dat_file 1980'!E3/'dat_file 1980'!E$55,4)</f>
        <v>0.14000000000000001</v>
      </c>
      <c r="F3">
        <f>'dat_file 1980'!F3</f>
        <v>1.3852</v>
      </c>
      <c r="G3">
        <f>'dat_file 1980'!G3</f>
        <v>1.3858999999999999</v>
      </c>
      <c r="H3">
        <f>ROUND('dat_file 1980'!H3/'dat_file 1980'!H$55,4)</f>
        <v>0.26140000000000002</v>
      </c>
      <c r="I3">
        <f t="shared" ref="I3:I66" si="0">1/H3</f>
        <v>3.8255547054322872</v>
      </c>
    </row>
    <row r="4" spans="2:9">
      <c r="B4">
        <f>+Sheet3!A4</f>
        <v>1949</v>
      </c>
      <c r="C4">
        <f>ROUND('dat_file 1980'!C4/'dat_file 1980'!C$55,4)</f>
        <v>0.16769999999999999</v>
      </c>
      <c r="D4">
        <f>ROUND('dat_file 1980'!D4/'dat_file 1980'!D$55,4)</f>
        <v>0.15840000000000001</v>
      </c>
      <c r="E4">
        <f>ROUND('dat_file 1980'!E4/'dat_file 1980'!E$55,4)</f>
        <v>0.13819999999999999</v>
      </c>
      <c r="F4">
        <f>'dat_file 1980'!F4</f>
        <v>1.4025000000000001</v>
      </c>
      <c r="G4">
        <f>'dat_file 1980'!G4</f>
        <v>1.4034</v>
      </c>
      <c r="H4">
        <f>ROUND('dat_file 1980'!H4/'dat_file 1980'!H$55,4)</f>
        <v>0.25530000000000003</v>
      </c>
      <c r="I4">
        <f t="shared" si="0"/>
        <v>3.9169604386995687</v>
      </c>
    </row>
    <row r="5" spans="2:9">
      <c r="B5">
        <f>+Sheet3!A5</f>
        <v>1950</v>
      </c>
      <c r="C5">
        <f>ROUND('dat_file 1980'!C5/'dat_file 1980'!C$55,4)</f>
        <v>0.16969999999999999</v>
      </c>
      <c r="D5">
        <f>ROUND('dat_file 1980'!D5/'dat_file 1980'!D$55,4)</f>
        <v>0.16039999999999999</v>
      </c>
      <c r="E5">
        <f>ROUND('dat_file 1980'!E5/'dat_file 1980'!E$55,4)</f>
        <v>0.14000000000000001</v>
      </c>
      <c r="F5">
        <f>'dat_file 1980'!F5</f>
        <v>1.3852</v>
      </c>
      <c r="G5">
        <f>'dat_file 1980'!G5</f>
        <v>1.3858999999999999</v>
      </c>
      <c r="H5">
        <f>ROUND('dat_file 1980'!H5/'dat_file 1980'!H$55,4)</f>
        <v>0.25569999999999998</v>
      </c>
      <c r="I5">
        <f t="shared" si="0"/>
        <v>3.910833007430583</v>
      </c>
    </row>
    <row r="6" spans="2:9">
      <c r="B6">
        <f>+Sheet3!A6</f>
        <v>1951</v>
      </c>
      <c r="C6">
        <f>ROUND('dat_file 1980'!C6/'dat_file 1980'!C$55,4)</f>
        <v>0.1812</v>
      </c>
      <c r="D6">
        <f>ROUND('dat_file 1980'!D6/'dat_file 1980'!D$55,4)</f>
        <v>0.1731</v>
      </c>
      <c r="E6">
        <f>ROUND('dat_file 1980'!E6/'dat_file 1980'!E$55,4)</f>
        <v>0.151</v>
      </c>
      <c r="F6">
        <f>'dat_file 1980'!F6</f>
        <v>1.2838000000000001</v>
      </c>
      <c r="G6">
        <f>'dat_file 1980'!G6</f>
        <v>1.2846</v>
      </c>
      <c r="H6">
        <f>ROUND('dat_file 1980'!H6/'dat_file 1980'!H$55,4)</f>
        <v>0.27310000000000001</v>
      </c>
      <c r="I6">
        <f t="shared" si="0"/>
        <v>3.6616623947272062</v>
      </c>
    </row>
    <row r="7" spans="2:9">
      <c r="B7">
        <f>+Sheet3!A7</f>
        <v>1952</v>
      </c>
      <c r="C7">
        <f>ROUND('dat_file 1980'!C7/'dat_file 1980'!C$55,4)</f>
        <v>0.185</v>
      </c>
      <c r="D7">
        <f>ROUND('dat_file 1980'!D7/'dat_file 1980'!D$55,4)</f>
        <v>0.1762</v>
      </c>
      <c r="E7">
        <f>ROUND('dat_file 1980'!E7/'dat_file 1980'!E$55,4)</f>
        <v>0.15390000000000001</v>
      </c>
      <c r="F7">
        <f>'dat_file 1980'!F7</f>
        <v>1.2606999999999999</v>
      </c>
      <c r="G7">
        <f>'dat_file 1980'!G7</f>
        <v>1.2604</v>
      </c>
      <c r="H7">
        <f>ROUND('dat_file 1980'!H7/'dat_file 1980'!H$55,4)</f>
        <v>0.27510000000000001</v>
      </c>
      <c r="I7">
        <f t="shared" si="0"/>
        <v>3.6350418029807341</v>
      </c>
    </row>
    <row r="8" spans="2:9">
      <c r="B8">
        <f>+Sheet3!A8</f>
        <v>1953</v>
      </c>
      <c r="C8">
        <f>ROUND('dat_file 1980'!C8/'dat_file 1980'!C$55,4)</f>
        <v>0.18740000000000001</v>
      </c>
      <c r="D8">
        <f>ROUND('dat_file 1980'!D8/'dat_file 1980'!D$55,4)</f>
        <v>0.1774</v>
      </c>
      <c r="E8">
        <f>ROUND('dat_file 1980'!E8/'dat_file 1980'!E$55,4)</f>
        <v>0.155</v>
      </c>
      <c r="F8">
        <f>'dat_file 1980'!F8</f>
        <v>1.2522</v>
      </c>
      <c r="G8">
        <f>'dat_file 1980'!G8</f>
        <v>1.2508999999999999</v>
      </c>
      <c r="H8">
        <f>ROUND('dat_file 1980'!H8/'dat_file 1980'!H$55,4)</f>
        <v>0.27389999999999998</v>
      </c>
      <c r="I8">
        <f t="shared" si="0"/>
        <v>3.6509675063891933</v>
      </c>
    </row>
    <row r="9" spans="2:9">
      <c r="B9">
        <f>+Sheet3!A9</f>
        <v>1954</v>
      </c>
      <c r="C9">
        <f>ROUND('dat_file 1980'!C9/'dat_file 1980'!C$55,4)</f>
        <v>0.189</v>
      </c>
      <c r="D9">
        <f>ROUND('dat_file 1980'!D9/'dat_file 1980'!D$55,4)</f>
        <v>0.17899999999999999</v>
      </c>
      <c r="E9">
        <f>ROUND('dat_file 1980'!E9/'dat_file 1980'!E$55,4)</f>
        <v>0.15620000000000001</v>
      </c>
      <c r="F9">
        <f>'dat_file 1980'!F9</f>
        <v>1.2412000000000001</v>
      </c>
      <c r="G9">
        <f>'dat_file 1980'!G9</f>
        <v>1.2416</v>
      </c>
      <c r="H9">
        <f>ROUND('dat_file 1980'!H9/'dat_file 1980'!H$55,4)</f>
        <v>0.27339999999999998</v>
      </c>
      <c r="I9">
        <f t="shared" si="0"/>
        <v>3.6576444769568401</v>
      </c>
    </row>
    <row r="10" spans="2:9">
      <c r="B10">
        <f>+Sheet3!A10</f>
        <v>1955</v>
      </c>
      <c r="C10">
        <f>ROUND('dat_file 1980'!C10/'dat_file 1980'!C$55,4)</f>
        <v>0.18970000000000001</v>
      </c>
      <c r="D10">
        <f>ROUND('dat_file 1980'!D10/'dat_file 1980'!D$55,4)</f>
        <v>0.1782</v>
      </c>
      <c r="E10">
        <f>ROUND('dat_file 1980'!E10/'dat_file 1980'!E$55,4)</f>
        <v>0.15559999999999999</v>
      </c>
      <c r="F10">
        <f>'dat_file 1980'!F10</f>
        <v>1.2466999999999999</v>
      </c>
      <c r="G10">
        <f>'dat_file 1980'!G10</f>
        <v>1.2463</v>
      </c>
      <c r="H10">
        <f>ROUND('dat_file 1980'!H10/'dat_file 1980'!H$55,4)</f>
        <v>0.26910000000000001</v>
      </c>
      <c r="I10">
        <f t="shared" si="0"/>
        <v>3.7160906726124119</v>
      </c>
    </row>
    <row r="11" spans="2:9">
      <c r="B11">
        <f>+Sheet3!A11</f>
        <v>1956</v>
      </c>
      <c r="C11">
        <f>ROUND('dat_file 1980'!C11/'dat_file 1980'!C$55,4)</f>
        <v>0.19350000000000001</v>
      </c>
      <c r="D11">
        <f>ROUND('dat_file 1980'!D11/'dat_file 1980'!D$55,4)</f>
        <v>0.18099999999999999</v>
      </c>
      <c r="E11">
        <f>ROUND('dat_file 1980'!E11/'dat_file 1980'!E$55,4)</f>
        <v>0.158</v>
      </c>
      <c r="F11">
        <f>'dat_file 1980'!F11</f>
        <v>1.2276</v>
      </c>
      <c r="G11">
        <f>'dat_file 1980'!G11</f>
        <v>1.2279</v>
      </c>
      <c r="H11">
        <f>ROUND('dat_file 1980'!H11/'dat_file 1980'!H$55,4)</f>
        <v>0.27039999999999997</v>
      </c>
      <c r="I11">
        <f t="shared" si="0"/>
        <v>3.6982248520710064</v>
      </c>
    </row>
    <row r="12" spans="2:9">
      <c r="B12">
        <f>+Sheet3!A12</f>
        <v>1957</v>
      </c>
      <c r="C12">
        <f>ROUND('dat_file 1980'!C12/'dat_file 1980'!C$55,4)</f>
        <v>0.19939999999999999</v>
      </c>
      <c r="D12">
        <f>ROUND('dat_file 1980'!D12/'dat_file 1980'!D$55,4)</f>
        <v>0.187</v>
      </c>
      <c r="E12">
        <f>ROUND('dat_file 1980'!E12/'dat_file 1980'!E$55,4)</f>
        <v>0.16320000000000001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1980'!H$55,4)</f>
        <v>0.2762</v>
      </c>
      <c r="I12">
        <f t="shared" si="0"/>
        <v>3.620564808110065</v>
      </c>
    </row>
    <row r="13" spans="2:9">
      <c r="B13">
        <f>+Sheet3!A13</f>
        <v>1958</v>
      </c>
      <c r="C13">
        <f>ROUND('dat_file 1980'!C13/'dat_file 1980'!C$55,4)</f>
        <v>0.2041</v>
      </c>
      <c r="D13">
        <f>ROUND('dat_file 1980'!D13/'dat_file 1980'!D$55,4)</f>
        <v>0.19209999999999999</v>
      </c>
      <c r="E13">
        <f>ROUND('dat_file 1980'!E13/'dat_file 1980'!E$55,4)</f>
        <v>0.1678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1980'!H$55,4)</f>
        <v>0.28079999999999999</v>
      </c>
      <c r="I13">
        <f t="shared" si="0"/>
        <v>3.5612535612535612</v>
      </c>
    </row>
    <row r="14" spans="2:9">
      <c r="B14">
        <f>+Sheet3!A14</f>
        <v>1959</v>
      </c>
      <c r="C14">
        <f>ROUND('dat_file 1980'!C14/'dat_file 1980'!C$55,4)</f>
        <v>0.20710000000000001</v>
      </c>
      <c r="D14">
        <f>ROUND('dat_file 1980'!D14/'dat_file 1980'!D$55,4)</f>
        <v>0.19359999999999999</v>
      </c>
      <c r="E14">
        <f>ROUND('dat_file 1980'!E14/'dat_file 1980'!E$55,4)</f>
        <v>0.16900000000000001</v>
      </c>
      <c r="F14">
        <f>'dat_file 1980'!F14</f>
        <v>1.1472</v>
      </c>
      <c r="G14">
        <f>'dat_file 1980'!G14</f>
        <v>1.1477999999999999</v>
      </c>
      <c r="H14">
        <f>ROUND('dat_file 1980'!H14/'dat_file 1980'!H$55,4)</f>
        <v>0.28010000000000002</v>
      </c>
      <c r="I14">
        <f t="shared" si="0"/>
        <v>3.5701535166012137</v>
      </c>
    </row>
    <row r="15" spans="2:9">
      <c r="B15">
        <f>+Sheet3!A15</f>
        <v>1960</v>
      </c>
      <c r="C15">
        <f>ROUND('dat_file 1980'!C15/'dat_file 1980'!C$55,4)</f>
        <v>0.21049999999999999</v>
      </c>
      <c r="D15">
        <f>ROUND('dat_file 1980'!D15/'dat_file 1980'!D$55,4)</f>
        <v>0.1968</v>
      </c>
      <c r="E15">
        <f>ROUND('dat_file 1980'!E15/'dat_file 1980'!E$55,4)</f>
        <v>0.1719</v>
      </c>
      <c r="F15">
        <f>'dat_file 1980'!F15</f>
        <v>1.1288</v>
      </c>
      <c r="G15">
        <f>'dat_file 1980'!G15</f>
        <v>1.1284000000000001</v>
      </c>
      <c r="H15">
        <f>ROUND('dat_file 1980'!H15/'dat_file 1980'!H$55,4)</f>
        <v>0.28149999999999997</v>
      </c>
      <c r="I15">
        <f t="shared" si="0"/>
        <v>3.5523978685612794</v>
      </c>
    </row>
    <row r="16" spans="2:9">
      <c r="B16">
        <f>+Sheet3!A16</f>
        <v>1961</v>
      </c>
      <c r="C16">
        <f>ROUND('dat_file 1980'!C16/'dat_file 1980'!C$55,4)</f>
        <v>0.2127</v>
      </c>
      <c r="D16">
        <f>ROUND('dat_file 1980'!D16/'dat_file 1980'!D$55,4)</f>
        <v>0.1988</v>
      </c>
      <c r="E16">
        <f>ROUND('dat_file 1980'!E16/'dat_file 1980'!E$55,4)</f>
        <v>0.17369999999999999</v>
      </c>
      <c r="F16">
        <f>'dat_file 1980'!F16</f>
        <v>1.1174999999999999</v>
      </c>
      <c r="G16">
        <f>'dat_file 1980'!G16</f>
        <v>1.1171</v>
      </c>
      <c r="H16">
        <f>ROUND('dat_file 1980'!H16/'dat_file 1980'!H$55,4)</f>
        <v>0.28129999999999999</v>
      </c>
      <c r="I16">
        <f t="shared" si="0"/>
        <v>3.5549235691432637</v>
      </c>
    </row>
    <row r="17" spans="2:9">
      <c r="B17">
        <f>+Sheet3!A17</f>
        <v>1962</v>
      </c>
      <c r="C17">
        <f>ROUND('dat_file 1980'!C17/'dat_file 1980'!C$55,4)</f>
        <v>0.2152</v>
      </c>
      <c r="D17">
        <f>ROUND('dat_file 1980'!D17/'dat_file 1980'!D$55,4)</f>
        <v>0.20080000000000001</v>
      </c>
      <c r="E17">
        <f>ROUND('dat_file 1980'!E17/'dat_file 1980'!E$55,4)</f>
        <v>0.1754</v>
      </c>
      <c r="F17">
        <f>'dat_file 1980'!F17</f>
        <v>1.1065</v>
      </c>
      <c r="G17">
        <f>'dat_file 1980'!G17</f>
        <v>1.1060000000000001</v>
      </c>
      <c r="H17">
        <f>ROUND('dat_file 1980'!H17/'dat_file 1980'!H$55,4)</f>
        <v>0.28100000000000003</v>
      </c>
      <c r="I17">
        <f t="shared" si="0"/>
        <v>3.5587188612099641</v>
      </c>
    </row>
    <row r="18" spans="2:9">
      <c r="B18">
        <f>+Sheet3!A18</f>
        <v>1963</v>
      </c>
      <c r="C18">
        <f>ROUND('dat_file 1980'!C18/'dat_file 1980'!C$55,4)</f>
        <v>0.21779999999999999</v>
      </c>
      <c r="D18">
        <f>ROUND('dat_file 1980'!D18/'dat_file 1980'!D$55,4)</f>
        <v>0.2036</v>
      </c>
      <c r="E18">
        <f>ROUND('dat_file 1980'!E18/'dat_file 1980'!E$55,4)</f>
        <v>0.1777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1980'!H$55,4)</f>
        <v>0.28179999999999999</v>
      </c>
      <c r="I18">
        <f t="shared" si="0"/>
        <v>3.5486160397444997</v>
      </c>
    </row>
    <row r="19" spans="2:9">
      <c r="B19">
        <f>+Sheet3!A19</f>
        <v>1964</v>
      </c>
      <c r="C19">
        <f>ROUND('dat_file 1980'!C19/'dat_file 1980'!C$55,4)</f>
        <v>0.221</v>
      </c>
      <c r="D19">
        <f>ROUND('dat_file 1980'!D19/'dat_file 1980'!D$55,4)</f>
        <v>0.20630000000000001</v>
      </c>
      <c r="E19">
        <f>ROUND('dat_file 1980'!E19/'dat_file 1980'!E$55,4)</f>
        <v>0.18</v>
      </c>
      <c r="F19">
        <f>'dat_file 1980'!F19</f>
        <v>1.0768</v>
      </c>
      <c r="G19">
        <f>'dat_file 1980'!G19</f>
        <v>1.0773999999999999</v>
      </c>
      <c r="H19">
        <f>ROUND('dat_file 1980'!H19/'dat_file 1980'!H$55,4)</f>
        <v>0.28249999999999997</v>
      </c>
      <c r="I19">
        <f t="shared" si="0"/>
        <v>3.5398230088495577</v>
      </c>
    </row>
    <row r="20" spans="2:9">
      <c r="B20">
        <f>+Sheet3!A20</f>
        <v>1965</v>
      </c>
      <c r="C20">
        <f>ROUND('dat_file 1980'!C20/'dat_file 1980'!C$55,4)</f>
        <v>0.22409999999999999</v>
      </c>
      <c r="D20">
        <f>ROUND('dat_file 1980'!D20/'dat_file 1980'!D$55,4)</f>
        <v>0.20949999999999999</v>
      </c>
      <c r="E20">
        <f>ROUND('dat_file 1980'!E20/'dat_file 1980'!E$55,4)</f>
        <v>0.18290000000000001</v>
      </c>
      <c r="F20">
        <f>'dat_file 1980'!F20</f>
        <v>1.0605</v>
      </c>
      <c r="G20">
        <f>'dat_file 1980'!G20</f>
        <v>1.0603</v>
      </c>
      <c r="H20">
        <f>ROUND('dat_file 1980'!H20/'dat_file 1980'!H$55,4)</f>
        <v>0.2838</v>
      </c>
      <c r="I20">
        <f t="shared" si="0"/>
        <v>3.5236081747709656</v>
      </c>
    </row>
    <row r="21" spans="2:9">
      <c r="B21">
        <f>+Sheet3!A21</f>
        <v>1966</v>
      </c>
      <c r="C21">
        <f>ROUND('dat_file 1980'!C21/'dat_file 1980'!C$55,4)</f>
        <v>0.2298</v>
      </c>
      <c r="D21">
        <f>ROUND('dat_file 1980'!D21/'dat_file 1980'!D$55,4)</f>
        <v>0.21540000000000001</v>
      </c>
      <c r="E21">
        <f>ROUND('dat_file 1980'!E21/'dat_file 1980'!E$55,4)</f>
        <v>0.18820000000000001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1980'!H$55,4)</f>
        <v>0.28870000000000001</v>
      </c>
      <c r="I21">
        <f t="shared" si="0"/>
        <v>3.4638032559750607</v>
      </c>
    </row>
    <row r="22" spans="2:9">
      <c r="B22">
        <f>+Sheet3!A22</f>
        <v>1967</v>
      </c>
      <c r="C22">
        <f>ROUND('dat_file 1980'!C22/'dat_file 1980'!C$55,4)</f>
        <v>0.2356</v>
      </c>
      <c r="D22">
        <f>ROUND('dat_file 1980'!D22/'dat_file 1980'!D$55,4)</f>
        <v>0.22220000000000001</v>
      </c>
      <c r="E22">
        <f>ROUND('dat_file 1980'!E22/'dat_file 1980'!E$55,4)</f>
        <v>0.19389999999999999</v>
      </c>
      <c r="F22">
        <f>'dat_file 1980'!F22</f>
        <v>1</v>
      </c>
      <c r="G22">
        <f>'dat_file 1980'!G22</f>
        <v>1</v>
      </c>
      <c r="H22">
        <f>ROUND('dat_file 1980'!H22/'dat_file 1980'!H$55,4)</f>
        <v>0.29449999999999998</v>
      </c>
      <c r="I22">
        <f t="shared" si="0"/>
        <v>3.3955857385398982</v>
      </c>
    </row>
    <row r="23" spans="2:9">
      <c r="B23">
        <f>+Sheet3!A23</f>
        <v>1968</v>
      </c>
      <c r="C23">
        <f>ROUND('dat_file 1980'!C23/'dat_file 1980'!C$55,4)</f>
        <v>0.24479999999999999</v>
      </c>
      <c r="D23">
        <f>ROUND('dat_file 1980'!D23/'dat_file 1980'!D$55,4)</f>
        <v>0.23089999999999999</v>
      </c>
      <c r="E23">
        <f>ROUND('dat_file 1980'!E23/'dat_file 1980'!E$55,4)</f>
        <v>0.2021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1980'!H$55,4)</f>
        <v>0.30280000000000001</v>
      </c>
      <c r="I23">
        <f t="shared" si="0"/>
        <v>3.3025099075297226</v>
      </c>
    </row>
    <row r="24" spans="2:9">
      <c r="B24">
        <f>+Sheet3!A24</f>
        <v>1969</v>
      </c>
      <c r="C24">
        <f>ROUND('dat_file 1980'!C24/'dat_file 1980'!C$55,4)</f>
        <v>0.25580000000000003</v>
      </c>
      <c r="D24">
        <f>ROUND('dat_file 1980'!D24/'dat_file 1980'!D$55,4)</f>
        <v>0.2412</v>
      </c>
      <c r="E24">
        <f>ROUND('dat_file 1980'!E24/'dat_file 1980'!E$55,4)</f>
        <v>0.21310000000000001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1980'!H$55,4)</f>
        <v>0.313</v>
      </c>
      <c r="I24">
        <f t="shared" si="0"/>
        <v>3.1948881789137382</v>
      </c>
    </row>
    <row r="25" spans="2:9">
      <c r="B25">
        <f>+Sheet3!A25</f>
        <v>1970</v>
      </c>
      <c r="C25">
        <f>ROUND('dat_file 1980'!C25/'dat_file 1980'!C$55,4)</f>
        <v>0.26779999999999998</v>
      </c>
      <c r="D25">
        <f>ROUND('dat_file 1980'!D25/'dat_file 1980'!D$55,4)</f>
        <v>0.25309999999999999</v>
      </c>
      <c r="E25">
        <f>ROUND('dat_file 1980'!E25/'dat_file 1980'!E$55,4)</f>
        <v>0.2253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1980'!H$55,4)</f>
        <v>0.32500000000000001</v>
      </c>
      <c r="I25">
        <f t="shared" si="0"/>
        <v>3.0769230769230766</v>
      </c>
    </row>
    <row r="26" spans="2:9">
      <c r="B26">
        <f>+Sheet3!A26</f>
        <v>1971</v>
      </c>
      <c r="C26">
        <f>ROUND('dat_file 1980'!C26/'dat_file 1980'!C$55,4)</f>
        <v>0.27910000000000001</v>
      </c>
      <c r="D26">
        <f>ROUND('dat_file 1980'!D26/'dat_file 1980'!D$55,4)</f>
        <v>0.26419999999999999</v>
      </c>
      <c r="E26">
        <f>ROUND('dat_file 1980'!E26/'dat_file 1980'!E$55,4)</f>
        <v>0.23519999999999999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1980'!H$55,4)</f>
        <v>0.3357</v>
      </c>
      <c r="I26">
        <f t="shared" si="0"/>
        <v>2.9788501638367588</v>
      </c>
    </row>
    <row r="27" spans="2:9">
      <c r="B27">
        <f>+Sheet3!A27</f>
        <v>1972</v>
      </c>
      <c r="C27">
        <f>ROUND('dat_file 1980'!C27/'dat_file 1980'!C$55,4)</f>
        <v>0.28870000000000001</v>
      </c>
      <c r="D27">
        <f>ROUND('dat_file 1980'!D27/'dat_file 1980'!D$55,4)</f>
        <v>0.27210000000000001</v>
      </c>
      <c r="E27">
        <f>ROUND('dat_file 1980'!E27/'dat_file 1980'!E$55,4)</f>
        <v>0.24279999999999999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1980'!H$55,4)</f>
        <v>0.34200000000000003</v>
      </c>
      <c r="I27">
        <f t="shared" si="0"/>
        <v>2.9239766081871341</v>
      </c>
    </row>
    <row r="28" spans="2:9">
      <c r="B28">
        <f>+Sheet3!A28</f>
        <v>1973</v>
      </c>
      <c r="C28">
        <f>ROUND('dat_file 1980'!C28/'dat_file 1980'!C$55,4)</f>
        <v>0.30420000000000003</v>
      </c>
      <c r="D28">
        <f>ROUND('dat_file 1980'!D28/'dat_file 1980'!D$55,4)</f>
        <v>0.28910000000000002</v>
      </c>
      <c r="E28">
        <f>ROUND('dat_file 1980'!E28/'dat_file 1980'!E$55,4)</f>
        <v>0.25779999999999997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1980'!H$55,4)</f>
        <v>0.35970000000000002</v>
      </c>
      <c r="I28">
        <f t="shared" si="0"/>
        <v>2.7800945232137892</v>
      </c>
    </row>
    <row r="29" spans="2:9">
      <c r="B29">
        <f>+Sheet3!A29</f>
        <v>1974</v>
      </c>
      <c r="C29">
        <f>ROUND('dat_file 1980'!C29/'dat_file 1980'!C$55,4)</f>
        <v>0.33589999999999998</v>
      </c>
      <c r="D29">
        <f>ROUND('dat_file 1980'!D29/'dat_file 1980'!D$55,4)</f>
        <v>0.318</v>
      </c>
      <c r="E29">
        <f>ROUND('dat_file 1980'!E29/'dat_file 1980'!E$55,4)</f>
        <v>0.2863</v>
      </c>
      <c r="F29">
        <f>'dat_file 1980'!F29</f>
        <v>0.6986</v>
      </c>
      <c r="G29">
        <f>'dat_file 1980'!G29</f>
        <v>0.67749999999999999</v>
      </c>
      <c r="H29">
        <f>ROUND('dat_file 1980'!H29/'dat_file 1980'!H$55,4)</f>
        <v>0.39169999999999999</v>
      </c>
      <c r="I29">
        <f t="shared" si="0"/>
        <v>2.5529742149604289</v>
      </c>
    </row>
    <row r="30" spans="2:9">
      <c r="B30">
        <f>+Sheet3!A30</f>
        <v>1975</v>
      </c>
      <c r="C30">
        <f>ROUND('dat_file 1980'!C30/'dat_file 1980'!C$55,4)</f>
        <v>0.3639</v>
      </c>
      <c r="D30">
        <f>ROUND('dat_file 1980'!D30/'dat_file 1980'!D$55,4)</f>
        <v>0.34420000000000001</v>
      </c>
      <c r="E30">
        <f>ROUND('dat_file 1980'!E30/'dat_file 1980'!E$55,4)</f>
        <v>0.31240000000000001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1980'!H$55,4)</f>
        <v>0.41959999999999997</v>
      </c>
      <c r="I30">
        <f t="shared" si="0"/>
        <v>2.3832221163012393</v>
      </c>
    </row>
    <row r="31" spans="2:9">
      <c r="B31">
        <f>+Sheet3!A31</f>
        <v>1976</v>
      </c>
      <c r="C31">
        <f>ROUND('dat_file 1980'!C31/'dat_file 1980'!C$55,4)</f>
        <v>0.38379999999999997</v>
      </c>
      <c r="D31">
        <f>ROUND('dat_file 1980'!D31/'dat_file 1980'!D$55,4)</f>
        <v>0.36399999999999999</v>
      </c>
      <c r="E31">
        <f>ROUND('dat_file 1980'!E31/'dat_file 1980'!E$55,4)</f>
        <v>0.33040000000000003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1980'!H$55,4)</f>
        <v>0.43909999999999999</v>
      </c>
      <c r="I31">
        <f t="shared" si="0"/>
        <v>2.2773855613755409</v>
      </c>
    </row>
    <row r="32" spans="2:9">
      <c r="B32">
        <f>+Sheet3!A32</f>
        <v>1977</v>
      </c>
      <c r="C32">
        <f>ROUND('dat_file 1980'!C32/'dat_file 1980'!C$55,4)</f>
        <v>0.4088</v>
      </c>
      <c r="D32">
        <f>ROUND('dat_file 1980'!D32/'dat_file 1980'!D$55,4)</f>
        <v>0.38690000000000002</v>
      </c>
      <c r="E32">
        <f>ROUND('dat_file 1980'!E32/'dat_file 1980'!E$55,4)</f>
        <v>0.35189999999999999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1980'!H$55,4)</f>
        <v>0.46200000000000002</v>
      </c>
      <c r="I32">
        <f t="shared" si="0"/>
        <v>2.1645021645021645</v>
      </c>
    </row>
    <row r="33" spans="2:9">
      <c r="B33">
        <f>+Sheet3!A33</f>
        <v>1978</v>
      </c>
      <c r="C33">
        <f>ROUND('dat_file 1980'!C33/'dat_file 1980'!C$55,4)</f>
        <v>0.43719999999999998</v>
      </c>
      <c r="D33">
        <f>ROUND('dat_file 1980'!D33/'dat_file 1980'!D$55,4)</f>
        <v>0.41349999999999998</v>
      </c>
      <c r="E33">
        <f>ROUND('dat_file 1980'!E33/'dat_file 1980'!E$55,4)</f>
        <v>0.37859999999999999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1980'!H$55,4)</f>
        <v>0.4899</v>
      </c>
      <c r="I33">
        <f t="shared" si="0"/>
        <v>2.0412329046744233</v>
      </c>
    </row>
    <row r="34" spans="2:9">
      <c r="B34">
        <f>+Sheet3!A34</f>
        <v>1979</v>
      </c>
      <c r="C34">
        <f>ROUND('dat_file 1980'!C34/'dat_file 1980'!C$55,4)</f>
        <v>0.47610000000000002</v>
      </c>
      <c r="D34">
        <f>ROUND('dat_file 1980'!D34/'dat_file 1980'!D$55,4)</f>
        <v>0.45269999999999999</v>
      </c>
      <c r="E34">
        <f>ROUND('dat_file 1980'!E34/'dat_file 1980'!E$55,4)</f>
        <v>0.42159999999999997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1980'!H$55,4)</f>
        <v>0.53249999999999997</v>
      </c>
      <c r="I34">
        <f t="shared" si="0"/>
        <v>1.8779342723004695</v>
      </c>
    </row>
    <row r="35" spans="2:9">
      <c r="B35">
        <f>+Sheet3!A35</f>
        <v>1980</v>
      </c>
      <c r="C35">
        <f>ROUND('dat_file 1980'!C35/'dat_file 1980'!C$55,4)</f>
        <v>0.52729999999999999</v>
      </c>
      <c r="D35">
        <f>ROUND('dat_file 1980'!D35/'dat_file 1980'!D$55,4)</f>
        <v>0.50339999999999996</v>
      </c>
      <c r="E35">
        <f>ROUND('dat_file 1980'!E35/'dat_file 1980'!E$55,4)</f>
        <v>0.47849999999999998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1980'!H$55,4)</f>
        <v>0.58789999999999998</v>
      </c>
      <c r="I35">
        <f t="shared" si="0"/>
        <v>1.7009695526450077</v>
      </c>
    </row>
    <row r="36" spans="2:9">
      <c r="B36">
        <f>+Sheet3!A36</f>
        <v>1981</v>
      </c>
      <c r="C36">
        <f>ROUND('dat_file 1980'!C36/'dat_file 1980'!C$55,4)</f>
        <v>0.5746</v>
      </c>
      <c r="D36">
        <f>ROUND('dat_file 1980'!D36/'dat_file 1980'!D$55,4)</f>
        <v>0.55089999999999995</v>
      </c>
      <c r="E36">
        <f>ROUND('dat_file 1980'!E36/'dat_file 1980'!E$55,4)</f>
        <v>0.52790000000000004</v>
      </c>
      <c r="F36">
        <f>'dat_file 1980'!F36</f>
        <v>0.40329999999999999</v>
      </c>
      <c r="G36">
        <f>'dat_file 1980'!G36</f>
        <v>0.3674</v>
      </c>
      <c r="H36">
        <f>ROUND('dat_file 1980'!H36/'dat_file 1980'!H$55,4)</f>
        <v>0.63870000000000005</v>
      </c>
      <c r="I36">
        <f t="shared" si="0"/>
        <v>1.5656802880851728</v>
      </c>
    </row>
    <row r="37" spans="2:9">
      <c r="B37">
        <f>+Sheet3!A37</f>
        <v>1982</v>
      </c>
      <c r="C37">
        <f>ROUND('dat_file 1980'!C37/'dat_file 1980'!C$55,4)</f>
        <v>0.60650000000000004</v>
      </c>
      <c r="D37">
        <f>ROUND('dat_file 1980'!D37/'dat_file 1980'!D$55,4)</f>
        <v>0.58420000000000005</v>
      </c>
      <c r="E37">
        <f>ROUND('dat_file 1980'!E37/'dat_file 1980'!E$55,4)</f>
        <v>0.56040000000000001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1980'!H$55,4)</f>
        <v>0.67210000000000003</v>
      </c>
      <c r="I37">
        <f t="shared" si="0"/>
        <v>1.4878738282993602</v>
      </c>
    </row>
    <row r="38" spans="2:9">
      <c r="B38">
        <f>+Sheet3!A38</f>
        <v>1983</v>
      </c>
      <c r="C38">
        <f>ROUND('dat_file 1980'!C38/'dat_file 1980'!C$55,4)</f>
        <v>0.63229999999999997</v>
      </c>
      <c r="D38">
        <f>ROUND('dat_file 1980'!D38/'dat_file 1980'!D$55,4)</f>
        <v>0.60909999999999997</v>
      </c>
      <c r="E38">
        <f>ROUND('dat_file 1980'!E38/'dat_file 1980'!E$55,4)</f>
        <v>0.57840000000000003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1980'!H$55,4)</f>
        <v>0.69550000000000001</v>
      </c>
      <c r="I38">
        <f t="shared" si="0"/>
        <v>1.4378145219266714</v>
      </c>
    </row>
    <row r="39" spans="2:9">
      <c r="B39">
        <f>+Sheet3!A39</f>
        <v>1984</v>
      </c>
      <c r="C39">
        <f>ROUND('dat_file 1980'!C39/'dat_file 1980'!C$55,4)</f>
        <v>0.65620000000000001</v>
      </c>
      <c r="D39">
        <f>ROUND('dat_file 1980'!D39/'dat_file 1980'!D$55,4)</f>
        <v>0.63449999999999995</v>
      </c>
      <c r="E39">
        <f>ROUND('dat_file 1980'!E39/'dat_file 1980'!E$55,4)</f>
        <v>0.60340000000000005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1980'!H$55,4)</f>
        <v>0.71889999999999998</v>
      </c>
      <c r="I39">
        <f t="shared" si="0"/>
        <v>1.3910140492418974</v>
      </c>
    </row>
    <row r="40" spans="2:9">
      <c r="B40">
        <f>+Sheet3!A40</f>
        <v>1985</v>
      </c>
      <c r="C40">
        <f>ROUND('dat_file 1980'!C40/'dat_file 1980'!C$55,4)</f>
        <v>0.67910000000000004</v>
      </c>
      <c r="D40">
        <f>ROUND('dat_file 1980'!D40/'dat_file 1980'!D$55,4)</f>
        <v>0.65580000000000005</v>
      </c>
      <c r="E40">
        <f>ROUND('dat_file 1980'!E40/'dat_file 1980'!E$55,4)</f>
        <v>0.62480000000000002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1980'!H$55,4)</f>
        <v>0.73729999999999996</v>
      </c>
      <c r="I40">
        <f t="shared" si="0"/>
        <v>1.3563000135630001</v>
      </c>
    </row>
    <row r="41" spans="2:9">
      <c r="B41">
        <f>+Sheet3!A41</f>
        <v>1986</v>
      </c>
      <c r="C41">
        <f>ROUND('dat_file 1980'!C41/'dat_file 1980'!C$55,4)</f>
        <v>0.69379999999999997</v>
      </c>
      <c r="D41">
        <f>ROUND('dat_file 1980'!D41/'dat_file 1980'!D$55,4)</f>
        <v>0.66690000000000005</v>
      </c>
      <c r="E41">
        <f>ROUND('dat_file 1980'!E41/'dat_file 1980'!E$55,4)</f>
        <v>0.63649999999999995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1980'!H$55,4)</f>
        <v>0.74390000000000001</v>
      </c>
      <c r="I41">
        <f t="shared" si="0"/>
        <v>1.3442667025137787</v>
      </c>
    </row>
    <row r="42" spans="2:9">
      <c r="B42">
        <f>+Sheet3!A42</f>
        <v>1987</v>
      </c>
      <c r="C42">
        <f>ROUND('dat_file 1980'!C42/'dat_file 1980'!C$55,4)</f>
        <v>0.71519999999999995</v>
      </c>
      <c r="D42">
        <f>ROUND('dat_file 1980'!D42/'dat_file 1980'!D$55,4)</f>
        <v>0.6895</v>
      </c>
      <c r="E42">
        <f>ROUND('dat_file 1980'!E42/'dat_file 1980'!E$55,4)</f>
        <v>0.65969999999999995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1980'!H$55,4)</f>
        <v>0.7631</v>
      </c>
      <c r="I42">
        <f t="shared" si="0"/>
        <v>1.3104442405975625</v>
      </c>
    </row>
    <row r="43" spans="2:9">
      <c r="B43">
        <f>+Sheet3!A43</f>
        <v>1988</v>
      </c>
      <c r="C43">
        <f>ROUND('dat_file 1980'!C43/'dat_file 1980'!C$55,4)</f>
        <v>0.74319999999999997</v>
      </c>
      <c r="D43">
        <f>ROUND('dat_file 1980'!D43/'dat_file 1980'!D$55,4)</f>
        <v>0.71479999999999999</v>
      </c>
      <c r="E43">
        <f>ROUND('dat_file 1980'!E43/'dat_file 1980'!E$55,4)</f>
        <v>0.68700000000000006</v>
      </c>
      <c r="F43">
        <f>'dat_file 1980'!F43</f>
        <v>0.31080000000000002</v>
      </c>
      <c r="G43">
        <f>'dat_file 1980'!G43</f>
        <v>0.2823</v>
      </c>
      <c r="H43">
        <f>ROUND('dat_file 1980'!H43/'dat_file 1980'!H$55,4)</f>
        <v>0.78510000000000002</v>
      </c>
      <c r="I43">
        <f t="shared" si="0"/>
        <v>1.2737230925996688</v>
      </c>
    </row>
    <row r="44" spans="2:9">
      <c r="B44">
        <f>+Sheet3!A44</f>
        <v>1989</v>
      </c>
      <c r="C44">
        <f>ROUND('dat_file 1980'!C44/'dat_file 1980'!C$55,4)</f>
        <v>0.77569999999999995</v>
      </c>
      <c r="D44">
        <f>ROUND('dat_file 1980'!D44/'dat_file 1980'!D$55,4)</f>
        <v>0.74570000000000003</v>
      </c>
      <c r="E44">
        <f>ROUND('dat_file 1980'!E44/'dat_file 1980'!E$55,4)</f>
        <v>0.72009999999999996</v>
      </c>
      <c r="F44">
        <f>'dat_file 1980'!F44</f>
        <v>0.2979</v>
      </c>
      <c r="G44">
        <f>'dat_file 1980'!G44</f>
        <v>0.26939999999999997</v>
      </c>
      <c r="H44">
        <f>ROUND('dat_file 1980'!H44/'dat_file 1980'!H$55,4)</f>
        <v>0.81279999999999997</v>
      </c>
      <c r="I44">
        <f t="shared" si="0"/>
        <v>1.2303149606299213</v>
      </c>
    </row>
    <row r="45" spans="2:9">
      <c r="B45">
        <f>+Sheet3!A45</f>
        <v>1990</v>
      </c>
      <c r="C45">
        <f>ROUND('dat_file 1980'!C45/'dat_file 1980'!C$55,4)</f>
        <v>0.80969999999999998</v>
      </c>
      <c r="D45">
        <f>ROUND('dat_file 1980'!D45/'dat_file 1980'!D$55,4)</f>
        <v>0.78259999999999996</v>
      </c>
      <c r="E45">
        <f>ROUND('dat_file 1980'!E45/'dat_file 1980'!E$55,4)</f>
        <v>0.75900000000000001</v>
      </c>
      <c r="F45">
        <f>'dat_file 1980'!F45</f>
        <v>0.28389999999999999</v>
      </c>
      <c r="G45">
        <f>'dat_file 1980'!G45</f>
        <v>0.2555</v>
      </c>
      <c r="H45">
        <f>ROUND('dat_file 1980'!H45/'dat_file 1980'!H$55,4)</f>
        <v>0.84640000000000004</v>
      </c>
      <c r="I45">
        <f t="shared" si="0"/>
        <v>1.1814744801512287</v>
      </c>
    </row>
    <row r="46" spans="2:9">
      <c r="B46">
        <f>+Sheet3!A46</f>
        <v>1991</v>
      </c>
      <c r="C46">
        <f>ROUND('dat_file 1980'!C46/'dat_file 1980'!C$55,4)</f>
        <v>0.83679999999999999</v>
      </c>
      <c r="D46">
        <f>ROUND('dat_file 1980'!D46/'dat_file 1980'!D$55,4)</f>
        <v>0.81110000000000004</v>
      </c>
      <c r="E46">
        <f>ROUND('dat_file 1980'!E46/'dat_file 1980'!E$55,4)</f>
        <v>0.79090000000000005</v>
      </c>
      <c r="F46">
        <f>'dat_file 1980'!F46</f>
        <v>0.27389999999999998</v>
      </c>
      <c r="G46">
        <f>'dat_file 1980'!G46</f>
        <v>0.2452</v>
      </c>
      <c r="H46">
        <f>ROUND('dat_file 1980'!H46/'dat_file 1980'!H$55,4)</f>
        <v>0.87039999999999995</v>
      </c>
      <c r="I46">
        <f t="shared" si="0"/>
        <v>1.1488970588235294</v>
      </c>
    </row>
    <row r="47" spans="2:9">
      <c r="B47">
        <f>+Sheet3!A47</f>
        <v>1992</v>
      </c>
      <c r="C47">
        <f>ROUND('dat_file 1980'!C47/'dat_file 1980'!C$55,4)</f>
        <v>0.85909999999999997</v>
      </c>
      <c r="D47">
        <f>ROUND('dat_file 1980'!D47/'dat_file 1980'!D$55,4)</f>
        <v>0.83130000000000004</v>
      </c>
      <c r="E47">
        <f>ROUND('dat_file 1980'!E47/'dat_file 1980'!E$55,4)</f>
        <v>0.81479999999999997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1980'!H$55,4)</f>
        <v>0.8851</v>
      </c>
      <c r="I47">
        <f t="shared" si="0"/>
        <v>1.1298158400180771</v>
      </c>
    </row>
    <row r="48" spans="2:9">
      <c r="B48">
        <f>+Sheet3!A48</f>
        <v>1993</v>
      </c>
      <c r="C48">
        <f>ROUND('dat_file 1980'!C48/'dat_file 1980'!C$55,4)</f>
        <v>0.88049999999999995</v>
      </c>
      <c r="D48">
        <f>ROUND('dat_file 1980'!D48/'dat_file 1980'!D$55,4)</f>
        <v>0.85229999999999995</v>
      </c>
      <c r="E48">
        <f>ROUND('dat_file 1980'!E48/'dat_file 1980'!E$55,4)</f>
        <v>0.83909999999999996</v>
      </c>
      <c r="F48">
        <f>'dat_file 1980'!F48</f>
        <v>0.26069999999999999</v>
      </c>
      <c r="G48">
        <f>'dat_file 1980'!G48</f>
        <v>0.2311</v>
      </c>
      <c r="H48">
        <f>ROUND('dat_file 1980'!H48/'dat_file 1980'!H$55,4)</f>
        <v>0.90039999999999998</v>
      </c>
      <c r="I48">
        <f t="shared" si="0"/>
        <v>1.1106175033318526</v>
      </c>
    </row>
    <row r="49" spans="2:9">
      <c r="B49">
        <f>+Sheet3!A49</f>
        <v>1994</v>
      </c>
      <c r="C49">
        <f>ROUND('dat_file 1980'!C49/'dat_file 1980'!C$55,4)</f>
        <v>0.89890000000000003</v>
      </c>
      <c r="D49">
        <f>ROUND('dat_file 1980'!D49/'dat_file 1980'!D$55,4)</f>
        <v>0.87009999999999998</v>
      </c>
      <c r="E49">
        <f>ROUND('dat_file 1980'!E49/'dat_file 1980'!E$55,4)</f>
        <v>0.86060000000000003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1980'!H$55,4)</f>
        <v>0.91210000000000002</v>
      </c>
      <c r="I49">
        <f t="shared" si="0"/>
        <v>1.096371011950444</v>
      </c>
    </row>
    <row r="50" spans="2:9">
      <c r="B50">
        <f>+Sheet3!A50</f>
        <v>1995</v>
      </c>
      <c r="C50">
        <f>ROUND('dat_file 1980'!C50/'dat_file 1980'!C$55,4)</f>
        <v>0.91779999999999995</v>
      </c>
      <c r="D50">
        <f>ROUND('dat_file 1980'!D50/'dat_file 1980'!D$55,4)</f>
        <v>0.8911</v>
      </c>
      <c r="E50">
        <f>ROUND('dat_file 1980'!E50/'dat_file 1980'!E$55,4)</f>
        <v>0.88500000000000001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1980'!H$55,4)</f>
        <v>0.92669999999999997</v>
      </c>
      <c r="I50">
        <f t="shared" si="0"/>
        <v>1.0790978741771879</v>
      </c>
    </row>
    <row r="51" spans="2:9">
      <c r="B51">
        <f>+Sheet3!A51</f>
        <v>1996</v>
      </c>
      <c r="C51">
        <f>ROUND('dat_file 1980'!C51/'dat_file 1980'!C$55,4)</f>
        <v>0.93740000000000001</v>
      </c>
      <c r="D51">
        <f>ROUND('dat_file 1980'!D51/'dat_file 1980'!D$55,4)</f>
        <v>0.91490000000000005</v>
      </c>
      <c r="E51">
        <f>ROUND('dat_file 1980'!E51/'dat_file 1980'!E$55,4)</f>
        <v>0.91110000000000002</v>
      </c>
      <c r="F51">
        <f>'dat_file 1980'!F51</f>
        <v>0.2429</v>
      </c>
      <c r="G51">
        <f>'dat_file 1980'!G51</f>
        <v>0.21290000000000001</v>
      </c>
      <c r="H51">
        <f>ROUND('dat_file 1980'!H51/'dat_file 1980'!H$55,4)</f>
        <v>0.94399999999999995</v>
      </c>
      <c r="I51">
        <f t="shared" si="0"/>
        <v>1.0593220338983051</v>
      </c>
    </row>
    <row r="52" spans="2:9">
      <c r="B52">
        <f>+Sheet3!A52</f>
        <v>1997</v>
      </c>
      <c r="C52">
        <f>ROUND('dat_file 1980'!C52/'dat_file 1980'!C$55,4)</f>
        <v>0.95369999999999999</v>
      </c>
      <c r="D52">
        <f>ROUND('dat_file 1980'!D52/'dat_file 1980'!D$55,4)</f>
        <v>0.93469999999999998</v>
      </c>
      <c r="E52">
        <f>ROUND('dat_file 1980'!E52/'dat_file 1980'!E$55,4)</f>
        <v>0.93210000000000004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1980'!H$55,4)</f>
        <v>0.95689999999999997</v>
      </c>
      <c r="I52">
        <f t="shared" si="0"/>
        <v>1.0450412791305257</v>
      </c>
    </row>
    <row r="53" spans="2:9">
      <c r="B53">
        <f>+Sheet3!A53</f>
        <v>1998</v>
      </c>
      <c r="C53">
        <f>ROUND('dat_file 1980'!C53/'dat_file 1980'!C$55,4)</f>
        <v>0.96130000000000004</v>
      </c>
      <c r="D53">
        <f>ROUND('dat_file 1980'!D53/'dat_file 1980'!D$55,4)</f>
        <v>0.94730000000000003</v>
      </c>
      <c r="E53">
        <f>ROUND('dat_file 1980'!E53/'dat_file 1980'!E$55,4)</f>
        <v>0.9466</v>
      </c>
      <c r="F53">
        <f>'dat_file 1980'!F53</f>
        <v>0.23449999999999999</v>
      </c>
      <c r="G53">
        <f>'dat_file 1980'!G53</f>
        <v>0.2049</v>
      </c>
      <c r="H53">
        <f>ROUND('dat_file 1980'!H53/'dat_file 1980'!H$55,4)</f>
        <v>0.96230000000000004</v>
      </c>
      <c r="I53">
        <f t="shared" si="0"/>
        <v>1.0391769718383039</v>
      </c>
    </row>
    <row r="54" spans="2:9">
      <c r="B54">
        <f>+Sheet3!A54</f>
        <v>1999</v>
      </c>
      <c r="C54">
        <f>ROUND('dat_file 1980'!C54/'dat_file 1980'!C$55,4)</f>
        <v>0.97529999999999994</v>
      </c>
      <c r="D54">
        <f>ROUND('dat_file 1980'!D54/'dat_file 1980'!D$55,4)</f>
        <v>0.96709999999999996</v>
      </c>
      <c r="E54">
        <f>ROUND('dat_file 1980'!E54/'dat_file 1980'!E$55,4)</f>
        <v>0.96750000000000003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1980'!H$55,4)</f>
        <v>0.97470000000000001</v>
      </c>
      <c r="I54">
        <f t="shared" si="0"/>
        <v>1.0259567046270648</v>
      </c>
    </row>
    <row r="55" spans="2:9">
      <c r="B55">
        <f>+Sheet3!A55</f>
        <v>2000</v>
      </c>
      <c r="C55">
        <f>ROUND('dat_file 1980'!C55/'dat_file 1980'!C$55,4)</f>
        <v>1</v>
      </c>
      <c r="D55">
        <f>ROUND('dat_file 1980'!D55/'dat_file 1980'!D$55,4)</f>
        <v>1</v>
      </c>
      <c r="E55">
        <f>ROUND('dat_file 1980'!E55/'dat_file 1980'!E$55,4)</f>
        <v>1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1980'!H$55,4)</f>
        <v>1</v>
      </c>
      <c r="I55">
        <f t="shared" si="0"/>
        <v>1</v>
      </c>
    </row>
    <row r="56" spans="2:9">
      <c r="B56">
        <f>+Sheet3!A56</f>
        <v>2001</v>
      </c>
      <c r="C56">
        <f>ROUND('dat_file 1980'!C56/'dat_file 1980'!C$55,4)</f>
        <v>1.02</v>
      </c>
      <c r="D56">
        <f>ROUND('dat_file 1980'!D56/'dat_file 1980'!D$55,4)</f>
        <v>1.0285</v>
      </c>
      <c r="E56">
        <f>ROUND('dat_file 1980'!E56/'dat_file 1980'!E$55,4)</f>
        <v>1.0285</v>
      </c>
      <c r="F56">
        <f>'dat_file 1980'!F56</f>
        <v>0.216</v>
      </c>
      <c r="G56">
        <f>'dat_file 1980'!G56</f>
        <v>0.18859999999999999</v>
      </c>
      <c r="H56">
        <f>ROUND('dat_file 1980'!H56/'dat_file 1980'!H$55,4)</f>
        <v>1.0205</v>
      </c>
      <c r="I56">
        <f t="shared" si="0"/>
        <v>0.97991180793728572</v>
      </c>
    </row>
    <row r="57" spans="2:9">
      <c r="B57">
        <f>+Sheet3!A57</f>
        <v>2002</v>
      </c>
      <c r="C57">
        <f>ROUND('dat_file 1980'!C57/'dat_file 1980'!C$55,4)</f>
        <v>1.0334000000000001</v>
      </c>
      <c r="D57">
        <f>ROUND('dat_file 1980'!D57/'dat_file 1980'!D$55,4)</f>
        <v>1.0447</v>
      </c>
      <c r="E57">
        <f>ROUND('dat_file 1980'!E57/'dat_file 1980'!E$55,4)</f>
        <v>1.0447</v>
      </c>
      <c r="F57">
        <f>'dat_file 1980'!F57</f>
        <v>0.2127</v>
      </c>
      <c r="G57">
        <f>'dat_file 1980'!G57</f>
        <v>0.1857</v>
      </c>
      <c r="H57">
        <f>ROUND('dat_file 1980'!H57/'dat_file 1980'!H$55,4)</f>
        <v>1.0285</v>
      </c>
      <c r="I57">
        <f t="shared" si="0"/>
        <v>0.9722897423432183</v>
      </c>
    </row>
    <row r="58" spans="2:9">
      <c r="B58">
        <f>+Sheet3!A58</f>
        <v>2003</v>
      </c>
      <c r="C58">
        <f>ROUND('dat_file 1980'!C58/'dat_file 1980'!C$55,4)</f>
        <v>1.0550999999999999</v>
      </c>
      <c r="D58">
        <f>ROUND('dat_file 1980'!D58/'dat_file 1980'!D$55,4)</f>
        <v>1.0685</v>
      </c>
      <c r="E58">
        <f>ROUND('dat_file 1980'!E58/'dat_file 1980'!E$55,4)</f>
        <v>1.0685</v>
      </c>
      <c r="F58">
        <f>'dat_file 1980'!F58</f>
        <v>0.2079</v>
      </c>
      <c r="G58">
        <f>'dat_file 1980'!G58</f>
        <v>0.18149999999999999</v>
      </c>
      <c r="H58">
        <f>ROUND('dat_file 1980'!H58/'dat_file 1980'!H$55,4)</f>
        <v>1.0436000000000001</v>
      </c>
      <c r="I58">
        <f t="shared" si="0"/>
        <v>0.95822154082023758</v>
      </c>
    </row>
    <row r="59" spans="2:9">
      <c r="B59">
        <f>+Sheet3!A59</f>
        <v>2004</v>
      </c>
      <c r="C59">
        <f>ROUND('dat_file 1980'!C59/'dat_file 1980'!C$55,4)</f>
        <v>1.0812999999999999</v>
      </c>
      <c r="D59">
        <f>ROUND('dat_file 1980'!D59/'dat_file 1980'!D$55,4)</f>
        <v>1.0971</v>
      </c>
      <c r="E59">
        <f>ROUND('dat_file 1980'!E59/'dat_file 1980'!E$55,4)</f>
        <v>1.097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1980'!H$55,4)</f>
        <v>1.0630999999999999</v>
      </c>
      <c r="I59">
        <f t="shared" si="0"/>
        <v>0.94064528266390746</v>
      </c>
    </row>
    <row r="60" spans="2:9">
      <c r="B60">
        <f>+Sheet3!A60</f>
        <v>2005</v>
      </c>
      <c r="C60">
        <f>ROUND('dat_file 1980'!C60/'dat_file 1980'!C$55,4)</f>
        <v>1.1125</v>
      </c>
      <c r="D60">
        <f>ROUND('dat_file 1980'!D60/'dat_file 1980'!D$55,4)</f>
        <v>1.1342000000000001</v>
      </c>
      <c r="E60">
        <f>ROUND('dat_file 1980'!E60/'dat_file 1980'!E$55,4)</f>
        <v>1.1341000000000001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1980'!H$55,4)</f>
        <v>1.0907</v>
      </c>
      <c r="I60">
        <f t="shared" si="0"/>
        <v>0.9168423947923352</v>
      </c>
    </row>
    <row r="61" spans="2:9">
      <c r="B61">
        <f>+Sheet3!A61</f>
        <v>2006</v>
      </c>
      <c r="C61">
        <f>ROUND('dat_file 1980'!C61/'dat_file 1980'!C$55,4)</f>
        <v>1.1437999999999999</v>
      </c>
      <c r="D61">
        <f>ROUND('dat_file 1980'!D61/'dat_file 1980'!D$55,4)</f>
        <v>1.1711</v>
      </c>
      <c r="E61">
        <f>ROUND('dat_file 1980'!E61/'dat_file 1980'!E$55,4)</f>
        <v>1.1707000000000001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1980'!H$55,4)</f>
        <v>1.1173999999999999</v>
      </c>
      <c r="I61">
        <f t="shared" si="0"/>
        <v>0.89493466976910685</v>
      </c>
    </row>
    <row r="62" spans="2:9">
      <c r="B62">
        <f>+Sheet3!A62</f>
        <v>2007</v>
      </c>
      <c r="C62">
        <f>ROUND('dat_file 1980'!C62/'dat_file 1980'!C$55,4)</f>
        <v>1.1731</v>
      </c>
      <c r="D62">
        <f>ROUND('dat_file 1980'!D62/'dat_file 1980'!D$55,4)</f>
        <v>1.2043999999999999</v>
      </c>
      <c r="E62">
        <f>ROUND('dat_file 1980'!E62/'dat_file 1980'!E$55,4)</f>
        <v>1.2040999999999999</v>
      </c>
      <c r="F62">
        <f>'dat_file 1980'!F62</f>
        <v>0.1845</v>
      </c>
      <c r="G62">
        <f>'dat_file 1980'!G62</f>
        <v>0.16109999999999999</v>
      </c>
      <c r="H62">
        <f>ROUND('dat_file 1980'!H62/'dat_file 1980'!H$55,4)</f>
        <v>1.1402000000000001</v>
      </c>
      <c r="I62">
        <f t="shared" si="0"/>
        <v>0.87703911594457107</v>
      </c>
    </row>
    <row r="63" spans="2:9">
      <c r="B63">
        <f>+Sheet3!A63</f>
        <v>2008</v>
      </c>
      <c r="C63">
        <f>ROUND('dat_file 1980'!C63/'dat_file 1980'!C$55,4)</f>
        <v>1.2079</v>
      </c>
      <c r="D63">
        <f>ROUND('dat_file 1980'!D63/'dat_file 1980'!D$55,4)</f>
        <v>1.2506999999999999</v>
      </c>
      <c r="E63">
        <f>ROUND('dat_file 1980'!E63/'dat_file 1980'!E$55,4)</f>
        <v>1.2503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1980'!H$55,4)</f>
        <v>1.175</v>
      </c>
      <c r="I63">
        <f t="shared" si="0"/>
        <v>0.85106382978723405</v>
      </c>
    </row>
    <row r="64" spans="2:9">
      <c r="B64">
        <f>+Sheet3!A64</f>
        <v>2009</v>
      </c>
      <c r="C64">
        <f>ROUND('dat_file 1980'!C64/'dat_file 1980'!C$55,4)</f>
        <v>1.2044999999999999</v>
      </c>
      <c r="D64">
        <f>ROUND('dat_file 1980'!D64/'dat_file 1980'!D$55,4)</f>
        <v>1.2464</v>
      </c>
      <c r="E64">
        <f>ROUND('dat_file 1980'!E64/'dat_file 1980'!E$55,4)</f>
        <v>1.2459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1980'!H$55,4)</f>
        <v>1.1614</v>
      </c>
      <c r="I64">
        <f t="shared" si="0"/>
        <v>0.86102979163079041</v>
      </c>
    </row>
    <row r="65" spans="2:9">
      <c r="B65">
        <f>+Sheet3!A65</f>
        <v>2010</v>
      </c>
      <c r="C65">
        <f>ROUND('dat_file 1980'!C65/'dat_file 1980'!C$55,4)</f>
        <v>1.2261</v>
      </c>
      <c r="D65">
        <f>ROUND('dat_file 1980'!D65/'dat_file 1980'!D$55,4)</f>
        <v>1.2665</v>
      </c>
      <c r="E65">
        <f>ROUND('dat_file 1980'!E65/'dat_file 1980'!E$55,4)</f>
        <v>1.2663</v>
      </c>
      <c r="F65">
        <f>'dat_file 1980'!F65</f>
        <v>0.1754</v>
      </c>
      <c r="G65">
        <f>'dat_file 1980'!G65</f>
        <v>0.1532</v>
      </c>
      <c r="H65">
        <f>ROUND('dat_file 1980'!H65/'dat_file 1980'!H$55,4)</f>
        <v>1.171</v>
      </c>
      <c r="I65">
        <f t="shared" si="0"/>
        <v>0.85397096498719038</v>
      </c>
    </row>
    <row r="66" spans="2:9">
      <c r="B66">
        <f>+Sheet3!A66</f>
        <v>2011</v>
      </c>
      <c r="C66">
        <f>ROUND('dat_file 1980'!C66/'dat_file 1980'!C$55,4)</f>
        <v>1.2571000000000001</v>
      </c>
      <c r="D66">
        <f>ROUND('dat_file 1980'!D66/'dat_file 1980'!D$55,4)</f>
        <v>1.3069999999999999</v>
      </c>
      <c r="E66">
        <f>ROUND('dat_file 1980'!E66/'dat_file 1980'!E$55,4)</f>
        <v>1.3062</v>
      </c>
      <c r="F66">
        <f>'dat_file 1980'!F66</f>
        <v>0.17</v>
      </c>
      <c r="G66">
        <f>'dat_file 1980'!G66</f>
        <v>0.14849999999999999</v>
      </c>
      <c r="H66">
        <f>ROUND('dat_file 1980'!H66/'dat_file 1980'!H$55,4)</f>
        <v>1.1989000000000001</v>
      </c>
      <c r="I66">
        <f t="shared" si="0"/>
        <v>0.83409792309617148</v>
      </c>
    </row>
    <row r="67" spans="2:9">
      <c r="B67">
        <f>+Sheet3!A67</f>
        <v>2012</v>
      </c>
      <c r="C67">
        <f>ROUND('dat_file 1980'!C67/'dat_file 1980'!C$55,4)</f>
        <v>1.2805</v>
      </c>
      <c r="D67">
        <f>ROUND('dat_file 1980'!D67/'dat_file 1980'!D$55,4)</f>
        <v>1.3343</v>
      </c>
      <c r="E67">
        <f>ROUND('dat_file 1980'!E67/'dat_file 1980'!E$55,4)</f>
        <v>1.3332999999999999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1980'!H$55,4)</f>
        <v>1.2144999999999999</v>
      </c>
      <c r="I67">
        <f t="shared" ref="I67:I72" si="1">1/H67</f>
        <v>0.82338410868670242</v>
      </c>
    </row>
    <row r="68" spans="2:9">
      <c r="B68">
        <f>+Sheet3!A68</f>
        <v>2013</v>
      </c>
      <c r="C68">
        <f>ROUND('dat_file 1980'!C68/'dat_file 1980'!C$55,4)</f>
        <v>1.2979000000000001</v>
      </c>
      <c r="D68">
        <f>ROUND('dat_file 1980'!D68/'dat_file 1980'!D$55,4)</f>
        <v>1.3545</v>
      </c>
      <c r="E68">
        <f>ROUND('dat_file 1980'!E68/'dat_file 1980'!E$55,4)</f>
        <v>1.3528</v>
      </c>
      <c r="F68">
        <f>'dat_file 1980'!F68</f>
        <v>0.16400000000000001</v>
      </c>
      <c r="G68">
        <f>'dat_file 1980'!G68</f>
        <v>0.1434</v>
      </c>
      <c r="H68">
        <f>ROUND('dat_file 1980'!H68/'dat_file 1980'!H$55,4)</f>
        <v>1.2231000000000001</v>
      </c>
      <c r="I68">
        <f t="shared" si="1"/>
        <v>0.81759463657918396</v>
      </c>
    </row>
    <row r="69" spans="2:9">
      <c r="B69">
        <f>+Sheet3!A69</f>
        <v>2014</v>
      </c>
      <c r="C69">
        <f>ROUND('dat_file 1980'!C69/'dat_file 1980'!C$55,4)</f>
        <v>1.3174999999999999</v>
      </c>
      <c r="D69">
        <f>ROUND('dat_file 1980'!D69/'dat_file 1980'!D$55,4)</f>
        <v>1.377</v>
      </c>
      <c r="E69">
        <f>ROUND('dat_file 1980'!E69/'dat_file 1980'!E$55,4)</f>
        <v>1.3748</v>
      </c>
      <c r="F69">
        <f>'dat_file 1980'!F69</f>
        <v>0.1613</v>
      </c>
      <c r="G69">
        <f>'dat_file 1980'!G69</f>
        <v>0.1411</v>
      </c>
      <c r="H69">
        <f>ROUND('dat_file 1980'!H69/'dat_file 1980'!H$55,4)</f>
        <v>1.2337</v>
      </c>
      <c r="I69">
        <f t="shared" si="1"/>
        <v>0.81056983059090537</v>
      </c>
    </row>
    <row r="70" spans="2:9">
      <c r="B70">
        <f>+Sheet3!A70</f>
        <v>2015</v>
      </c>
      <c r="C70">
        <f>ROUND('dat_file 1980'!C70/'dat_file 1980'!C$55,4)</f>
        <v>1.3204</v>
      </c>
      <c r="D70">
        <f>ROUND('dat_file 1980'!D70/'dat_file 1980'!D$55,4)</f>
        <v>1.3794</v>
      </c>
      <c r="E70">
        <f>ROUND('dat_file 1980'!E70/'dat_file 1980'!E$55,4)</f>
        <v>1.3764000000000001</v>
      </c>
      <c r="F70">
        <f>'dat_file 1980'!F70</f>
        <v>0.16109999999999999</v>
      </c>
      <c r="G70">
        <f>'dat_file 1980'!G70</f>
        <v>0.1409</v>
      </c>
      <c r="H70">
        <f>ROUND('dat_file 1980'!H70/'dat_file 1980'!H$55,4)</f>
        <v>1.226</v>
      </c>
      <c r="I70">
        <f t="shared" si="1"/>
        <v>0.81566068515497558</v>
      </c>
    </row>
    <row r="71" spans="2:9">
      <c r="B71">
        <f>+Sheet3!A71</f>
        <v>2016</v>
      </c>
      <c r="C71">
        <f>ROUND('dat_file 1980'!C71/'dat_file 1980'!C$55,4)</f>
        <v>1.3335999999999999</v>
      </c>
      <c r="D71">
        <f>ROUND('dat_file 1980'!D71/'dat_file 1980'!D$55,4)</f>
        <v>1.3973</v>
      </c>
      <c r="E71">
        <f>ROUND('dat_file 1980'!E71/'dat_file 1980'!E$55,4)</f>
        <v>1.3937999999999999</v>
      </c>
      <c r="F71">
        <f>'dat_file 1980'!F71</f>
        <v>0.159</v>
      </c>
      <c r="G71">
        <f>'dat_file 1980'!G71</f>
        <v>0.13919999999999999</v>
      </c>
      <c r="H71">
        <f>ROUND('dat_file 1980'!H71/'dat_file 1980'!H$55,4)</f>
        <v>1.232</v>
      </c>
      <c r="I71">
        <f t="shared" si="1"/>
        <v>0.81168831168831168</v>
      </c>
    </row>
    <row r="72" spans="2:9">
      <c r="B72">
        <f>+Sheet3!A72</f>
        <v>2017</v>
      </c>
      <c r="C72">
        <f>ROUND('dat_file 1980'!C72/'dat_file 1980'!C$55,4)</f>
        <v>1.3581000000000001</v>
      </c>
      <c r="D72">
        <f>ROUND('dat_file 1980'!D72/'dat_file 1980'!D$55,4)</f>
        <v>1.427</v>
      </c>
      <c r="E72">
        <f>ROUND('dat_file 1980'!E72/'dat_file 1980'!E$55,4)</f>
        <v>1.4235</v>
      </c>
      <c r="F72">
        <f>'dat_file 1980'!F72</f>
        <v>0.15570000000000001</v>
      </c>
      <c r="G72">
        <f>'dat_file 1980'!G72</f>
        <v>0.1363</v>
      </c>
      <c r="H72">
        <f>ROUND('dat_file 1980'!H72/'dat_file 1980'!H$55,4)</f>
        <v>1.2483</v>
      </c>
      <c r="I72">
        <f t="shared" si="1"/>
        <v>0.80108948169510541</v>
      </c>
    </row>
    <row r="73" spans="2:9">
      <c r="B73">
        <f>+Sheet3!A73</f>
        <v>2018</v>
      </c>
      <c r="C73">
        <f>ROUND('dat_file 1980'!C73/'dat_file 1980'!C$55,4)</f>
        <v>1.387</v>
      </c>
      <c r="D73">
        <f>ROUND('dat_file 1980'!D73/'dat_file 1980'!D$55,4)</f>
        <v>1.4618</v>
      </c>
      <c r="E73">
        <f>ROUND('dat_file 1980'!E73/'dat_file 1980'!E$55,4)</f>
        <v>1.4581999999999999</v>
      </c>
      <c r="F73">
        <f>'dat_file 1980'!F73</f>
        <v>0.152</v>
      </c>
      <c r="G73">
        <f>'dat_file 1980'!G73</f>
        <v>0.13300000000000001</v>
      </c>
      <c r="H73">
        <f>ROUND('dat_file 1980'!H73/'dat_file 1980'!H$55,4)</f>
        <v>1.2687999999999999</v>
      </c>
      <c r="I73">
        <f t="shared" ref="I73" si="2">1/H73</f>
        <v>0.78814627994955866</v>
      </c>
    </row>
    <row r="74" spans="2:9">
      <c r="B74">
        <f>+Sheet3!A74</f>
        <v>2019</v>
      </c>
      <c r="C74">
        <f>ROUND('dat_file 1980'!C74/'dat_file 1980'!C$55,4)</f>
        <v>1.4077</v>
      </c>
      <c r="D74">
        <f>ROUND('dat_file 1980'!D74/'dat_file 1980'!D$55,4)</f>
        <v>1.4883</v>
      </c>
      <c r="E74">
        <f>ROUND('dat_file 1980'!E74/'dat_file 1980'!E$55,4)</f>
        <v>1.4845999999999999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1980'!H$55,4)</f>
        <v>1.2817000000000001</v>
      </c>
      <c r="I74">
        <f t="shared" ref="I74:I75" si="3">1/H74</f>
        <v>0.78021377857532959</v>
      </c>
    </row>
    <row r="75" spans="2:9">
      <c r="B75">
        <f>+Sheet3!A75</f>
        <v>2020</v>
      </c>
      <c r="C75">
        <f>ROUND('dat_file 1980'!C75/'dat_file 1980'!C$55,4)</f>
        <v>1.4232</v>
      </c>
      <c r="D75">
        <f>ROUND('dat_file 1980'!D75/'dat_file 1980'!D$55,4)</f>
        <v>1.5082</v>
      </c>
      <c r="E75">
        <f>ROUND('dat_file 1980'!E75/'dat_file 1980'!E$55,4)</f>
        <v>1.5029999999999999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1980'!H$55,4)</f>
        <v>1.2885</v>
      </c>
      <c r="I75">
        <f t="shared" si="3"/>
        <v>0.77609623593325572</v>
      </c>
    </row>
    <row r="76" spans="2:9">
      <c r="B76">
        <f>+Sheet3!A76</f>
        <v>2021</v>
      </c>
      <c r="C76">
        <f>ROUND('dat_file 1980'!C76/'dat_file 1980'!C$55,4)</f>
        <v>1.4805999999999999</v>
      </c>
      <c r="D76">
        <f>ROUND('dat_file 1980'!D76/'dat_file 1980'!D$55,4)</f>
        <v>1.581</v>
      </c>
      <c r="E76">
        <f>ROUND('dat_file 1980'!E76/'dat_file 1980'!E$55,4)</f>
        <v>1.5736000000000001</v>
      </c>
      <c r="F76">
        <f>'dat_file 1980'!F76</f>
        <v>0.14050000000000001</v>
      </c>
      <c r="G76">
        <f>'dat_file 1980'!G76</f>
        <v>0.12330000000000001</v>
      </c>
      <c r="H76">
        <f>ROUND('dat_file 1980'!H76/'dat_file 1980'!H$55,4)</f>
        <v>1.3404</v>
      </c>
      <c r="I76">
        <f t="shared" ref="I76" si="4">1/H76</f>
        <v>0.74604595643091609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00F-92F3-4990-BC63-0C983989B10F}">
  <dimension ref="B1:I76"/>
  <sheetViews>
    <sheetView topLeftCell="A61" workbookViewId="0">
      <selection activeCell="B75" sqref="B75:H76"/>
    </sheetView>
  </sheetViews>
  <sheetFormatPr defaultColWidth="9.28515625" defaultRowHeight="12.75"/>
  <sheetData>
    <row r="1" spans="2:9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s="31"/>
    </row>
    <row r="2" spans="2:9">
      <c r="B2">
        <f>+Sheet3!A2</f>
        <v>1947</v>
      </c>
      <c r="C2">
        <f>ROUND('dat_file 1980'!C2/'dat_file 1980'!C$67,4)</f>
        <v>0.1249</v>
      </c>
      <c r="D2">
        <f>ROUND('dat_file 1980'!D2/'dat_file 1980'!D$67,4)</f>
        <v>0.1113</v>
      </c>
      <c r="E2">
        <f>ROUND('dat_file 1980'!E2/'dat_file 1980'!E$67,4)</f>
        <v>9.7100000000000006E-2</v>
      </c>
      <c r="F2">
        <f>'dat_file 1980'!F2</f>
        <v>1.496</v>
      </c>
      <c r="G2">
        <f>'dat_file 1980'!G2</f>
        <v>1.4978</v>
      </c>
      <c r="H2">
        <f>ROUND('dat_file 1980'!H2/'dat_file 1980'!H$67,4)</f>
        <v>0.2014</v>
      </c>
    </row>
    <row r="3" spans="2:9">
      <c r="B3">
        <f>+Sheet3!A3</f>
        <v>1948</v>
      </c>
      <c r="C3">
        <f>ROUND('dat_file 1980'!C3/'dat_file 1980'!C$67,4)</f>
        <v>0.13200000000000001</v>
      </c>
      <c r="D3">
        <f>ROUND('dat_file 1980'!D3/'dat_file 1980'!D$67,4)</f>
        <v>0.1202</v>
      </c>
      <c r="E3">
        <f>ROUND('dat_file 1980'!E3/'dat_file 1980'!E$67,4)</f>
        <v>0.105</v>
      </c>
      <c r="F3">
        <f>'dat_file 1980'!F3</f>
        <v>1.3852</v>
      </c>
      <c r="G3">
        <f>'dat_file 1980'!G3</f>
        <v>1.3858999999999999</v>
      </c>
      <c r="H3">
        <f>ROUND('dat_file 1980'!H3/'dat_file 1980'!H$67,4)</f>
        <v>0.21529999999999999</v>
      </c>
    </row>
    <row r="4" spans="2:9">
      <c r="B4">
        <f>+Sheet3!A4</f>
        <v>1949</v>
      </c>
      <c r="C4">
        <f>ROUND('dat_file 1980'!C4/'dat_file 1980'!C$67,4)</f>
        <v>0.13100000000000001</v>
      </c>
      <c r="D4">
        <f>ROUND('dat_file 1980'!D4/'dat_file 1980'!D$67,4)</f>
        <v>0.1187</v>
      </c>
      <c r="E4">
        <f>ROUND('dat_file 1980'!E4/'dat_file 1980'!E$67,4)</f>
        <v>0.1037</v>
      </c>
      <c r="F4">
        <f>'dat_file 1980'!F4</f>
        <v>1.4025000000000001</v>
      </c>
      <c r="G4">
        <f>'dat_file 1980'!G4</f>
        <v>1.4034</v>
      </c>
      <c r="H4">
        <f>ROUND('dat_file 1980'!H4/'dat_file 1980'!H$67,4)</f>
        <v>0.2102</v>
      </c>
    </row>
    <row r="5" spans="2:9">
      <c r="B5">
        <f>+Sheet3!A5</f>
        <v>1950</v>
      </c>
      <c r="C5">
        <f>ROUND('dat_file 1980'!C5/'dat_file 1980'!C$67,4)</f>
        <v>0.13250000000000001</v>
      </c>
      <c r="D5">
        <f>ROUND('dat_file 1980'!D5/'dat_file 1980'!D$67,4)</f>
        <v>0.1202</v>
      </c>
      <c r="E5">
        <f>ROUND('dat_file 1980'!E5/'dat_file 1980'!E$67,4)</f>
        <v>0.105</v>
      </c>
      <c r="F5">
        <f>'dat_file 1980'!F5</f>
        <v>1.3852</v>
      </c>
      <c r="G5">
        <f>'dat_file 1980'!G5</f>
        <v>1.3858999999999999</v>
      </c>
      <c r="H5">
        <f>ROUND('dat_file 1980'!H5/'dat_file 1980'!H$67,4)</f>
        <v>0.21060000000000001</v>
      </c>
    </row>
    <row r="6" spans="2:9">
      <c r="B6">
        <f>+Sheet3!A6</f>
        <v>1951</v>
      </c>
      <c r="C6">
        <f>ROUND('dat_file 1980'!C6/'dat_file 1980'!C$67,4)</f>
        <v>0.14149999999999999</v>
      </c>
      <c r="D6">
        <f>ROUND('dat_file 1980'!D6/'dat_file 1980'!D$67,4)</f>
        <v>0.12970000000000001</v>
      </c>
      <c r="E6">
        <f>ROUND('dat_file 1980'!E6/'dat_file 1980'!E$67,4)</f>
        <v>0.1132</v>
      </c>
      <c r="F6">
        <f>'dat_file 1980'!F6</f>
        <v>1.2838000000000001</v>
      </c>
      <c r="G6">
        <f>'dat_file 1980'!G6</f>
        <v>1.2846</v>
      </c>
      <c r="H6">
        <f>ROUND('dat_file 1980'!H6/'dat_file 1980'!H$67,4)</f>
        <v>0.22489999999999999</v>
      </c>
    </row>
    <row r="7" spans="2:9">
      <c r="B7">
        <f>+Sheet3!A7</f>
        <v>1952</v>
      </c>
      <c r="C7">
        <f>ROUND('dat_file 1980'!C7/'dat_file 1980'!C$67,4)</f>
        <v>0.14449999999999999</v>
      </c>
      <c r="D7">
        <f>ROUND('dat_file 1980'!D7/'dat_file 1980'!D$67,4)</f>
        <v>0.1321</v>
      </c>
      <c r="E7">
        <f>ROUND('dat_file 1980'!E7/'dat_file 1980'!E$67,4)</f>
        <v>0.1154</v>
      </c>
      <c r="F7">
        <f>'dat_file 1980'!F7</f>
        <v>1.2606999999999999</v>
      </c>
      <c r="G7">
        <f>'dat_file 1980'!G7</f>
        <v>1.2604</v>
      </c>
      <c r="H7">
        <f>ROUND('dat_file 1980'!H7/'dat_file 1980'!H$67,4)</f>
        <v>0.22650000000000001</v>
      </c>
    </row>
    <row r="8" spans="2:9">
      <c r="B8">
        <f>+Sheet3!A8</f>
        <v>1953</v>
      </c>
      <c r="C8">
        <f>ROUND('dat_file 1980'!C8/'dat_file 1980'!C$67,4)</f>
        <v>0.1464</v>
      </c>
      <c r="D8">
        <f>ROUND('dat_file 1980'!D8/'dat_file 1980'!D$67,4)</f>
        <v>0.13300000000000001</v>
      </c>
      <c r="E8">
        <f>ROUND('dat_file 1980'!E8/'dat_file 1980'!E$67,4)</f>
        <v>0.1163</v>
      </c>
      <c r="F8">
        <f>'dat_file 1980'!F8</f>
        <v>1.2522</v>
      </c>
      <c r="G8">
        <f>'dat_file 1980'!G8</f>
        <v>1.2508999999999999</v>
      </c>
      <c r="H8">
        <f>ROUND('dat_file 1980'!H8/'dat_file 1980'!H$67,4)</f>
        <v>0.22550000000000001</v>
      </c>
    </row>
    <row r="9" spans="2:9">
      <c r="B9">
        <f>+Sheet3!A9</f>
        <v>1954</v>
      </c>
      <c r="C9">
        <f>ROUND('dat_file 1980'!C9/'dat_file 1980'!C$67,4)</f>
        <v>0.14760000000000001</v>
      </c>
      <c r="D9">
        <f>ROUND('dat_file 1980'!D9/'dat_file 1980'!D$67,4)</f>
        <v>0.13420000000000001</v>
      </c>
      <c r="E9">
        <f>ROUND('dat_file 1980'!E9/'dat_file 1980'!E$67,4)</f>
        <v>0.1172</v>
      </c>
      <c r="F9">
        <f>'dat_file 1980'!F9</f>
        <v>1.2412000000000001</v>
      </c>
      <c r="G9">
        <f>'dat_file 1980'!G9</f>
        <v>1.2416</v>
      </c>
      <c r="H9">
        <f>ROUND('dat_file 1980'!H9/'dat_file 1980'!H$67,4)</f>
        <v>0.22509999999999999</v>
      </c>
    </row>
    <row r="10" spans="2:9">
      <c r="B10">
        <f>+Sheet3!A10</f>
        <v>1955</v>
      </c>
      <c r="C10">
        <f>ROUND('dat_file 1980'!C10/'dat_file 1980'!C$67,4)</f>
        <v>0.1482</v>
      </c>
      <c r="D10">
        <f>ROUND('dat_file 1980'!D10/'dat_file 1980'!D$67,4)</f>
        <v>0.1336</v>
      </c>
      <c r="E10">
        <f>ROUND('dat_file 1980'!E10/'dat_file 1980'!E$67,4)</f>
        <v>0.1167</v>
      </c>
      <c r="F10">
        <f>'dat_file 1980'!F10</f>
        <v>1.2466999999999999</v>
      </c>
      <c r="G10">
        <f>'dat_file 1980'!G10</f>
        <v>1.2463</v>
      </c>
      <c r="H10">
        <f>ROUND('dat_file 1980'!H10/'dat_file 1980'!H$67,4)</f>
        <v>0.22159999999999999</v>
      </c>
    </row>
    <row r="11" spans="2:9">
      <c r="B11">
        <f>+Sheet3!A11</f>
        <v>1956</v>
      </c>
      <c r="C11">
        <f>ROUND('dat_file 1980'!C11/'dat_file 1980'!C$67,4)</f>
        <v>0.15110000000000001</v>
      </c>
      <c r="D11">
        <f>ROUND('dat_file 1980'!D11/'dat_file 1980'!D$67,4)</f>
        <v>0.13569999999999999</v>
      </c>
      <c r="E11">
        <f>ROUND('dat_file 1980'!E11/'dat_file 1980'!E$67,4)</f>
        <v>0.11849999999999999</v>
      </c>
      <c r="F11">
        <f>'dat_file 1980'!F11</f>
        <v>1.2276</v>
      </c>
      <c r="G11">
        <f>'dat_file 1980'!G11</f>
        <v>1.2279</v>
      </c>
      <c r="H11">
        <f>ROUND('dat_file 1980'!H11/'dat_file 1980'!H$67,4)</f>
        <v>0.22259999999999999</v>
      </c>
    </row>
    <row r="12" spans="2:9">
      <c r="B12">
        <f>+Sheet3!A12</f>
        <v>1957</v>
      </c>
      <c r="C12">
        <f>ROUND('dat_file 1980'!C12/'dat_file 1980'!C$67,4)</f>
        <v>0.15570000000000001</v>
      </c>
      <c r="D12">
        <f>ROUND('dat_file 1980'!D12/'dat_file 1980'!D$67,4)</f>
        <v>0.1401</v>
      </c>
      <c r="E12">
        <f>ROUND('dat_file 1980'!E12/'dat_file 1980'!E$67,4)</f>
        <v>0.12239999999999999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1980'!H$67,4)</f>
        <v>0.22750000000000001</v>
      </c>
    </row>
    <row r="13" spans="2:9">
      <c r="B13">
        <f>+Sheet3!A13</f>
        <v>1958</v>
      </c>
      <c r="C13">
        <f>ROUND('dat_file 1980'!C13/'dat_file 1980'!C$67,4)</f>
        <v>0.15939999999999999</v>
      </c>
      <c r="D13">
        <f>ROUND('dat_file 1980'!D13/'dat_file 1980'!D$67,4)</f>
        <v>0.14399999999999999</v>
      </c>
      <c r="E13">
        <f>ROUND('dat_file 1980'!E13/'dat_file 1980'!E$67,4)</f>
        <v>0.12590000000000001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1980'!H$67,4)</f>
        <v>0.23119999999999999</v>
      </c>
    </row>
    <row r="14" spans="2:9">
      <c r="B14">
        <f>+Sheet3!A14</f>
        <v>1959</v>
      </c>
      <c r="C14">
        <f>ROUND('dat_file 1980'!C14/'dat_file 1980'!C$67,4)</f>
        <v>0.1618</v>
      </c>
      <c r="D14">
        <f>ROUND('dat_file 1980'!D14/'dat_file 1980'!D$67,4)</f>
        <v>0.14510000000000001</v>
      </c>
      <c r="E14">
        <f>ROUND('dat_file 1980'!E14/'dat_file 1980'!E$67,4)</f>
        <v>0.1268</v>
      </c>
      <c r="F14">
        <f>'dat_file 1980'!F14</f>
        <v>1.1472</v>
      </c>
      <c r="G14">
        <f>'dat_file 1980'!G14</f>
        <v>1.1477999999999999</v>
      </c>
      <c r="H14">
        <f>ROUND('dat_file 1980'!H14/'dat_file 1980'!H$67,4)</f>
        <v>0.2306</v>
      </c>
    </row>
    <row r="15" spans="2:9">
      <c r="B15">
        <f>+Sheet3!A15</f>
        <v>1960</v>
      </c>
      <c r="C15">
        <f>ROUND('dat_file 1980'!C15/'dat_file 1980'!C$67,4)</f>
        <v>0.16439999999999999</v>
      </c>
      <c r="D15">
        <f>ROUND('dat_file 1980'!D15/'dat_file 1980'!D$67,4)</f>
        <v>0.14749999999999999</v>
      </c>
      <c r="E15">
        <f>ROUND('dat_file 1980'!E15/'dat_file 1980'!E$67,4)</f>
        <v>0.12889999999999999</v>
      </c>
      <c r="F15">
        <f>'dat_file 1980'!F15</f>
        <v>1.1288</v>
      </c>
      <c r="G15">
        <f>'dat_file 1980'!G15</f>
        <v>1.1284000000000001</v>
      </c>
      <c r="H15">
        <f>ROUND('dat_file 1980'!H15/'dat_file 1980'!H$67,4)</f>
        <v>0.23180000000000001</v>
      </c>
    </row>
    <row r="16" spans="2:9">
      <c r="B16">
        <f>+Sheet3!A16</f>
        <v>1961</v>
      </c>
      <c r="C16">
        <f>ROUND('dat_file 1980'!C16/'dat_file 1980'!C$67,4)</f>
        <v>0.1661</v>
      </c>
      <c r="D16">
        <f>ROUND('dat_file 1980'!D16/'dat_file 1980'!D$67,4)</f>
        <v>0.14899999999999999</v>
      </c>
      <c r="E16">
        <f>ROUND('dat_file 1980'!E16/'dat_file 1980'!E$67,4)</f>
        <v>0.13020000000000001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1980'!H$67,4)</f>
        <v>0.2316</v>
      </c>
    </row>
    <row r="17" spans="2:8">
      <c r="B17">
        <f>+Sheet3!A17</f>
        <v>1962</v>
      </c>
      <c r="C17">
        <f>ROUND('dat_file 1980'!C17/'dat_file 1980'!C$67,4)</f>
        <v>0.1681</v>
      </c>
      <c r="D17">
        <f>ROUND('dat_file 1980'!D17/'dat_file 1980'!D$67,4)</f>
        <v>0.15049999999999999</v>
      </c>
      <c r="E17">
        <f>ROUND('dat_file 1980'!E17/'dat_file 1980'!E$67,4)</f>
        <v>0.13150000000000001</v>
      </c>
      <c r="F17">
        <f>'dat_file 1980'!F17</f>
        <v>1.1065</v>
      </c>
      <c r="G17">
        <f>'dat_file 1980'!G17</f>
        <v>1.1060000000000001</v>
      </c>
      <c r="H17">
        <f>ROUND('dat_file 1980'!H17/'dat_file 1980'!H$67,4)</f>
        <v>0.23139999999999999</v>
      </c>
    </row>
    <row r="18" spans="2:8">
      <c r="B18">
        <f>+Sheet3!A18</f>
        <v>1963</v>
      </c>
      <c r="C18">
        <f>ROUND('dat_file 1980'!C18/'dat_file 1980'!C$67,4)</f>
        <v>0.1701</v>
      </c>
      <c r="D18">
        <f>ROUND('dat_file 1980'!D18/'dat_file 1980'!D$67,4)</f>
        <v>0.15260000000000001</v>
      </c>
      <c r="E18">
        <f>ROUND('dat_file 1980'!E18/'dat_file 1980'!E$67,4)</f>
        <v>0.1333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1980'!H$67,4)</f>
        <v>0.23200000000000001</v>
      </c>
    </row>
    <row r="19" spans="2:8">
      <c r="B19">
        <f>+Sheet3!A19</f>
        <v>1964</v>
      </c>
      <c r="C19">
        <f>ROUND('dat_file 1980'!C19/'dat_file 1980'!C$67,4)</f>
        <v>0.17249999999999999</v>
      </c>
      <c r="D19">
        <f>ROUND('dat_file 1980'!D19/'dat_file 1980'!D$67,4)</f>
        <v>0.15459999999999999</v>
      </c>
      <c r="E19">
        <f>ROUND('dat_file 1980'!E19/'dat_file 1980'!E$67,4)</f>
        <v>0.13500000000000001</v>
      </c>
      <c r="F19">
        <f>'dat_file 1980'!F19</f>
        <v>1.0768</v>
      </c>
      <c r="G19">
        <f>'dat_file 1980'!G19</f>
        <v>1.0773999999999999</v>
      </c>
      <c r="H19">
        <f>ROUND('dat_file 1980'!H19/'dat_file 1980'!H$67,4)</f>
        <v>0.2326</v>
      </c>
    </row>
    <row r="20" spans="2:8">
      <c r="B20">
        <f>+Sheet3!A20</f>
        <v>1965</v>
      </c>
      <c r="C20">
        <f>ROUND('dat_file 1980'!C20/'dat_file 1980'!C$67,4)</f>
        <v>0.17499999999999999</v>
      </c>
      <c r="D20">
        <f>ROUND('dat_file 1980'!D20/'dat_file 1980'!D$67,4)</f>
        <v>0.157</v>
      </c>
      <c r="E20">
        <f>ROUND('dat_file 1980'!E20/'dat_file 1980'!E$67,4)</f>
        <v>0.13719999999999999</v>
      </c>
      <c r="F20">
        <f>'dat_file 1980'!F20</f>
        <v>1.0605</v>
      </c>
      <c r="G20">
        <f>'dat_file 1980'!G20</f>
        <v>1.0603</v>
      </c>
      <c r="H20">
        <f>ROUND('dat_file 1980'!H20/'dat_file 1980'!H$67,4)</f>
        <v>0.23369999999999999</v>
      </c>
    </row>
    <row r="21" spans="2:8">
      <c r="B21">
        <f>+Sheet3!A21</f>
        <v>1966</v>
      </c>
      <c r="C21">
        <f>ROUND('dat_file 1980'!C21/'dat_file 1980'!C$67,4)</f>
        <v>0.1794</v>
      </c>
      <c r="D21">
        <f>ROUND('dat_file 1980'!D21/'dat_file 1980'!D$67,4)</f>
        <v>0.1615</v>
      </c>
      <c r="E21">
        <f>ROUND('dat_file 1980'!E21/'dat_file 1980'!E$67,4)</f>
        <v>0.1411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1980'!H$67,4)</f>
        <v>0.23769999999999999</v>
      </c>
    </row>
    <row r="22" spans="2:8">
      <c r="B22">
        <f>+Sheet3!A22</f>
        <v>1967</v>
      </c>
      <c r="C22">
        <f>ROUND('dat_file 1980'!C22/'dat_file 1980'!C$67,4)</f>
        <v>0.184</v>
      </c>
      <c r="D22">
        <f>ROUND('dat_file 1980'!D22/'dat_file 1980'!D$67,4)</f>
        <v>0.16650000000000001</v>
      </c>
      <c r="E22">
        <f>ROUND('dat_file 1980'!E22/'dat_file 1980'!E$67,4)</f>
        <v>0.14549999999999999</v>
      </c>
      <c r="F22">
        <f>'dat_file 1980'!F22</f>
        <v>1</v>
      </c>
      <c r="G22">
        <f>'dat_file 1980'!G22</f>
        <v>1</v>
      </c>
      <c r="H22">
        <f>ROUND('dat_file 1980'!H22/'dat_file 1980'!H$67,4)</f>
        <v>0.24249999999999999</v>
      </c>
    </row>
    <row r="23" spans="2:8">
      <c r="B23">
        <f>+Sheet3!A23</f>
        <v>1968</v>
      </c>
      <c r="C23">
        <f>ROUND('dat_file 1980'!C23/'dat_file 1980'!C$67,4)</f>
        <v>0.19120000000000001</v>
      </c>
      <c r="D23">
        <f>ROUND('dat_file 1980'!D23/'dat_file 1980'!D$67,4)</f>
        <v>0.17299999999999999</v>
      </c>
      <c r="E23">
        <f>ROUND('dat_file 1980'!E23/'dat_file 1980'!E$67,4)</f>
        <v>0.15160000000000001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1980'!H$67,4)</f>
        <v>0.24929999999999999</v>
      </c>
    </row>
    <row r="24" spans="2:8">
      <c r="B24">
        <f>+Sheet3!A24</f>
        <v>1969</v>
      </c>
      <c r="C24">
        <f>ROUND('dat_file 1980'!C24/'dat_file 1980'!C$67,4)</f>
        <v>0.19980000000000001</v>
      </c>
      <c r="D24">
        <f>ROUND('dat_file 1980'!D24/'dat_file 1980'!D$67,4)</f>
        <v>0.18079999999999999</v>
      </c>
      <c r="E24">
        <f>ROUND('dat_file 1980'!E24/'dat_file 1980'!E$67,4)</f>
        <v>0.15989999999999999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1980'!H$67,4)</f>
        <v>0.25769999999999998</v>
      </c>
    </row>
    <row r="25" spans="2:8">
      <c r="B25">
        <f>+Sheet3!A25</f>
        <v>1970</v>
      </c>
      <c r="C25">
        <f>ROUND('dat_file 1980'!C25/'dat_file 1980'!C$67,4)</f>
        <v>0.20910000000000001</v>
      </c>
      <c r="D25">
        <f>ROUND('dat_file 1980'!D25/'dat_file 1980'!D$67,4)</f>
        <v>0.18970000000000001</v>
      </c>
      <c r="E25">
        <f>ROUND('dat_file 1980'!E25/'dat_file 1980'!E$67,4)</f>
        <v>0.16900000000000001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1980'!H$67,4)</f>
        <v>0.2676</v>
      </c>
    </row>
    <row r="26" spans="2:8">
      <c r="B26">
        <f>+Sheet3!A26</f>
        <v>1971</v>
      </c>
      <c r="C26">
        <f>ROUND('dat_file 1980'!C26/'dat_file 1980'!C$67,4)</f>
        <v>0.218</v>
      </c>
      <c r="D26">
        <f>ROUND('dat_file 1980'!D26/'dat_file 1980'!D$67,4)</f>
        <v>0.19800000000000001</v>
      </c>
      <c r="E26">
        <f>ROUND('dat_file 1980'!E26/'dat_file 1980'!E$67,4)</f>
        <v>0.1764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1980'!H$67,4)</f>
        <v>0.27639999999999998</v>
      </c>
    </row>
    <row r="27" spans="2:8">
      <c r="B27">
        <f>+Sheet3!A27</f>
        <v>1972</v>
      </c>
      <c r="C27">
        <f>ROUND('dat_file 1980'!C27/'dat_file 1980'!C$67,4)</f>
        <v>0.22539999999999999</v>
      </c>
      <c r="D27">
        <f>ROUND('dat_file 1980'!D27/'dat_file 1980'!D$67,4)</f>
        <v>0.2039</v>
      </c>
      <c r="E27">
        <f>ROUND('dat_file 1980'!E27/'dat_file 1980'!E$67,4)</f>
        <v>0.18210000000000001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1980'!H$67,4)</f>
        <v>0.28160000000000002</v>
      </c>
    </row>
    <row r="28" spans="2:8">
      <c r="B28">
        <f>+Sheet3!A28</f>
        <v>1973</v>
      </c>
      <c r="C28">
        <f>ROUND('dat_file 1980'!C28/'dat_file 1980'!C$67,4)</f>
        <v>0.23749999999999999</v>
      </c>
      <c r="D28">
        <f>ROUND('dat_file 1980'!D28/'dat_file 1980'!D$67,4)</f>
        <v>0.2167</v>
      </c>
      <c r="E28">
        <f>ROUND('dat_file 1980'!E28/'dat_file 1980'!E$67,4)</f>
        <v>0.19339999999999999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1980'!H$67,4)</f>
        <v>0.29620000000000002</v>
      </c>
    </row>
    <row r="29" spans="2:8">
      <c r="B29">
        <f>+Sheet3!A29</f>
        <v>1974</v>
      </c>
      <c r="C29">
        <f>ROUND('dat_file 1980'!C29/'dat_file 1980'!C$67,4)</f>
        <v>0.26229999999999998</v>
      </c>
      <c r="D29">
        <f>ROUND('dat_file 1980'!D29/'dat_file 1980'!D$67,4)</f>
        <v>0.2384</v>
      </c>
      <c r="E29">
        <f>ROUND('dat_file 1980'!E29/'dat_file 1980'!E$67,4)</f>
        <v>0.2147</v>
      </c>
      <c r="F29">
        <f>'dat_file 1980'!F29</f>
        <v>0.6986</v>
      </c>
      <c r="G29">
        <f>'dat_file 1980'!G29</f>
        <v>0.67749999999999999</v>
      </c>
      <c r="H29">
        <f>ROUND('dat_file 1980'!H29/'dat_file 1980'!H$67,4)</f>
        <v>0.32250000000000001</v>
      </c>
    </row>
    <row r="30" spans="2:8">
      <c r="B30">
        <f>+Sheet3!A30</f>
        <v>1975</v>
      </c>
      <c r="C30">
        <f>ROUND('dat_file 1980'!C30/'dat_file 1980'!C$67,4)</f>
        <v>0.28410000000000002</v>
      </c>
      <c r="D30">
        <f>ROUND('dat_file 1980'!D30/'dat_file 1980'!D$67,4)</f>
        <v>0.25790000000000002</v>
      </c>
      <c r="E30">
        <f>ROUND('dat_file 1980'!E30/'dat_file 1980'!E$67,4)</f>
        <v>0.23430000000000001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1980'!H$67,4)</f>
        <v>0.34549999999999997</v>
      </c>
    </row>
    <row r="31" spans="2:8">
      <c r="B31">
        <f>+Sheet3!A31</f>
        <v>1976</v>
      </c>
      <c r="C31">
        <f>ROUND('dat_file 1980'!C31/'dat_file 1980'!C$67,4)</f>
        <v>0.29970000000000002</v>
      </c>
      <c r="D31">
        <f>ROUND('dat_file 1980'!D31/'dat_file 1980'!D$67,4)</f>
        <v>0.27279999999999999</v>
      </c>
      <c r="E31">
        <f>ROUND('dat_file 1980'!E31/'dat_file 1980'!E$67,4)</f>
        <v>0.24779999999999999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1980'!H$67,4)</f>
        <v>0.36159999999999998</v>
      </c>
    </row>
    <row r="32" spans="2:8">
      <c r="B32">
        <f>+Sheet3!A32</f>
        <v>1977</v>
      </c>
      <c r="C32">
        <f>ROUND('dat_file 1980'!C32/'dat_file 1980'!C$67,4)</f>
        <v>0.31919999999999998</v>
      </c>
      <c r="D32">
        <f>ROUND('dat_file 1980'!D32/'dat_file 1980'!D$67,4)</f>
        <v>0.28999999999999998</v>
      </c>
      <c r="E32">
        <f>ROUND('dat_file 1980'!E32/'dat_file 1980'!E$67,4)</f>
        <v>0.26390000000000002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1980'!H$67,4)</f>
        <v>0.38040000000000002</v>
      </c>
    </row>
    <row r="33" spans="2:8">
      <c r="B33">
        <f>+Sheet3!A33</f>
        <v>1978</v>
      </c>
      <c r="C33">
        <f>ROUND('dat_file 1980'!C33/'dat_file 1980'!C$67,4)</f>
        <v>0.34139999999999998</v>
      </c>
      <c r="D33">
        <f>ROUND('dat_file 1980'!D33/'dat_file 1980'!D$67,4)</f>
        <v>0.30990000000000001</v>
      </c>
      <c r="E33">
        <f>ROUND('dat_file 1980'!E33/'dat_file 1980'!E$67,4)</f>
        <v>0.28399999999999997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1980'!H$67,4)</f>
        <v>0.40339999999999998</v>
      </c>
    </row>
    <row r="34" spans="2:8">
      <c r="B34">
        <f>+Sheet3!A34</f>
        <v>1979</v>
      </c>
      <c r="C34">
        <f>ROUND('dat_file 1980'!C34/'dat_file 1980'!C$67,4)</f>
        <v>0.37180000000000002</v>
      </c>
      <c r="D34">
        <f>ROUND('dat_file 1980'!D34/'dat_file 1980'!D$67,4)</f>
        <v>0.33929999999999999</v>
      </c>
      <c r="E34">
        <f>ROUND('dat_file 1980'!E34/'dat_file 1980'!E$67,4)</f>
        <v>0.31619999999999998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1980'!H$67,4)</f>
        <v>0.4385</v>
      </c>
    </row>
    <row r="35" spans="2:8">
      <c r="B35">
        <f>+Sheet3!A35</f>
        <v>1980</v>
      </c>
      <c r="C35">
        <f>ROUND('dat_file 1980'!C35/'dat_file 1980'!C$67,4)</f>
        <v>0.4118</v>
      </c>
      <c r="D35">
        <f>ROUND('dat_file 1980'!D35/'dat_file 1980'!D$67,4)</f>
        <v>0.37730000000000002</v>
      </c>
      <c r="E35">
        <f>ROUND('dat_file 1980'!E35/'dat_file 1980'!E$67,4)</f>
        <v>0.3589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1980'!H$67,4)</f>
        <v>0.48409999999999997</v>
      </c>
    </row>
    <row r="36" spans="2:8">
      <c r="B36">
        <f>+Sheet3!A36</f>
        <v>1981</v>
      </c>
      <c r="C36">
        <f>ROUND('dat_file 1980'!C36/'dat_file 1980'!C$67,4)</f>
        <v>0.44869999999999999</v>
      </c>
      <c r="D36">
        <f>ROUND('dat_file 1980'!D36/'dat_file 1980'!D$67,4)</f>
        <v>0.41289999999999999</v>
      </c>
      <c r="E36">
        <f>ROUND('dat_file 1980'!E36/'dat_file 1980'!E$67,4)</f>
        <v>0.39589999999999997</v>
      </c>
      <c r="F36">
        <f>'dat_file 1980'!F36</f>
        <v>0.40329999999999999</v>
      </c>
      <c r="G36">
        <f>'dat_file 1980'!G36</f>
        <v>0.3674</v>
      </c>
      <c r="H36">
        <f>ROUND('dat_file 1980'!H36/'dat_file 1980'!H$67,4)</f>
        <v>0.52590000000000003</v>
      </c>
    </row>
    <row r="37" spans="2:8">
      <c r="B37">
        <f>+Sheet3!A37</f>
        <v>1982</v>
      </c>
      <c r="C37">
        <f>ROUND('dat_file 1980'!C37/'dat_file 1980'!C$67,4)</f>
        <v>0.47360000000000002</v>
      </c>
      <c r="D37">
        <f>ROUND('dat_file 1980'!D37/'dat_file 1980'!D$67,4)</f>
        <v>0.43780000000000002</v>
      </c>
      <c r="E37">
        <f>ROUND('dat_file 1980'!E37/'dat_file 1980'!E$67,4)</f>
        <v>0.42030000000000001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1980'!H$67,4)</f>
        <v>0.5534</v>
      </c>
    </row>
    <row r="38" spans="2:8">
      <c r="B38">
        <f>+Sheet3!A38</f>
        <v>1983</v>
      </c>
      <c r="C38">
        <f>ROUND('dat_file 1980'!C38/'dat_file 1980'!C$67,4)</f>
        <v>0.49380000000000002</v>
      </c>
      <c r="D38">
        <f>ROUND('dat_file 1980'!D38/'dat_file 1980'!D$67,4)</f>
        <v>0.45650000000000002</v>
      </c>
      <c r="E38">
        <f>ROUND('dat_file 1980'!E38/'dat_file 1980'!E$67,4)</f>
        <v>0.43380000000000002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1980'!H$67,4)</f>
        <v>0.57269999999999999</v>
      </c>
    </row>
    <row r="39" spans="2:8">
      <c r="B39">
        <f>+Sheet3!A39</f>
        <v>1984</v>
      </c>
      <c r="C39">
        <f>ROUND('dat_file 1980'!C39/'dat_file 1980'!C$67,4)</f>
        <v>0.51239999999999997</v>
      </c>
      <c r="D39">
        <f>ROUND('dat_file 1980'!D39/'dat_file 1980'!D$67,4)</f>
        <v>0.47549999999999998</v>
      </c>
      <c r="E39">
        <f>ROUND('dat_file 1980'!E39/'dat_file 1980'!E$67,4)</f>
        <v>0.45250000000000001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1980'!H$67,4)</f>
        <v>0.59189999999999998</v>
      </c>
    </row>
    <row r="40" spans="2:8">
      <c r="B40">
        <f>+Sheet3!A40</f>
        <v>1985</v>
      </c>
      <c r="C40">
        <f>ROUND('dat_file 1980'!C40/'dat_file 1980'!C$67,4)</f>
        <v>0.53029999999999999</v>
      </c>
      <c r="D40">
        <f>ROUND('dat_file 1980'!D40/'dat_file 1980'!D$67,4)</f>
        <v>0.49149999999999999</v>
      </c>
      <c r="E40">
        <f>ROUND('dat_file 1980'!E40/'dat_file 1980'!E$67,4)</f>
        <v>0.46870000000000001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1980'!H$67,4)</f>
        <v>0.60709999999999997</v>
      </c>
    </row>
    <row r="41" spans="2:8">
      <c r="B41">
        <f>+Sheet3!A41</f>
        <v>1986</v>
      </c>
      <c r="C41">
        <f>ROUND('dat_file 1980'!C41/'dat_file 1980'!C$67,4)</f>
        <v>0.54179999999999995</v>
      </c>
      <c r="D41">
        <f>ROUND('dat_file 1980'!D41/'dat_file 1980'!D$67,4)</f>
        <v>0.49980000000000002</v>
      </c>
      <c r="E41">
        <f>ROUND('dat_file 1980'!E41/'dat_file 1980'!E$67,4)</f>
        <v>0.47739999999999999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1980'!H$67,4)</f>
        <v>0.61250000000000004</v>
      </c>
    </row>
    <row r="42" spans="2:8">
      <c r="B42">
        <f>+Sheet3!A42</f>
        <v>1987</v>
      </c>
      <c r="C42">
        <f>ROUND('dat_file 1980'!C42/'dat_file 1980'!C$67,4)</f>
        <v>0.5585</v>
      </c>
      <c r="D42">
        <f>ROUND('dat_file 1980'!D42/'dat_file 1980'!D$67,4)</f>
        <v>0.51680000000000004</v>
      </c>
      <c r="E42">
        <f>ROUND('dat_file 1980'!E42/'dat_file 1980'!E$67,4)</f>
        <v>0.49480000000000002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1980'!H$67,4)</f>
        <v>0.62839999999999996</v>
      </c>
    </row>
    <row r="43" spans="2:8">
      <c r="B43">
        <f>+Sheet3!A43</f>
        <v>1988</v>
      </c>
      <c r="C43">
        <f>ROUND('dat_file 1980'!C43/'dat_file 1980'!C$67,4)</f>
        <v>0.58040000000000003</v>
      </c>
      <c r="D43">
        <f>ROUND('dat_file 1980'!D43/'dat_file 1980'!D$67,4)</f>
        <v>0.53569999999999995</v>
      </c>
      <c r="E43">
        <f>ROUND('dat_file 1980'!E43/'dat_file 1980'!E$67,4)</f>
        <v>0.51529999999999998</v>
      </c>
      <c r="F43">
        <f>'dat_file 1980'!F43</f>
        <v>0.31080000000000002</v>
      </c>
      <c r="G43">
        <f>'dat_file 1980'!G43</f>
        <v>0.2823</v>
      </c>
      <c r="H43">
        <f>ROUND('dat_file 1980'!H43/'dat_file 1980'!H$67,4)</f>
        <v>0.64639999999999997</v>
      </c>
    </row>
    <row r="44" spans="2:8">
      <c r="B44">
        <f>+Sheet3!A44</f>
        <v>1989</v>
      </c>
      <c r="C44">
        <f>ROUND('dat_file 1980'!C44/'dat_file 1980'!C$67,4)</f>
        <v>0.60570000000000002</v>
      </c>
      <c r="D44">
        <f>ROUND('dat_file 1980'!D44/'dat_file 1980'!D$67,4)</f>
        <v>0.55889999999999995</v>
      </c>
      <c r="E44">
        <f>ROUND('dat_file 1980'!E44/'dat_file 1980'!E$67,4)</f>
        <v>0.54010000000000002</v>
      </c>
      <c r="F44">
        <f>'dat_file 1980'!F44</f>
        <v>0.2979</v>
      </c>
      <c r="G44">
        <f>'dat_file 1980'!G44</f>
        <v>0.26939999999999997</v>
      </c>
      <c r="H44">
        <f>ROUND('dat_file 1980'!H44/'dat_file 1980'!H$67,4)</f>
        <v>0.66920000000000002</v>
      </c>
    </row>
    <row r="45" spans="2:8">
      <c r="B45">
        <f>+Sheet3!A45</f>
        <v>1990</v>
      </c>
      <c r="C45">
        <f>ROUND('dat_file 1980'!C45/'dat_file 1980'!C$67,4)</f>
        <v>0.63229999999999997</v>
      </c>
      <c r="D45">
        <f>ROUND('dat_file 1980'!D45/'dat_file 1980'!D$67,4)</f>
        <v>0.58650000000000002</v>
      </c>
      <c r="E45">
        <f>ROUND('dat_file 1980'!E45/'dat_file 1980'!E$67,4)</f>
        <v>0.56930000000000003</v>
      </c>
      <c r="F45">
        <f>'dat_file 1980'!F45</f>
        <v>0.28389999999999999</v>
      </c>
      <c r="G45">
        <f>'dat_file 1980'!G45</f>
        <v>0.2555</v>
      </c>
      <c r="H45">
        <f>ROUND('dat_file 1980'!H45/'dat_file 1980'!H$67,4)</f>
        <v>0.69689999999999996</v>
      </c>
    </row>
    <row r="46" spans="2:8">
      <c r="B46">
        <f>+Sheet3!A46</f>
        <v>1991</v>
      </c>
      <c r="C46">
        <f>ROUND('dat_file 1980'!C46/'dat_file 1980'!C$67,4)</f>
        <v>0.65349999999999997</v>
      </c>
      <c r="D46">
        <f>ROUND('dat_file 1980'!D46/'dat_file 1980'!D$67,4)</f>
        <v>0.6079</v>
      </c>
      <c r="E46">
        <f>ROUND('dat_file 1980'!E46/'dat_file 1980'!E$67,4)</f>
        <v>0.59319999999999995</v>
      </c>
      <c r="F46">
        <f>'dat_file 1980'!F46</f>
        <v>0.27389999999999998</v>
      </c>
      <c r="G46">
        <f>'dat_file 1980'!G46</f>
        <v>0.2452</v>
      </c>
      <c r="H46">
        <f>ROUND('dat_file 1980'!H46/'dat_file 1980'!H$67,4)</f>
        <v>0.7167</v>
      </c>
    </row>
    <row r="47" spans="2:8">
      <c r="B47">
        <f>+Sheet3!A47</f>
        <v>1992</v>
      </c>
      <c r="C47">
        <f>ROUND('dat_file 1980'!C47/'dat_file 1980'!C$67,4)</f>
        <v>0.67090000000000005</v>
      </c>
      <c r="D47">
        <f>ROUND('dat_file 1980'!D47/'dat_file 1980'!D$67,4)</f>
        <v>0.623</v>
      </c>
      <c r="E47">
        <f>ROUND('dat_file 1980'!E47/'dat_file 1980'!E$67,4)</f>
        <v>0.61109999999999998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1980'!H$67,4)</f>
        <v>0.7288</v>
      </c>
    </row>
    <row r="48" spans="2:8">
      <c r="B48">
        <f>+Sheet3!A48</f>
        <v>1993</v>
      </c>
      <c r="C48">
        <f>ROUND('dat_file 1980'!C48/'dat_file 1980'!C$67,4)</f>
        <v>0.68759999999999999</v>
      </c>
      <c r="D48">
        <f>ROUND('dat_file 1980'!D48/'dat_file 1980'!D$67,4)</f>
        <v>0.63880000000000003</v>
      </c>
      <c r="E48">
        <f>ROUND('dat_file 1980'!E48/'dat_file 1980'!E$67,4)</f>
        <v>0.62939999999999996</v>
      </c>
      <c r="F48">
        <f>'dat_file 1980'!F48</f>
        <v>0.26069999999999999</v>
      </c>
      <c r="G48">
        <f>'dat_file 1980'!G48</f>
        <v>0.2311</v>
      </c>
      <c r="H48">
        <f>ROUND('dat_file 1980'!H48/'dat_file 1980'!H$67,4)</f>
        <v>0.74139999999999995</v>
      </c>
    </row>
    <row r="49" spans="2:8">
      <c r="B49">
        <f>+Sheet3!A49</f>
        <v>1994</v>
      </c>
      <c r="C49">
        <f>ROUND('dat_file 1980'!C49/'dat_file 1980'!C$67,4)</f>
        <v>0.70189999999999997</v>
      </c>
      <c r="D49">
        <f>ROUND('dat_file 1980'!D49/'dat_file 1980'!D$67,4)</f>
        <v>0.65210000000000001</v>
      </c>
      <c r="E49">
        <f>ROUND('dat_file 1980'!E49/'dat_file 1980'!E$67,4)</f>
        <v>0.64549999999999996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1980'!H$67,4)</f>
        <v>0.751</v>
      </c>
    </row>
    <row r="50" spans="2:8">
      <c r="B50">
        <f>+Sheet3!A50</f>
        <v>1995</v>
      </c>
      <c r="C50">
        <f>ROUND('dat_file 1980'!C50/'dat_file 1980'!C$67,4)</f>
        <v>0.7167</v>
      </c>
      <c r="D50">
        <f>ROUND('dat_file 1980'!D50/'dat_file 1980'!D$67,4)</f>
        <v>0.66790000000000005</v>
      </c>
      <c r="E50">
        <f>ROUND('dat_file 1980'!E50/'dat_file 1980'!E$67,4)</f>
        <v>0.66379999999999995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1980'!H$67,4)</f>
        <v>0.7631</v>
      </c>
    </row>
    <row r="51" spans="2:8">
      <c r="B51">
        <f>+Sheet3!A51</f>
        <v>1996</v>
      </c>
      <c r="C51">
        <f>ROUND('dat_file 1980'!C51/'dat_file 1980'!C$67,4)</f>
        <v>0.73199999999999998</v>
      </c>
      <c r="D51">
        <f>ROUND('dat_file 1980'!D51/'dat_file 1980'!D$67,4)</f>
        <v>0.68569999999999998</v>
      </c>
      <c r="E51">
        <f>ROUND('dat_file 1980'!E51/'dat_file 1980'!E$67,4)</f>
        <v>0.68340000000000001</v>
      </c>
      <c r="F51">
        <f>'dat_file 1980'!F51</f>
        <v>0.2429</v>
      </c>
      <c r="G51">
        <f>'dat_file 1980'!G51</f>
        <v>0.21290000000000001</v>
      </c>
      <c r="H51">
        <f>ROUND('dat_file 1980'!H51/'dat_file 1980'!H$67,4)</f>
        <v>0.77729999999999999</v>
      </c>
    </row>
    <row r="52" spans="2:8">
      <c r="B52">
        <f>+Sheet3!A52</f>
        <v>1997</v>
      </c>
      <c r="C52">
        <f>ROUND('dat_file 1980'!C52/'dat_file 1980'!C$67,4)</f>
        <v>0.74480000000000002</v>
      </c>
      <c r="D52">
        <f>ROUND('dat_file 1980'!D52/'dat_file 1980'!D$67,4)</f>
        <v>0.70050000000000001</v>
      </c>
      <c r="E52">
        <f>ROUND('dat_file 1980'!E52/'dat_file 1980'!E$67,4)</f>
        <v>0.69910000000000005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1980'!H$67,4)</f>
        <v>0.78790000000000004</v>
      </c>
    </row>
    <row r="53" spans="2:8">
      <c r="B53">
        <f>+Sheet3!A53</f>
        <v>1998</v>
      </c>
      <c r="C53">
        <f>ROUND('dat_file 1980'!C53/'dat_file 1980'!C$67,4)</f>
        <v>0.75070000000000003</v>
      </c>
      <c r="D53">
        <f>ROUND('dat_file 1980'!D53/'dat_file 1980'!D$67,4)</f>
        <v>0.71</v>
      </c>
      <c r="E53">
        <f>ROUND('dat_file 1980'!E53/'dat_file 1980'!E$67,4)</f>
        <v>0.71</v>
      </c>
      <c r="F53">
        <f>'dat_file 1980'!F53</f>
        <v>0.23449999999999999</v>
      </c>
      <c r="G53">
        <f>'dat_file 1980'!G53</f>
        <v>0.2049</v>
      </c>
      <c r="H53">
        <f>ROUND('dat_file 1980'!H53/'dat_file 1980'!H$67,4)</f>
        <v>0.7923</v>
      </c>
    </row>
    <row r="54" spans="2:8">
      <c r="B54">
        <f>+Sheet3!A54</f>
        <v>1999</v>
      </c>
      <c r="C54">
        <f>ROUND('dat_file 1980'!C54/'dat_file 1980'!C$67,4)</f>
        <v>0.76160000000000005</v>
      </c>
      <c r="D54">
        <f>ROUND('dat_file 1980'!D54/'dat_file 1980'!D$67,4)</f>
        <v>0.7248</v>
      </c>
      <c r="E54">
        <f>ROUND('dat_file 1980'!E54/'dat_file 1980'!E$67,4)</f>
        <v>0.72560000000000002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1980'!H$67,4)</f>
        <v>0.80249999999999999</v>
      </c>
    </row>
    <row r="55" spans="2:8">
      <c r="B55">
        <f>+Sheet3!A55</f>
        <v>2000</v>
      </c>
      <c r="C55">
        <f>ROUND('dat_file 1980'!C55/'dat_file 1980'!C$67,4)</f>
        <v>0.78090000000000004</v>
      </c>
      <c r="D55">
        <f>ROUND('dat_file 1980'!D55/'dat_file 1980'!D$67,4)</f>
        <v>0.74950000000000006</v>
      </c>
      <c r="E55">
        <f>ROUND('dat_file 1980'!E55/'dat_file 1980'!E$67,4)</f>
        <v>0.75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1980'!H$67,4)</f>
        <v>0.82340000000000002</v>
      </c>
    </row>
    <row r="56" spans="2:8">
      <c r="B56">
        <f>+Sheet3!A56</f>
        <v>2001</v>
      </c>
      <c r="C56">
        <f>ROUND('dat_file 1980'!C56/'dat_file 1980'!C$67,4)</f>
        <v>0.79659999999999997</v>
      </c>
      <c r="D56">
        <f>ROUND('dat_file 1980'!D56/'dat_file 1980'!D$67,4)</f>
        <v>0.77090000000000003</v>
      </c>
      <c r="E56">
        <f>ROUND('dat_file 1980'!E56/'dat_file 1980'!E$67,4)</f>
        <v>0.77139999999999997</v>
      </c>
      <c r="F56">
        <f>'dat_file 1980'!F56</f>
        <v>0.216</v>
      </c>
      <c r="G56">
        <f>'dat_file 1980'!G56</f>
        <v>0.18859999999999999</v>
      </c>
      <c r="H56">
        <f>ROUND('dat_file 1980'!H56/'dat_file 1980'!H$67,4)</f>
        <v>0.84030000000000005</v>
      </c>
    </row>
    <row r="57" spans="2:8">
      <c r="B57">
        <f>+Sheet3!A57</f>
        <v>2002</v>
      </c>
      <c r="C57">
        <f>ROUND('dat_file 1980'!C57/'dat_file 1980'!C$67,4)</f>
        <v>0.80700000000000005</v>
      </c>
      <c r="D57">
        <f>ROUND('dat_file 1980'!D57/'dat_file 1980'!D$67,4)</f>
        <v>0.78300000000000003</v>
      </c>
      <c r="E57">
        <f>ROUND('dat_file 1980'!E57/'dat_file 1980'!E$67,4)</f>
        <v>0.78359999999999996</v>
      </c>
      <c r="F57">
        <f>'dat_file 1980'!F57</f>
        <v>0.2127</v>
      </c>
      <c r="G57">
        <f>'dat_file 1980'!G57</f>
        <v>0.1857</v>
      </c>
      <c r="H57">
        <f>ROUND('dat_file 1980'!H57/'dat_file 1980'!H$67,4)</f>
        <v>0.8468</v>
      </c>
    </row>
    <row r="58" spans="2:8">
      <c r="B58">
        <f>+Sheet3!A58</f>
        <v>2003</v>
      </c>
      <c r="C58">
        <f>ROUND('dat_file 1980'!C58/'dat_file 1980'!C$67,4)</f>
        <v>0.82399999999999995</v>
      </c>
      <c r="D58">
        <f>ROUND('dat_file 1980'!D58/'dat_file 1980'!D$67,4)</f>
        <v>0.80079999999999996</v>
      </c>
      <c r="E58">
        <f>ROUND('dat_file 1980'!E58/'dat_file 1980'!E$67,4)</f>
        <v>0.8014</v>
      </c>
      <c r="F58">
        <f>'dat_file 1980'!F58</f>
        <v>0.2079</v>
      </c>
      <c r="G58">
        <f>'dat_file 1980'!G58</f>
        <v>0.18149999999999999</v>
      </c>
      <c r="H58">
        <f>ROUND('dat_file 1980'!H58/'dat_file 1980'!H$67,4)</f>
        <v>0.85929999999999995</v>
      </c>
    </row>
    <row r="59" spans="2:8">
      <c r="B59">
        <f>+Sheet3!A59</f>
        <v>2004</v>
      </c>
      <c r="C59">
        <f>ROUND('dat_file 1980'!C59/'dat_file 1980'!C$67,4)</f>
        <v>0.84440000000000004</v>
      </c>
      <c r="D59">
        <f>ROUND('dat_file 1980'!D59/'dat_file 1980'!D$67,4)</f>
        <v>0.82220000000000004</v>
      </c>
      <c r="E59">
        <f>ROUND('dat_file 1980'!E59/'dat_file 1980'!E$67,4)</f>
        <v>0.82279999999999998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1980'!H$67,4)</f>
        <v>0.87539999999999996</v>
      </c>
    </row>
    <row r="60" spans="2:8">
      <c r="B60">
        <f>+Sheet3!A60</f>
        <v>2005</v>
      </c>
      <c r="C60">
        <f>ROUND('dat_file 1980'!C60/'dat_file 1980'!C$67,4)</f>
        <v>0.86880000000000002</v>
      </c>
      <c r="D60">
        <f>ROUND('dat_file 1980'!D60/'dat_file 1980'!D$67,4)</f>
        <v>0.85009999999999997</v>
      </c>
      <c r="E60">
        <f>ROUND('dat_file 1980'!E60/'dat_file 1980'!E$67,4)</f>
        <v>0.85060000000000002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1980'!H$67,4)</f>
        <v>0.89810000000000001</v>
      </c>
    </row>
    <row r="61" spans="2:8">
      <c r="B61">
        <f>+Sheet3!A61</f>
        <v>2006</v>
      </c>
      <c r="C61">
        <f>ROUND('dat_file 1980'!C61/'dat_file 1980'!C$67,4)</f>
        <v>0.89319999999999999</v>
      </c>
      <c r="D61">
        <f>ROUND('dat_file 1980'!D61/'dat_file 1980'!D$67,4)</f>
        <v>0.87770000000000004</v>
      </c>
      <c r="E61">
        <f>ROUND('dat_file 1980'!E61/'dat_file 1980'!E$67,4)</f>
        <v>0.878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1980'!H$67,4)</f>
        <v>0.92010000000000003</v>
      </c>
    </row>
    <row r="62" spans="2:8">
      <c r="B62">
        <f>+Sheet3!A62</f>
        <v>2007</v>
      </c>
      <c r="C62">
        <f>ROUND('dat_file 1980'!C62/'dat_file 1980'!C$67,4)</f>
        <v>0.91610000000000003</v>
      </c>
      <c r="D62">
        <f>ROUND('dat_file 1980'!D62/'dat_file 1980'!D$67,4)</f>
        <v>0.90259999999999996</v>
      </c>
      <c r="E62">
        <f>ROUND('dat_file 1980'!E62/'dat_file 1980'!E$67,4)</f>
        <v>0.90310000000000001</v>
      </c>
      <c r="F62">
        <f>'dat_file 1980'!F62</f>
        <v>0.1845</v>
      </c>
      <c r="G62">
        <f>'dat_file 1980'!G62</f>
        <v>0.16109999999999999</v>
      </c>
      <c r="H62">
        <f>ROUND('dat_file 1980'!H62/'dat_file 1980'!H$67,4)</f>
        <v>0.93889999999999996</v>
      </c>
    </row>
    <row r="63" spans="2:8">
      <c r="B63">
        <f>+Sheet3!A63</f>
        <v>2008</v>
      </c>
      <c r="C63">
        <f>ROUND('dat_file 1980'!C63/'dat_file 1980'!C$67,4)</f>
        <v>0.94330000000000003</v>
      </c>
      <c r="D63">
        <f>ROUND('dat_file 1980'!D63/'dat_file 1980'!D$67,4)</f>
        <v>0.93740000000000001</v>
      </c>
      <c r="E63">
        <f>ROUND('dat_file 1980'!E63/'dat_file 1980'!E$67,4)</f>
        <v>0.93779999999999997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1980'!H$67,4)</f>
        <v>0.96750000000000003</v>
      </c>
    </row>
    <row r="64" spans="2:8">
      <c r="B64">
        <f>+Sheet3!A64</f>
        <v>2009</v>
      </c>
      <c r="C64">
        <f>ROUND('dat_file 1980'!C64/'dat_file 1980'!C$67,4)</f>
        <v>0.94059999999999999</v>
      </c>
      <c r="D64">
        <f>ROUND('dat_file 1980'!D64/'dat_file 1980'!D$67,4)</f>
        <v>0.93410000000000004</v>
      </c>
      <c r="E64">
        <f>ROUND('dat_file 1980'!E64/'dat_file 1980'!E$67,4)</f>
        <v>0.93440000000000001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1980'!H$67,4)</f>
        <v>0.95630000000000004</v>
      </c>
    </row>
    <row r="65" spans="2:8">
      <c r="B65">
        <f>+Sheet3!A65</f>
        <v>2010</v>
      </c>
      <c r="C65">
        <f>ROUND('dat_file 1980'!C65/'dat_file 1980'!C$67,4)</f>
        <v>0.95750000000000002</v>
      </c>
      <c r="D65">
        <f>ROUND('dat_file 1980'!D65/'dat_file 1980'!D$67,4)</f>
        <v>0.94920000000000004</v>
      </c>
      <c r="E65">
        <f>ROUND('dat_file 1980'!E65/'dat_file 1980'!E$67,4)</f>
        <v>0.94979999999999998</v>
      </c>
      <c r="F65">
        <f>'dat_file 1980'!F65</f>
        <v>0.1754</v>
      </c>
      <c r="G65">
        <f>'dat_file 1980'!G65</f>
        <v>0.1532</v>
      </c>
      <c r="H65">
        <f>ROUND('dat_file 1980'!H65/'dat_file 1980'!H$67,4)</f>
        <v>0.96419999999999995</v>
      </c>
    </row>
    <row r="66" spans="2:8">
      <c r="B66">
        <f>+Sheet3!A66</f>
        <v>2011</v>
      </c>
      <c r="C66">
        <f>ROUND('dat_file 1980'!C66/'dat_file 1980'!C$67,4)</f>
        <v>0.98170000000000002</v>
      </c>
      <c r="D66">
        <f>ROUND('dat_file 1980'!D66/'dat_file 1980'!D$67,4)</f>
        <v>0.97950000000000004</v>
      </c>
      <c r="E66">
        <f>ROUND('dat_file 1980'!E66/'dat_file 1980'!E$67,4)</f>
        <v>0.97970000000000002</v>
      </c>
      <c r="F66">
        <f>'dat_file 1980'!F66</f>
        <v>0.17</v>
      </c>
      <c r="G66">
        <f>'dat_file 1980'!G66</f>
        <v>0.14849999999999999</v>
      </c>
      <c r="H66">
        <f>ROUND('dat_file 1980'!H66/'dat_file 1980'!H$67,4)</f>
        <v>0.98719999999999997</v>
      </c>
    </row>
    <row r="67" spans="2:8">
      <c r="B67">
        <f>+Sheet3!A67</f>
        <v>2012</v>
      </c>
      <c r="C67">
        <f>ROUND('dat_file 1980'!C67/'dat_file 1980'!C$67,4)</f>
        <v>1</v>
      </c>
      <c r="D67">
        <f>ROUND('dat_file 1980'!D67/'dat_file 1980'!D$67,4)</f>
        <v>1</v>
      </c>
      <c r="E67">
        <f>ROUND('dat_file 1980'!E67/'dat_file 1980'!E$67,4)</f>
        <v>1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1980'!H$67,4)</f>
        <v>1</v>
      </c>
    </row>
    <row r="68" spans="2:8">
      <c r="B68">
        <f>+Sheet3!A68</f>
        <v>2013</v>
      </c>
      <c r="C68">
        <f>ROUND('dat_file 1980'!C68/'dat_file 1980'!C$67,4)</f>
        <v>1.0135000000000001</v>
      </c>
      <c r="D68">
        <f>ROUND('dat_file 1980'!D68/'dat_file 1980'!D$67,4)</f>
        <v>1.0150999999999999</v>
      </c>
      <c r="E68">
        <f>ROUND('dat_file 1980'!E68/'dat_file 1980'!E$67,4)</f>
        <v>1.0145999999999999</v>
      </c>
      <c r="F68">
        <f>'dat_file 1980'!F68</f>
        <v>0.16400000000000001</v>
      </c>
      <c r="G68">
        <f>'dat_file 1980'!G68</f>
        <v>0.1434</v>
      </c>
      <c r="H68">
        <f>ROUND('dat_file 1980'!H68/'dat_file 1980'!H$67,4)</f>
        <v>1.0071000000000001</v>
      </c>
    </row>
    <row r="69" spans="2:8">
      <c r="B69">
        <f>+Sheet3!A69</f>
        <v>2014</v>
      </c>
      <c r="C69">
        <f>ROUND('dat_file 1980'!C69/'dat_file 1980'!C$67,4)</f>
        <v>1.0288999999999999</v>
      </c>
      <c r="D69">
        <f>ROUND('dat_file 1980'!D69/'dat_file 1980'!D$67,4)</f>
        <v>1.032</v>
      </c>
      <c r="E69">
        <f>ROUND('dat_file 1980'!E69/'dat_file 1980'!E$67,4)</f>
        <v>1.0310999999999999</v>
      </c>
      <c r="F69">
        <f>'dat_file 1980'!F69</f>
        <v>0.1613</v>
      </c>
      <c r="G69">
        <f>'dat_file 1980'!G69</f>
        <v>0.1411</v>
      </c>
      <c r="H69">
        <f>ROUND('dat_file 1980'!H69/'dat_file 1980'!H$67,4)</f>
        <v>1.0158</v>
      </c>
    </row>
    <row r="70" spans="2:8">
      <c r="B70">
        <f>+Sheet3!A70</f>
        <v>2015</v>
      </c>
      <c r="C70">
        <f>ROUND('dat_file 1980'!C70/'dat_file 1980'!C$67,4)</f>
        <v>1.0310999999999999</v>
      </c>
      <c r="D70">
        <f>ROUND('dat_file 1980'!D70/'dat_file 1980'!D$67,4)</f>
        <v>1.0338000000000001</v>
      </c>
      <c r="E70">
        <f>ROUND('dat_file 1980'!E70/'dat_file 1980'!E$67,4)</f>
        <v>1.0323</v>
      </c>
      <c r="F70">
        <f>'dat_file 1980'!F70</f>
        <v>0.16109999999999999</v>
      </c>
      <c r="G70">
        <f>'dat_file 1980'!G70</f>
        <v>0.1409</v>
      </c>
      <c r="H70">
        <f>ROUND('dat_file 1980'!H70/'dat_file 1980'!H$67,4)</f>
        <v>1.0095000000000001</v>
      </c>
    </row>
    <row r="71" spans="2:8">
      <c r="B71">
        <f>+Sheet3!A71</f>
        <v>2016</v>
      </c>
      <c r="C71">
        <f>ROUND('dat_file 1980'!C71/'dat_file 1980'!C$67,4)</f>
        <v>1.0415000000000001</v>
      </c>
      <c r="D71">
        <f>ROUND('dat_file 1980'!D71/'dat_file 1980'!D$67,4)</f>
        <v>1.0471999999999999</v>
      </c>
      <c r="E71">
        <f>ROUND('dat_file 1980'!E71/'dat_file 1980'!E$67,4)</f>
        <v>1.0454000000000001</v>
      </c>
      <c r="F71">
        <f>'dat_file 1980'!F71</f>
        <v>0.159</v>
      </c>
      <c r="G71">
        <f>'dat_file 1980'!G71</f>
        <v>0.13919999999999999</v>
      </c>
      <c r="H71">
        <f>ROUND('dat_file 1980'!H71/'dat_file 1980'!H$67,4)</f>
        <v>1.0144</v>
      </c>
    </row>
    <row r="72" spans="2:8">
      <c r="B72">
        <f>+Sheet3!A72</f>
        <v>2017</v>
      </c>
      <c r="C72">
        <f>ROUND('dat_file 1980'!C72/'dat_file 1980'!C$67,4)</f>
        <v>1.0605</v>
      </c>
      <c r="D72">
        <f>ROUND('dat_file 1980'!D72/'dat_file 1980'!D$67,4)</f>
        <v>1.0694999999999999</v>
      </c>
      <c r="E72">
        <f>ROUND('dat_file 1980'!E72/'dat_file 1980'!E$67,4)</f>
        <v>1.0677000000000001</v>
      </c>
      <c r="F72">
        <f>'dat_file 1980'!F72</f>
        <v>0.15570000000000001</v>
      </c>
      <c r="G72">
        <f>'dat_file 1980'!G72</f>
        <v>0.1363</v>
      </c>
      <c r="H72">
        <f>ROUND('dat_file 1980'!H72/'dat_file 1980'!H$67,4)</f>
        <v>1.0279</v>
      </c>
    </row>
    <row r="73" spans="2:8">
      <c r="B73">
        <f>+Sheet3!A73</f>
        <v>2018</v>
      </c>
      <c r="C73">
        <f>ROUND('dat_file 1980'!C73/'dat_file 1980'!C$67,4)</f>
        <v>1.0831</v>
      </c>
      <c r="D73">
        <f>ROUND('dat_file 1980'!D73/'dat_file 1980'!D$67,4)</f>
        <v>1.0955999999999999</v>
      </c>
      <c r="E73">
        <f>ROUND('dat_file 1980'!E73/'dat_file 1980'!E$67,4)</f>
        <v>1.0936999999999999</v>
      </c>
      <c r="F73">
        <f>'dat_file 1980'!F73</f>
        <v>0.152</v>
      </c>
      <c r="G73">
        <f>'dat_file 1980'!G73</f>
        <v>0.13300000000000001</v>
      </c>
      <c r="H73">
        <f>ROUND('dat_file 1980'!H73/'dat_file 1980'!H$67,4)</f>
        <v>1.0448</v>
      </c>
    </row>
    <row r="74" spans="2:8">
      <c r="B74">
        <f>+Sheet3!A74</f>
        <v>2019</v>
      </c>
      <c r="C74">
        <f>ROUND('dat_file 1980'!C74/'dat_file 1980'!C$67,4)</f>
        <v>1.0992999999999999</v>
      </c>
      <c r="D74">
        <f>ROUND('dat_file 1980'!D74/'dat_file 1980'!D$67,4)</f>
        <v>1.1153999999999999</v>
      </c>
      <c r="E74">
        <f>ROUND('dat_file 1980'!E74/'dat_file 1980'!E$67,4)</f>
        <v>1.1134999999999999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1980'!H$67,4)</f>
        <v>1.0553999999999999</v>
      </c>
    </row>
    <row r="75" spans="2:8">
      <c r="B75">
        <f>+Sheet3!A75</f>
        <v>2020</v>
      </c>
      <c r="C75">
        <f>ROUND('dat_file 1980'!C75/'dat_file 1980'!C$67,4)</f>
        <v>1.1113999999999999</v>
      </c>
      <c r="D75">
        <f>ROUND('dat_file 1980'!D75/'dat_file 1980'!D$67,4)</f>
        <v>1.1303000000000001</v>
      </c>
      <c r="E75">
        <f>ROUND('dat_file 1980'!E75/'dat_file 1980'!E$67,4)</f>
        <v>1.1273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1980'!H$67,4)</f>
        <v>1.0609999999999999</v>
      </c>
    </row>
    <row r="76" spans="2:8">
      <c r="B76">
        <f>+Sheet3!A76</f>
        <v>2021</v>
      </c>
      <c r="C76">
        <f>ROUND('dat_file 1980'!C76/'dat_file 1980'!C$67,4)</f>
        <v>1.1561999999999999</v>
      </c>
      <c r="D76">
        <f>ROUND('dat_file 1980'!D76/'dat_file 1980'!D$67,4)</f>
        <v>1.1849000000000001</v>
      </c>
      <c r="E76">
        <f>ROUND('dat_file 1980'!E76/'dat_file 1980'!E$67,4)</f>
        <v>1.1801999999999999</v>
      </c>
      <c r="F76">
        <f>'dat_file 1980'!F76</f>
        <v>0.14050000000000001</v>
      </c>
      <c r="G76">
        <f>'dat_file 1980'!G76</f>
        <v>0.12330000000000001</v>
      </c>
      <c r="H76">
        <f>ROUND('dat_file 1980'!H76/'dat_file 1980'!H$67,4)</f>
        <v>1.1036999999999999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77"/>
  <sheetViews>
    <sheetView tabSelected="1" topLeftCell="A64" workbookViewId="0">
      <selection activeCell="F79" sqref="F79"/>
    </sheetView>
  </sheetViews>
  <sheetFormatPr defaultRowHeight="12.75"/>
  <sheetData>
    <row r="1" spans="2:8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</row>
    <row r="2" spans="2:8">
      <c r="B2">
        <f>+Sheet3!A2</f>
        <v>1947</v>
      </c>
      <c r="C2">
        <f>ROUND('dat_file 1980'!C2/'dat_file 1980'!C$70,4)</f>
        <v>0.1211</v>
      </c>
      <c r="D2">
        <f>ROUND('dat_file 1980'!D2/'dat_file 1980'!D$70,4)</f>
        <v>0.1076</v>
      </c>
      <c r="E2">
        <f>ROUND('dat_file 1980'!E2/'dat_file 1980'!E$70,4)</f>
        <v>9.4100000000000003E-2</v>
      </c>
      <c r="F2">
        <f>'dat_file 1980'!F2</f>
        <v>1.496</v>
      </c>
      <c r="G2">
        <f>'dat_file 1980'!G2</f>
        <v>1.4978</v>
      </c>
      <c r="H2">
        <f>ROUND('dat_file 1980'!H2/'dat_file 1980'!H$70,4)</f>
        <v>0.19950000000000001</v>
      </c>
    </row>
    <row r="3" spans="2:8">
      <c r="B3">
        <f>+Sheet3!A3</f>
        <v>1948</v>
      </c>
      <c r="C3">
        <f>ROUND('dat_file 1980'!C3/'dat_file 1980'!C$70,4)</f>
        <v>0.128</v>
      </c>
      <c r="D3">
        <f>ROUND('dat_file 1980'!D3/'dat_file 1980'!D$70,4)</f>
        <v>0.1163</v>
      </c>
      <c r="E3">
        <f>ROUND('dat_file 1980'!E3/'dat_file 1980'!E$70,4)</f>
        <v>0.1017</v>
      </c>
      <c r="F3">
        <f>'dat_file 1980'!F3</f>
        <v>1.3852</v>
      </c>
      <c r="G3">
        <f>'dat_file 1980'!G3</f>
        <v>1.3858999999999999</v>
      </c>
      <c r="H3">
        <f>ROUND('dat_file 1980'!H3/'dat_file 1980'!H$70,4)</f>
        <v>0.2132</v>
      </c>
    </row>
    <row r="4" spans="2:8">
      <c r="B4">
        <f>+Sheet3!A4</f>
        <v>1949</v>
      </c>
      <c r="C4">
        <f>ROUND('dat_file 1980'!C4/'dat_file 1980'!C$70,4)</f>
        <v>0.127</v>
      </c>
      <c r="D4">
        <f>ROUND('dat_file 1980'!D4/'dat_file 1980'!D$70,4)</f>
        <v>0.1148</v>
      </c>
      <c r="E4">
        <f>ROUND('dat_file 1980'!E4/'dat_file 1980'!E$70,4)</f>
        <v>0.1004</v>
      </c>
      <c r="F4">
        <f>'dat_file 1980'!F4</f>
        <v>1.4025000000000001</v>
      </c>
      <c r="G4">
        <f>'dat_file 1980'!G4</f>
        <v>1.4034</v>
      </c>
      <c r="H4">
        <f>ROUND('dat_file 1980'!H4/'dat_file 1980'!H$70,4)</f>
        <v>0.20830000000000001</v>
      </c>
    </row>
    <row r="5" spans="2:8">
      <c r="B5">
        <f>+Sheet3!A5</f>
        <v>1950</v>
      </c>
      <c r="C5">
        <f>ROUND('dat_file 1980'!C5/'dat_file 1980'!C$70,4)</f>
        <v>0.1285</v>
      </c>
      <c r="D5">
        <f>ROUND('dat_file 1980'!D5/'dat_file 1980'!D$70,4)</f>
        <v>0.1163</v>
      </c>
      <c r="E5">
        <f>ROUND('dat_file 1980'!E5/'dat_file 1980'!E$70,4)</f>
        <v>0.1017</v>
      </c>
      <c r="F5">
        <f>'dat_file 1980'!F5</f>
        <v>1.3852</v>
      </c>
      <c r="G5">
        <f>'dat_file 1980'!G5</f>
        <v>1.3858999999999999</v>
      </c>
      <c r="H5">
        <f>ROUND('dat_file 1980'!H5/'dat_file 1980'!H$70,4)</f>
        <v>0.20860000000000001</v>
      </c>
    </row>
    <row r="6" spans="2:8">
      <c r="B6">
        <f>+Sheet3!A6</f>
        <v>1951</v>
      </c>
      <c r="C6">
        <f>ROUND('dat_file 1980'!C6/'dat_file 1980'!C$70,4)</f>
        <v>0.13730000000000001</v>
      </c>
      <c r="D6">
        <f>ROUND('dat_file 1980'!D6/'dat_file 1980'!D$70,4)</f>
        <v>0.1255</v>
      </c>
      <c r="E6">
        <f>ROUND('dat_file 1980'!E6/'dat_file 1980'!E$70,4)</f>
        <v>0.10970000000000001</v>
      </c>
      <c r="F6">
        <f>'dat_file 1980'!F6</f>
        <v>1.2838000000000001</v>
      </c>
      <c r="G6">
        <f>'dat_file 1980'!G6</f>
        <v>1.2846</v>
      </c>
      <c r="H6">
        <f>ROUND('dat_file 1980'!H6/'dat_file 1980'!H$70,4)</f>
        <v>0.22270000000000001</v>
      </c>
    </row>
    <row r="7" spans="2:8">
      <c r="B7">
        <f>+Sheet3!A7</f>
        <v>1952</v>
      </c>
      <c r="C7">
        <f>ROUND('dat_file 1980'!C7/'dat_file 1980'!C$70,4)</f>
        <v>0.1401</v>
      </c>
      <c r="D7">
        <f>ROUND('dat_file 1980'!D7/'dat_file 1980'!D$70,4)</f>
        <v>0.1278</v>
      </c>
      <c r="E7">
        <f>ROUND('dat_file 1980'!E7/'dat_file 1980'!E$70,4)</f>
        <v>0.1118</v>
      </c>
      <c r="F7">
        <f>'dat_file 1980'!F7</f>
        <v>1.2606999999999999</v>
      </c>
      <c r="G7">
        <f>'dat_file 1980'!G7</f>
        <v>1.2604</v>
      </c>
      <c r="H7">
        <f>ROUND('dat_file 1980'!H7/'dat_file 1980'!H$70,4)</f>
        <v>0.22439999999999999</v>
      </c>
    </row>
    <row r="8" spans="2:8">
      <c r="B8">
        <f>+Sheet3!A8</f>
        <v>1953</v>
      </c>
      <c r="C8">
        <f>ROUND('dat_file 1980'!C8/'dat_file 1980'!C$70,4)</f>
        <v>0.1419</v>
      </c>
      <c r="D8">
        <f>ROUND('dat_file 1980'!D8/'dat_file 1980'!D$70,4)</f>
        <v>0.12859999999999999</v>
      </c>
      <c r="E8">
        <f>ROUND('dat_file 1980'!E8/'dat_file 1980'!E$70,4)</f>
        <v>0.11260000000000001</v>
      </c>
      <c r="F8">
        <f>'dat_file 1980'!F8</f>
        <v>1.2522</v>
      </c>
      <c r="G8">
        <f>'dat_file 1980'!G8</f>
        <v>1.2508999999999999</v>
      </c>
      <c r="H8">
        <f>ROUND('dat_file 1980'!H8/'dat_file 1980'!H$70,4)</f>
        <v>0.22339999999999999</v>
      </c>
    </row>
    <row r="9" spans="2:8">
      <c r="B9">
        <f>+Sheet3!A9</f>
        <v>1954</v>
      </c>
      <c r="C9">
        <f>ROUND('dat_file 1980'!C9/'dat_file 1980'!C$70,4)</f>
        <v>0.1431</v>
      </c>
      <c r="D9">
        <f>ROUND('dat_file 1980'!D9/'dat_file 1980'!D$70,4)</f>
        <v>0.1298</v>
      </c>
      <c r="E9">
        <f>ROUND('dat_file 1980'!E9/'dat_file 1980'!E$70,4)</f>
        <v>0.1135</v>
      </c>
      <c r="F9">
        <f>'dat_file 1980'!F9</f>
        <v>1.2412000000000001</v>
      </c>
      <c r="G9">
        <f>'dat_file 1980'!G9</f>
        <v>1.2416</v>
      </c>
      <c r="H9">
        <f>ROUND('dat_file 1980'!H9/'dat_file 1980'!H$70,4)</f>
        <v>0.223</v>
      </c>
    </row>
    <row r="10" spans="2:8">
      <c r="B10">
        <f>+Sheet3!A10</f>
        <v>1955</v>
      </c>
      <c r="C10">
        <f>ROUND('dat_file 1980'!C10/'dat_file 1980'!C$70,4)</f>
        <v>0.14369999999999999</v>
      </c>
      <c r="D10">
        <f>ROUND('dat_file 1980'!D10/'dat_file 1980'!D$70,4)</f>
        <v>0.12920000000000001</v>
      </c>
      <c r="E10">
        <f>ROUND('dat_file 1980'!E10/'dat_file 1980'!E$70,4)</f>
        <v>0.11310000000000001</v>
      </c>
      <c r="F10">
        <f>'dat_file 1980'!F10</f>
        <v>1.2466999999999999</v>
      </c>
      <c r="G10">
        <f>'dat_file 1980'!G10</f>
        <v>1.2463</v>
      </c>
      <c r="H10">
        <f>ROUND('dat_file 1980'!H10/'dat_file 1980'!H$70,4)</f>
        <v>0.2195</v>
      </c>
    </row>
    <row r="11" spans="2:8">
      <c r="B11">
        <f>+Sheet3!A11</f>
        <v>1956</v>
      </c>
      <c r="C11">
        <f>ROUND('dat_file 1980'!C11/'dat_file 1980'!C$70,4)</f>
        <v>0.14649999999999999</v>
      </c>
      <c r="D11">
        <f>ROUND('dat_file 1980'!D11/'dat_file 1980'!D$70,4)</f>
        <v>0.13120000000000001</v>
      </c>
      <c r="E11">
        <f>ROUND('dat_file 1980'!E11/'dat_file 1980'!E$70,4)</f>
        <v>0.1148</v>
      </c>
      <c r="F11">
        <f>'dat_file 1980'!F11</f>
        <v>1.2276</v>
      </c>
      <c r="G11">
        <f>'dat_file 1980'!G11</f>
        <v>1.2279</v>
      </c>
      <c r="H11">
        <f>ROUND('dat_file 1980'!H11/'dat_file 1980'!H$70,4)</f>
        <v>0.2205</v>
      </c>
    </row>
    <row r="12" spans="2:8">
      <c r="B12">
        <f>+Sheet3!A12</f>
        <v>1957</v>
      </c>
      <c r="C12">
        <f>ROUND('dat_file 1980'!C12/'dat_file 1980'!C$70,4)</f>
        <v>0.151</v>
      </c>
      <c r="D12">
        <f>ROUND('dat_file 1980'!D12/'dat_file 1980'!D$70,4)</f>
        <v>0.13550000000000001</v>
      </c>
      <c r="E12">
        <f>ROUND('dat_file 1980'!E12/'dat_file 1980'!E$70,4)</f>
        <v>0.1186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1980'!H$70,4)</f>
        <v>0.2253</v>
      </c>
    </row>
    <row r="13" spans="2:8">
      <c r="B13">
        <f>+Sheet3!A13</f>
        <v>1958</v>
      </c>
      <c r="C13">
        <f>ROUND('dat_file 1980'!C13/'dat_file 1980'!C$70,4)</f>
        <v>0.15459999999999999</v>
      </c>
      <c r="D13">
        <f>ROUND('dat_file 1980'!D13/'dat_file 1980'!D$70,4)</f>
        <v>0.13919999999999999</v>
      </c>
      <c r="E13">
        <f>ROUND('dat_file 1980'!E13/'dat_file 1980'!E$70,4)</f>
        <v>0.12189999999999999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1980'!H$70,4)</f>
        <v>0.2291</v>
      </c>
    </row>
    <row r="14" spans="2:8">
      <c r="B14">
        <f>+Sheet3!A14</f>
        <v>1959</v>
      </c>
      <c r="C14">
        <f>ROUND('dat_file 1980'!C14/'dat_file 1980'!C$70,4)</f>
        <v>0.15690000000000001</v>
      </c>
      <c r="D14">
        <f>ROUND('dat_file 1980'!D14/'dat_file 1980'!D$70,4)</f>
        <v>0.1404</v>
      </c>
      <c r="E14">
        <f>ROUND('dat_file 1980'!E14/'dat_file 1980'!E$70,4)</f>
        <v>0.12280000000000001</v>
      </c>
      <c r="F14">
        <f>'dat_file 1980'!F14</f>
        <v>1.1472</v>
      </c>
      <c r="G14">
        <f>'dat_file 1980'!G14</f>
        <v>1.1477999999999999</v>
      </c>
      <c r="H14">
        <f>ROUND('dat_file 1980'!H14/'dat_file 1980'!H$70,4)</f>
        <v>0.22839999999999999</v>
      </c>
    </row>
    <row r="15" spans="2:8">
      <c r="B15">
        <f>+Sheet3!A15</f>
        <v>1960</v>
      </c>
      <c r="C15">
        <f>ROUND('dat_file 1980'!C15/'dat_file 1980'!C$70,4)</f>
        <v>0.15939999999999999</v>
      </c>
      <c r="D15">
        <f>ROUND('dat_file 1980'!D15/'dat_file 1980'!D$70,4)</f>
        <v>0.14269999999999999</v>
      </c>
      <c r="E15">
        <f>ROUND('dat_file 1980'!E15/'dat_file 1980'!E$70,4)</f>
        <v>0.1249</v>
      </c>
      <c r="F15">
        <f>'dat_file 1980'!F15</f>
        <v>1.1288</v>
      </c>
      <c r="G15">
        <f>'dat_file 1980'!G15</f>
        <v>1.1284000000000001</v>
      </c>
      <c r="H15">
        <f>ROUND('dat_file 1980'!H15/'dat_file 1980'!H$70,4)</f>
        <v>0.2296</v>
      </c>
    </row>
    <row r="16" spans="2:8">
      <c r="B16">
        <f>+Sheet3!A16</f>
        <v>1961</v>
      </c>
      <c r="C16">
        <f>ROUND('dat_file 1980'!C16/'dat_file 1980'!C$70,4)</f>
        <v>0.16109999999999999</v>
      </c>
      <c r="D16">
        <f>ROUND('dat_file 1980'!D16/'dat_file 1980'!D$70,4)</f>
        <v>0.14410000000000001</v>
      </c>
      <c r="E16">
        <f>ROUND('dat_file 1980'!E16/'dat_file 1980'!E$70,4)</f>
        <v>0.12620000000000001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1980'!H$70,4)</f>
        <v>0.22950000000000001</v>
      </c>
    </row>
    <row r="17" spans="2:8">
      <c r="B17">
        <f>+Sheet3!A17</f>
        <v>1962</v>
      </c>
      <c r="C17">
        <f>ROUND('dat_file 1980'!C17/'dat_file 1980'!C$70,4)</f>
        <v>0.16300000000000001</v>
      </c>
      <c r="D17">
        <f>ROUND('dat_file 1980'!D17/'dat_file 1980'!D$70,4)</f>
        <v>0.14560000000000001</v>
      </c>
      <c r="E17">
        <f>ROUND('dat_file 1980'!E17/'dat_file 1980'!E$70,4)</f>
        <v>0.12740000000000001</v>
      </c>
      <c r="F17">
        <f>'dat_file 1980'!F17</f>
        <v>1.1065</v>
      </c>
      <c r="G17">
        <f>'dat_file 1980'!G17</f>
        <v>1.1060000000000001</v>
      </c>
      <c r="H17">
        <f>ROUND('dat_file 1980'!H17/'dat_file 1980'!H$70,4)</f>
        <v>0.22919999999999999</v>
      </c>
    </row>
    <row r="18" spans="2:8">
      <c r="B18">
        <f>+Sheet3!A18</f>
        <v>1963</v>
      </c>
      <c r="C18">
        <f>ROUND('dat_file 1980'!C18/'dat_file 1980'!C$70,4)</f>
        <v>0.16489999999999999</v>
      </c>
      <c r="D18">
        <f>ROUND('dat_file 1980'!D18/'dat_file 1980'!D$70,4)</f>
        <v>0.14760000000000001</v>
      </c>
      <c r="E18">
        <f>ROUND('dat_file 1980'!E18/'dat_file 1980'!E$70,4)</f>
        <v>0.12909999999999999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1980'!H$70,4)</f>
        <v>0.2298</v>
      </c>
    </row>
    <row r="19" spans="2:8">
      <c r="B19">
        <f>+Sheet3!A19</f>
        <v>1964</v>
      </c>
      <c r="C19">
        <f>ROUND('dat_file 1980'!C19/'dat_file 1980'!C$70,4)</f>
        <v>0.1673</v>
      </c>
      <c r="D19">
        <f>ROUND('dat_file 1980'!D19/'dat_file 1980'!D$70,4)</f>
        <v>0.14960000000000001</v>
      </c>
      <c r="E19">
        <f>ROUND('dat_file 1980'!E19/'dat_file 1980'!E$70,4)</f>
        <v>0.1308</v>
      </c>
      <c r="F19">
        <f>'dat_file 1980'!F19</f>
        <v>1.0768</v>
      </c>
      <c r="G19">
        <f>'dat_file 1980'!G19</f>
        <v>1.0773999999999999</v>
      </c>
      <c r="H19">
        <f>ROUND('dat_file 1980'!H19/'dat_file 1980'!H$70,4)</f>
        <v>0.23050000000000001</v>
      </c>
    </row>
    <row r="20" spans="2:8">
      <c r="B20">
        <f>+Sheet3!A20</f>
        <v>1965</v>
      </c>
      <c r="C20">
        <f>ROUND('dat_file 1980'!C20/'dat_file 1980'!C$70,4)</f>
        <v>0.16969999999999999</v>
      </c>
      <c r="D20">
        <f>ROUND('dat_file 1980'!D20/'dat_file 1980'!D$70,4)</f>
        <v>0.15190000000000001</v>
      </c>
      <c r="E20">
        <f>ROUND('dat_file 1980'!E20/'dat_file 1980'!E$70,4)</f>
        <v>0.13289999999999999</v>
      </c>
      <c r="F20">
        <f>'dat_file 1980'!F20</f>
        <v>1.0605</v>
      </c>
      <c r="G20">
        <f>'dat_file 1980'!G20</f>
        <v>1.0603</v>
      </c>
      <c r="H20">
        <f>ROUND('dat_file 1980'!H20/'dat_file 1980'!H$70,4)</f>
        <v>0.23150000000000001</v>
      </c>
    </row>
    <row r="21" spans="2:8">
      <c r="B21">
        <f>+Sheet3!A21</f>
        <v>1966</v>
      </c>
      <c r="C21">
        <f>ROUND('dat_file 1980'!C21/'dat_file 1980'!C$70,4)</f>
        <v>0.17399999999999999</v>
      </c>
      <c r="D21">
        <f>ROUND('dat_file 1980'!D21/'dat_file 1980'!D$70,4)</f>
        <v>0.15620000000000001</v>
      </c>
      <c r="E21">
        <f>ROUND('dat_file 1980'!E21/'dat_file 1980'!E$70,4)</f>
        <v>0.13669999999999999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1980'!H$70,4)</f>
        <v>0.23549999999999999</v>
      </c>
    </row>
    <row r="22" spans="2:8">
      <c r="B22">
        <f>+Sheet3!A22</f>
        <v>1967</v>
      </c>
      <c r="C22">
        <f>ROUND('dat_file 1980'!C22/'dat_file 1980'!C$70,4)</f>
        <v>0.1784</v>
      </c>
      <c r="D22">
        <f>ROUND('dat_file 1980'!D22/'dat_file 1980'!D$70,4)</f>
        <v>0.16109999999999999</v>
      </c>
      <c r="E22">
        <f>ROUND('dat_file 1980'!E22/'dat_file 1980'!E$70,4)</f>
        <v>0.1409</v>
      </c>
      <c r="F22">
        <f>'dat_file 1980'!F22</f>
        <v>1</v>
      </c>
      <c r="G22">
        <f>'dat_file 1980'!G22</f>
        <v>1</v>
      </c>
      <c r="H22">
        <f>ROUND('dat_file 1980'!H22/'dat_file 1980'!H$70,4)</f>
        <v>0.2402</v>
      </c>
    </row>
    <row r="23" spans="2:8">
      <c r="B23">
        <f>+Sheet3!A23</f>
        <v>1968</v>
      </c>
      <c r="C23">
        <f>ROUND('dat_file 1980'!C23/'dat_file 1980'!C$70,4)</f>
        <v>0.18540000000000001</v>
      </c>
      <c r="D23">
        <f>ROUND('dat_file 1980'!D23/'dat_file 1980'!D$70,4)</f>
        <v>0.16739999999999999</v>
      </c>
      <c r="E23">
        <f>ROUND('dat_file 1980'!E23/'dat_file 1980'!E$70,4)</f>
        <v>0.14680000000000001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1980'!H$70,4)</f>
        <v>0.247</v>
      </c>
    </row>
    <row r="24" spans="2:8">
      <c r="B24">
        <f>+Sheet3!A24</f>
        <v>1969</v>
      </c>
      <c r="C24">
        <f>ROUND('dat_file 1980'!C24/'dat_file 1980'!C$70,4)</f>
        <v>0.19370000000000001</v>
      </c>
      <c r="D24">
        <f>ROUND('dat_file 1980'!D24/'dat_file 1980'!D$70,4)</f>
        <v>0.1749</v>
      </c>
      <c r="E24">
        <f>ROUND('dat_file 1980'!E24/'dat_file 1980'!E$70,4)</f>
        <v>0.15479999999999999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1980'!H$70,4)</f>
        <v>0.25530000000000003</v>
      </c>
    </row>
    <row r="25" spans="2:8">
      <c r="B25">
        <f>+Sheet3!A25</f>
        <v>1970</v>
      </c>
      <c r="C25">
        <f>ROUND('dat_file 1980'!C25/'dat_file 1980'!C$70,4)</f>
        <v>0.20280000000000001</v>
      </c>
      <c r="D25">
        <f>ROUND('dat_file 1980'!D25/'dat_file 1980'!D$70,4)</f>
        <v>0.1835</v>
      </c>
      <c r="E25">
        <f>ROUND('dat_file 1980'!E25/'dat_file 1980'!E$70,4)</f>
        <v>0.16370000000000001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1980'!H$70,4)</f>
        <v>0.2651</v>
      </c>
    </row>
    <row r="26" spans="2:8">
      <c r="B26">
        <f>+Sheet3!A26</f>
        <v>1971</v>
      </c>
      <c r="C26">
        <f>ROUND('dat_file 1980'!C26/'dat_file 1980'!C$70,4)</f>
        <v>0.2114</v>
      </c>
      <c r="D26">
        <f>ROUND('dat_file 1980'!D26/'dat_file 1980'!D$70,4)</f>
        <v>0.1915</v>
      </c>
      <c r="E26">
        <f>ROUND('dat_file 1980'!E26/'dat_file 1980'!E$70,4)</f>
        <v>0.1709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1980'!H$70,4)</f>
        <v>0.27379999999999999</v>
      </c>
    </row>
    <row r="27" spans="2:8">
      <c r="B27">
        <f>+Sheet3!A27</f>
        <v>1972</v>
      </c>
      <c r="C27">
        <f>ROUND('dat_file 1980'!C27/'dat_file 1980'!C$70,4)</f>
        <v>0.21859999999999999</v>
      </c>
      <c r="D27">
        <f>ROUND('dat_file 1980'!D27/'dat_file 1980'!D$70,4)</f>
        <v>0.19719999999999999</v>
      </c>
      <c r="E27">
        <f>ROUND('dat_file 1980'!E27/'dat_file 1980'!E$70,4)</f>
        <v>0.1764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1980'!H$70,4)</f>
        <v>0.27900000000000003</v>
      </c>
    </row>
    <row r="28" spans="2:8">
      <c r="B28">
        <f>+Sheet3!A28</f>
        <v>1973</v>
      </c>
      <c r="C28">
        <f>ROUND('dat_file 1980'!C28/'dat_file 1980'!C$70,4)</f>
        <v>0.23039999999999999</v>
      </c>
      <c r="D28">
        <f>ROUND('dat_file 1980'!D28/'dat_file 1980'!D$70,4)</f>
        <v>0.20960000000000001</v>
      </c>
      <c r="E28">
        <f>ROUND('dat_file 1980'!E28/'dat_file 1980'!E$70,4)</f>
        <v>0.18729999999999999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1980'!H$70,4)</f>
        <v>0.29339999999999999</v>
      </c>
    </row>
    <row r="29" spans="2:8">
      <c r="B29">
        <f>+Sheet3!A29</f>
        <v>1974</v>
      </c>
      <c r="C29">
        <f>ROUND('dat_file 1980'!C29/'dat_file 1980'!C$70,4)</f>
        <v>0.25440000000000002</v>
      </c>
      <c r="D29">
        <f>ROUND('dat_file 1980'!D29/'dat_file 1980'!D$70,4)</f>
        <v>0.2306</v>
      </c>
      <c r="E29">
        <f>ROUND('dat_file 1980'!E29/'dat_file 1980'!E$70,4)</f>
        <v>0.20799999999999999</v>
      </c>
      <c r="F29">
        <f>'dat_file 1980'!F29</f>
        <v>0.6986</v>
      </c>
      <c r="G29">
        <f>'dat_file 1980'!G29</f>
        <v>0.67749999999999999</v>
      </c>
      <c r="H29">
        <f>ROUND('dat_file 1980'!H29/'dat_file 1980'!H$70,4)</f>
        <v>0.31950000000000001</v>
      </c>
    </row>
    <row r="30" spans="2:8">
      <c r="B30">
        <f>+Sheet3!A30</f>
        <v>1975</v>
      </c>
      <c r="C30">
        <f>ROUND('dat_file 1980'!C30/'dat_file 1980'!C$70,4)</f>
        <v>0.27560000000000001</v>
      </c>
      <c r="D30">
        <f>ROUND('dat_file 1980'!D30/'dat_file 1980'!D$70,4)</f>
        <v>0.2495</v>
      </c>
      <c r="E30">
        <f>ROUND('dat_file 1980'!E30/'dat_file 1980'!E$70,4)</f>
        <v>0.22700000000000001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1980'!H$70,4)</f>
        <v>0.3422</v>
      </c>
    </row>
    <row r="31" spans="2:8">
      <c r="B31">
        <f>+Sheet3!A31</f>
        <v>1976</v>
      </c>
      <c r="C31">
        <f>ROUND('dat_file 1980'!C31/'dat_file 1980'!C$70,4)</f>
        <v>0.29070000000000001</v>
      </c>
      <c r="D31">
        <f>ROUND('dat_file 1980'!D31/'dat_file 1980'!D$70,4)</f>
        <v>0.26390000000000002</v>
      </c>
      <c r="E31">
        <f>ROUND('dat_file 1980'!E31/'dat_file 1980'!E$70,4)</f>
        <v>0.24010000000000001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1980'!H$70,4)</f>
        <v>0.35820000000000002</v>
      </c>
    </row>
    <row r="32" spans="2:8">
      <c r="B32">
        <f>+Sheet3!A32</f>
        <v>1977</v>
      </c>
      <c r="C32">
        <f>ROUND('dat_file 1980'!C32/'dat_file 1980'!C$70,4)</f>
        <v>0.30959999999999999</v>
      </c>
      <c r="D32">
        <f>ROUND('dat_file 1980'!D32/'dat_file 1980'!D$70,4)</f>
        <v>0.28050000000000003</v>
      </c>
      <c r="E32">
        <f>ROUND('dat_file 1980'!E32/'dat_file 1980'!E$70,4)</f>
        <v>0.25569999999999998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1980'!H$70,4)</f>
        <v>0.37680000000000002</v>
      </c>
    </row>
    <row r="33" spans="2:8">
      <c r="B33">
        <f>+Sheet3!A33</f>
        <v>1978</v>
      </c>
      <c r="C33">
        <f>ROUND('dat_file 1980'!C33/'dat_file 1980'!C$70,4)</f>
        <v>0.33110000000000001</v>
      </c>
      <c r="D33">
        <f>ROUND('dat_file 1980'!D33/'dat_file 1980'!D$70,4)</f>
        <v>0.29970000000000002</v>
      </c>
      <c r="E33">
        <f>ROUND('dat_file 1980'!E33/'dat_file 1980'!E$70,4)</f>
        <v>0.27510000000000001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1980'!H$70,4)</f>
        <v>0.39960000000000001</v>
      </c>
    </row>
    <row r="34" spans="2:8">
      <c r="B34">
        <f>+Sheet3!A34</f>
        <v>1979</v>
      </c>
      <c r="C34">
        <f>ROUND('dat_file 1980'!C34/'dat_file 1980'!C$70,4)</f>
        <v>0.36059999999999998</v>
      </c>
      <c r="D34">
        <f>ROUND('dat_file 1980'!D34/'dat_file 1980'!D$70,4)</f>
        <v>0.32819999999999999</v>
      </c>
      <c r="E34">
        <f>ROUND('dat_file 1980'!E34/'dat_file 1980'!E$70,4)</f>
        <v>0.30630000000000002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1980'!H$70,4)</f>
        <v>0.43440000000000001</v>
      </c>
    </row>
    <row r="35" spans="2:8">
      <c r="B35">
        <f>+Sheet3!A35</f>
        <v>1980</v>
      </c>
      <c r="C35">
        <f>ROUND('dat_file 1980'!C35/'dat_file 1980'!C$70,4)</f>
        <v>0.39939999999999998</v>
      </c>
      <c r="D35">
        <f>ROUND('dat_file 1980'!D35/'dat_file 1980'!D$70,4)</f>
        <v>0.3649</v>
      </c>
      <c r="E35">
        <f>ROUND('dat_file 1980'!E35/'dat_file 1980'!E$70,4)</f>
        <v>0.34770000000000001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1980'!H$70,4)</f>
        <v>0.47949999999999998</v>
      </c>
    </row>
    <row r="36" spans="2:8">
      <c r="B36">
        <f>+Sheet3!A36</f>
        <v>1981</v>
      </c>
      <c r="C36">
        <f>ROUND('dat_file 1980'!C36/'dat_file 1980'!C$70,4)</f>
        <v>0.43519999999999998</v>
      </c>
      <c r="D36">
        <f>ROUND('dat_file 1980'!D36/'dat_file 1980'!D$70,4)</f>
        <v>0.39939999999999998</v>
      </c>
      <c r="E36">
        <f>ROUND('dat_file 1980'!E36/'dat_file 1980'!E$70,4)</f>
        <v>0.38350000000000001</v>
      </c>
      <c r="F36">
        <f>'dat_file 1980'!F36</f>
        <v>0.40329999999999999</v>
      </c>
      <c r="G36">
        <f>'dat_file 1980'!G36</f>
        <v>0.3674</v>
      </c>
      <c r="H36">
        <f>ROUND('dat_file 1980'!H36/'dat_file 1980'!H$70,4)</f>
        <v>0.52100000000000002</v>
      </c>
    </row>
    <row r="37" spans="2:8">
      <c r="B37">
        <f>+Sheet3!A37</f>
        <v>1982</v>
      </c>
      <c r="C37">
        <f>ROUND('dat_file 1980'!C37/'dat_file 1980'!C$70,4)</f>
        <v>0.45929999999999999</v>
      </c>
      <c r="D37">
        <f>ROUND('dat_file 1980'!D37/'dat_file 1980'!D$70,4)</f>
        <v>0.42349999999999999</v>
      </c>
      <c r="E37">
        <f>ROUND('dat_file 1980'!E37/'dat_file 1980'!E$70,4)</f>
        <v>0.40710000000000002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1980'!H$70,4)</f>
        <v>0.54820000000000002</v>
      </c>
    </row>
    <row r="38" spans="2:8">
      <c r="B38">
        <f>+Sheet3!A38</f>
        <v>1983</v>
      </c>
      <c r="C38">
        <f>ROUND('dat_file 1980'!C38/'dat_file 1980'!C$70,4)</f>
        <v>0.47889999999999999</v>
      </c>
      <c r="D38">
        <f>ROUND('dat_file 1980'!D38/'dat_file 1980'!D$70,4)</f>
        <v>0.44159999999999999</v>
      </c>
      <c r="E38">
        <f>ROUND('dat_file 1980'!E38/'dat_file 1980'!E$70,4)</f>
        <v>0.42020000000000002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1980'!H$70,4)</f>
        <v>0.56730000000000003</v>
      </c>
    </row>
    <row r="39" spans="2:8">
      <c r="B39">
        <f>+Sheet3!A39</f>
        <v>1984</v>
      </c>
      <c r="C39">
        <f>ROUND('dat_file 1980'!C39/'dat_file 1980'!C$70,4)</f>
        <v>0.49690000000000001</v>
      </c>
      <c r="D39">
        <f>ROUND('dat_file 1980'!D39/'dat_file 1980'!D$70,4)</f>
        <v>0.45989999999999998</v>
      </c>
      <c r="E39">
        <f>ROUND('dat_file 1980'!E39/'dat_file 1980'!E$70,4)</f>
        <v>0.43840000000000001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1980'!H$70,4)</f>
        <v>0.58640000000000003</v>
      </c>
    </row>
    <row r="40" spans="2:8">
      <c r="B40">
        <f>+Sheet3!A40</f>
        <v>1985</v>
      </c>
      <c r="C40">
        <f>ROUND('dat_file 1980'!C40/'dat_file 1980'!C$70,4)</f>
        <v>0.51429999999999998</v>
      </c>
      <c r="D40">
        <f>ROUND('dat_file 1980'!D40/'dat_file 1980'!D$70,4)</f>
        <v>0.47539999999999999</v>
      </c>
      <c r="E40">
        <f>ROUND('dat_file 1980'!E40/'dat_file 1980'!E$70,4)</f>
        <v>0.45400000000000001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1980'!H$70,4)</f>
        <v>0.60140000000000005</v>
      </c>
    </row>
    <row r="41" spans="2:8">
      <c r="B41">
        <f>+Sheet3!A41</f>
        <v>1986</v>
      </c>
      <c r="C41">
        <f>ROUND('dat_file 1980'!C41/'dat_file 1980'!C$70,4)</f>
        <v>0.52549999999999997</v>
      </c>
      <c r="D41">
        <f>ROUND('dat_file 1980'!D41/'dat_file 1980'!D$70,4)</f>
        <v>0.48349999999999999</v>
      </c>
      <c r="E41">
        <f>ROUND('dat_file 1980'!E41/'dat_file 1980'!E$70,4)</f>
        <v>0.46239999999999998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1980'!H$70,4)</f>
        <v>0.60680000000000001</v>
      </c>
    </row>
    <row r="42" spans="2:8">
      <c r="B42">
        <f>+Sheet3!A42</f>
        <v>1987</v>
      </c>
      <c r="C42">
        <f>ROUND('dat_file 1980'!C42/'dat_file 1980'!C$70,4)</f>
        <v>0.54169999999999996</v>
      </c>
      <c r="D42">
        <f>ROUND('dat_file 1980'!D42/'dat_file 1980'!D$70,4)</f>
        <v>0.49990000000000001</v>
      </c>
      <c r="E42">
        <f>ROUND('dat_file 1980'!E42/'dat_file 1980'!E$70,4)</f>
        <v>0.4793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1980'!H$70,4)</f>
        <v>0.62250000000000005</v>
      </c>
    </row>
    <row r="43" spans="2:8">
      <c r="B43">
        <f>+Sheet3!A43</f>
        <v>1988</v>
      </c>
      <c r="C43">
        <f>ROUND('dat_file 1980'!C43/'dat_file 1980'!C$70,4)</f>
        <v>0.56279999999999997</v>
      </c>
      <c r="D43">
        <f>ROUND('dat_file 1980'!D43/'dat_file 1980'!D$70,4)</f>
        <v>0.51819999999999999</v>
      </c>
      <c r="E43">
        <f>ROUND('dat_file 1980'!E43/'dat_file 1980'!E$70,4)</f>
        <v>0.49909999999999999</v>
      </c>
      <c r="F43">
        <f>'dat_file 1980'!F43</f>
        <v>0.31080000000000002</v>
      </c>
      <c r="G43">
        <f>'dat_file 1980'!G43</f>
        <v>0.2823</v>
      </c>
      <c r="H43">
        <f>ROUND('dat_file 1980'!H43/'dat_file 1980'!H$70,4)</f>
        <v>0.64039999999999997</v>
      </c>
    </row>
    <row r="44" spans="2:8">
      <c r="B44">
        <f>+Sheet3!A44</f>
        <v>1989</v>
      </c>
      <c r="C44">
        <f>ROUND('dat_file 1980'!C44/'dat_file 1980'!C$70,4)</f>
        <v>0.58740000000000003</v>
      </c>
      <c r="D44">
        <f>ROUND('dat_file 1980'!D44/'dat_file 1980'!D$70,4)</f>
        <v>0.54059999999999997</v>
      </c>
      <c r="E44">
        <f>ROUND('dat_file 1980'!E44/'dat_file 1980'!E$70,4)</f>
        <v>0.5232</v>
      </c>
      <c r="F44">
        <f>'dat_file 1980'!F44</f>
        <v>0.2979</v>
      </c>
      <c r="G44">
        <f>'dat_file 1980'!G44</f>
        <v>0.26939999999999997</v>
      </c>
      <c r="H44">
        <f>ROUND('dat_file 1980'!H44/'dat_file 1980'!H$70,4)</f>
        <v>0.66290000000000004</v>
      </c>
    </row>
    <row r="45" spans="2:8">
      <c r="B45">
        <f>+Sheet3!A45</f>
        <v>1990</v>
      </c>
      <c r="C45">
        <f>ROUND('dat_file 1980'!C45/'dat_file 1980'!C$70,4)</f>
        <v>0.61319999999999997</v>
      </c>
      <c r="D45">
        <f>ROUND('dat_file 1980'!D45/'dat_file 1980'!D$70,4)</f>
        <v>0.56730000000000003</v>
      </c>
      <c r="E45">
        <f>ROUND('dat_file 1980'!E45/'dat_file 1980'!E$70,4)</f>
        <v>0.55149999999999999</v>
      </c>
      <c r="F45">
        <f>'dat_file 1980'!F45</f>
        <v>0.28389999999999999</v>
      </c>
      <c r="G45">
        <f>'dat_file 1980'!G45</f>
        <v>0.2555</v>
      </c>
      <c r="H45">
        <f>ROUND('dat_file 1980'!H45/'dat_file 1980'!H$70,4)</f>
        <v>0.69040000000000001</v>
      </c>
    </row>
    <row r="46" spans="2:8">
      <c r="B46">
        <f>+Sheet3!A46</f>
        <v>1991</v>
      </c>
      <c r="C46">
        <f>ROUND('dat_file 1980'!C46/'dat_file 1980'!C$70,4)</f>
        <v>0.63370000000000004</v>
      </c>
      <c r="D46">
        <f>ROUND('dat_file 1980'!D46/'dat_file 1980'!D$70,4)</f>
        <v>0.58799999999999997</v>
      </c>
      <c r="E46">
        <f>ROUND('dat_file 1980'!E46/'dat_file 1980'!E$70,4)</f>
        <v>0.5746</v>
      </c>
      <c r="F46">
        <f>'dat_file 1980'!F46</f>
        <v>0.27389999999999998</v>
      </c>
      <c r="G46">
        <f>'dat_file 1980'!G46</f>
        <v>0.2452</v>
      </c>
      <c r="H46">
        <f>ROUND('dat_file 1980'!H46/'dat_file 1980'!H$70,4)</f>
        <v>0.71</v>
      </c>
    </row>
    <row r="47" spans="2:8">
      <c r="B47">
        <f>+Sheet3!A47</f>
        <v>1992</v>
      </c>
      <c r="C47">
        <f>ROUND('dat_file 1980'!C47/'dat_file 1980'!C$70,4)</f>
        <v>0.65059999999999996</v>
      </c>
      <c r="D47">
        <f>ROUND('dat_file 1980'!D47/'dat_file 1980'!D$70,4)</f>
        <v>0.60260000000000002</v>
      </c>
      <c r="E47">
        <f>ROUND('dat_file 1980'!E47/'dat_file 1980'!E$70,4)</f>
        <v>0.59199999999999997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1980'!H$70,4)</f>
        <v>0.72199999999999998</v>
      </c>
    </row>
    <row r="48" spans="2:8">
      <c r="B48">
        <f>+Sheet3!A48</f>
        <v>1993</v>
      </c>
      <c r="C48">
        <f>ROUND('dat_file 1980'!C48/'dat_file 1980'!C$70,4)</f>
        <v>0.66679999999999995</v>
      </c>
      <c r="D48">
        <f>ROUND('dat_file 1980'!D48/'dat_file 1980'!D$70,4)</f>
        <v>0.6179</v>
      </c>
      <c r="E48">
        <f>ROUND('dat_file 1980'!E48/'dat_file 1980'!E$70,4)</f>
        <v>0.60970000000000002</v>
      </c>
      <c r="F48">
        <f>'dat_file 1980'!F48</f>
        <v>0.26069999999999999</v>
      </c>
      <c r="G48">
        <f>'dat_file 1980'!G48</f>
        <v>0.2311</v>
      </c>
      <c r="H48">
        <f>ROUND('dat_file 1980'!H48/'dat_file 1980'!H$70,4)</f>
        <v>0.73440000000000005</v>
      </c>
    </row>
    <row r="49" spans="2:8">
      <c r="B49">
        <f>+Sheet3!A49</f>
        <v>1994</v>
      </c>
      <c r="C49">
        <f>ROUND('dat_file 1980'!C49/'dat_file 1980'!C$70,4)</f>
        <v>0.68069999999999997</v>
      </c>
      <c r="D49">
        <f>ROUND('dat_file 1980'!D49/'dat_file 1980'!D$70,4)</f>
        <v>0.63080000000000003</v>
      </c>
      <c r="E49">
        <f>ROUND('dat_file 1980'!E49/'dat_file 1980'!E$70,4)</f>
        <v>0.62529999999999997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1980'!H$70,4)</f>
        <v>0.74390000000000001</v>
      </c>
    </row>
    <row r="50" spans="2:8">
      <c r="B50">
        <f>+Sheet3!A50</f>
        <v>1995</v>
      </c>
      <c r="C50">
        <f>ROUND('dat_file 1980'!C50/'dat_file 1980'!C$70,4)</f>
        <v>0.69510000000000005</v>
      </c>
      <c r="D50">
        <f>ROUND('dat_file 1980'!D50/'dat_file 1980'!D$70,4)</f>
        <v>0.64600000000000002</v>
      </c>
      <c r="E50">
        <f>ROUND('dat_file 1980'!E50/'dat_file 1980'!E$70,4)</f>
        <v>0.64300000000000002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1980'!H$70,4)</f>
        <v>0.75590000000000002</v>
      </c>
    </row>
    <row r="51" spans="2:8">
      <c r="B51">
        <f>+Sheet3!A51</f>
        <v>1996</v>
      </c>
      <c r="C51">
        <f>ROUND('dat_file 1980'!C51/'dat_file 1980'!C$70,4)</f>
        <v>0.70989999999999998</v>
      </c>
      <c r="D51">
        <f>ROUND('dat_file 1980'!D51/'dat_file 1980'!D$70,4)</f>
        <v>0.66320000000000001</v>
      </c>
      <c r="E51">
        <f>ROUND('dat_file 1980'!E51/'dat_file 1980'!E$70,4)</f>
        <v>0.66200000000000003</v>
      </c>
      <c r="F51">
        <f>'dat_file 1980'!F51</f>
        <v>0.2429</v>
      </c>
      <c r="G51">
        <f>'dat_file 1980'!G51</f>
        <v>0.21290000000000001</v>
      </c>
      <c r="H51">
        <f>ROUND('dat_file 1980'!H51/'dat_file 1980'!H$70,4)</f>
        <v>0.77</v>
      </c>
    </row>
    <row r="52" spans="2:8">
      <c r="B52">
        <f>+Sheet3!A52</f>
        <v>1997</v>
      </c>
      <c r="C52">
        <f>ROUND('dat_file 1980'!C52/'dat_file 1980'!C$70,4)</f>
        <v>0.72230000000000005</v>
      </c>
      <c r="D52">
        <f>ROUND('dat_file 1980'!D52/'dat_file 1980'!D$70,4)</f>
        <v>0.67759999999999998</v>
      </c>
      <c r="E52">
        <f>ROUND('dat_file 1980'!E52/'dat_file 1980'!E$70,4)</f>
        <v>0.67720000000000002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1980'!H$70,4)</f>
        <v>0.78049999999999997</v>
      </c>
    </row>
    <row r="53" spans="2:8">
      <c r="B53">
        <f>+Sheet3!A53</f>
        <v>1998</v>
      </c>
      <c r="C53">
        <f>ROUND('dat_file 1980'!C53/'dat_file 1980'!C$70,4)</f>
        <v>0.72799999999999998</v>
      </c>
      <c r="D53">
        <f>ROUND('dat_file 1980'!D53/'dat_file 1980'!D$70,4)</f>
        <v>0.68679999999999997</v>
      </c>
      <c r="E53">
        <f>ROUND('dat_file 1980'!E53/'dat_file 1980'!E$70,4)</f>
        <v>0.68769999999999998</v>
      </c>
      <c r="F53">
        <f>'dat_file 1980'!F53</f>
        <v>0.23449999999999999</v>
      </c>
      <c r="G53">
        <f>'dat_file 1980'!G53</f>
        <v>0.2049</v>
      </c>
      <c r="H53">
        <f>ROUND('dat_file 1980'!H53/'dat_file 1980'!H$70,4)</f>
        <v>0.78490000000000004</v>
      </c>
    </row>
    <row r="54" spans="2:8">
      <c r="B54">
        <f>+Sheet3!A54</f>
        <v>1999</v>
      </c>
      <c r="C54">
        <f>ROUND('dat_file 1980'!C54/'dat_file 1980'!C$70,4)</f>
        <v>0.73860000000000003</v>
      </c>
      <c r="D54">
        <f>ROUND('dat_file 1980'!D54/'dat_file 1980'!D$70,4)</f>
        <v>0.70109999999999995</v>
      </c>
      <c r="E54">
        <f>ROUND('dat_file 1980'!E54/'dat_file 1980'!E$70,4)</f>
        <v>0.70289999999999997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1980'!H$70,4)</f>
        <v>0.79500000000000004</v>
      </c>
    </row>
    <row r="55" spans="2:8">
      <c r="B55">
        <f>+Sheet3!A55</f>
        <v>2000</v>
      </c>
      <c r="C55">
        <f>ROUND('dat_file 1980'!C55/'dat_file 1980'!C$70,4)</f>
        <v>0.75729999999999997</v>
      </c>
      <c r="D55">
        <f>ROUND('dat_file 1980'!D55/'dat_file 1980'!D$70,4)</f>
        <v>0.72489999999999999</v>
      </c>
      <c r="E55">
        <f>ROUND('dat_file 1980'!E55/'dat_file 1980'!E$70,4)</f>
        <v>0.72650000000000003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1980'!H$70,4)</f>
        <v>0.81569999999999998</v>
      </c>
    </row>
    <row r="56" spans="2:8">
      <c r="B56">
        <f>+Sheet3!A56</f>
        <v>2001</v>
      </c>
      <c r="C56">
        <f>ROUND('dat_file 1980'!C56/'dat_file 1980'!C$70,4)</f>
        <v>0.77249999999999996</v>
      </c>
      <c r="D56">
        <f>ROUND('dat_file 1980'!D56/'dat_file 1980'!D$70,4)</f>
        <v>0.74560000000000004</v>
      </c>
      <c r="E56">
        <f>ROUND('dat_file 1980'!E56/'dat_file 1980'!E$70,4)</f>
        <v>0.74719999999999998</v>
      </c>
      <c r="F56">
        <f>'dat_file 1980'!F56</f>
        <v>0.216</v>
      </c>
      <c r="G56">
        <f>'dat_file 1980'!G56</f>
        <v>0.18859999999999999</v>
      </c>
      <c r="H56">
        <f>ROUND('dat_file 1980'!H56/'dat_file 1980'!H$70,4)</f>
        <v>0.83240000000000003</v>
      </c>
    </row>
    <row r="57" spans="2:8">
      <c r="B57">
        <f>+Sheet3!A57</f>
        <v>2002</v>
      </c>
      <c r="C57">
        <f>ROUND('dat_file 1980'!C57/'dat_file 1980'!C$70,4)</f>
        <v>0.78269999999999995</v>
      </c>
      <c r="D57">
        <f>ROUND('dat_file 1980'!D57/'dat_file 1980'!D$70,4)</f>
        <v>0.75739999999999996</v>
      </c>
      <c r="E57">
        <f>ROUND('dat_file 1980'!E57/'dat_file 1980'!E$70,4)</f>
        <v>0.75900000000000001</v>
      </c>
      <c r="F57">
        <f>'dat_file 1980'!F57</f>
        <v>0.2127</v>
      </c>
      <c r="G57">
        <f>'dat_file 1980'!G57</f>
        <v>0.1857</v>
      </c>
      <c r="H57">
        <f>ROUND('dat_file 1980'!H57/'dat_file 1980'!H$70,4)</f>
        <v>0.83889999999999998</v>
      </c>
    </row>
    <row r="58" spans="2:8">
      <c r="B58">
        <f>+Sheet3!A58</f>
        <v>2003</v>
      </c>
      <c r="C58">
        <f>ROUND('dat_file 1980'!C58/'dat_file 1980'!C$70,4)</f>
        <v>0.79910000000000003</v>
      </c>
      <c r="D58">
        <f>ROUND('dat_file 1980'!D58/'dat_file 1980'!D$70,4)</f>
        <v>0.77459999999999996</v>
      </c>
      <c r="E58">
        <f>ROUND('dat_file 1980'!E58/'dat_file 1980'!E$70,4)</f>
        <v>0.77629999999999999</v>
      </c>
      <c r="F58">
        <f>'dat_file 1980'!F58</f>
        <v>0.2079</v>
      </c>
      <c r="G58">
        <f>'dat_file 1980'!G58</f>
        <v>0.18149999999999999</v>
      </c>
      <c r="H58">
        <f>ROUND('dat_file 1980'!H58/'dat_file 1980'!H$70,4)</f>
        <v>0.85129999999999995</v>
      </c>
    </row>
    <row r="59" spans="2:8">
      <c r="B59">
        <f>+Sheet3!A59</f>
        <v>2004</v>
      </c>
      <c r="C59">
        <f>ROUND('dat_file 1980'!C59/'dat_file 1980'!C$70,4)</f>
        <v>0.81889999999999996</v>
      </c>
      <c r="D59">
        <f>ROUND('dat_file 1980'!D59/'dat_file 1980'!D$70,4)</f>
        <v>0.79530000000000001</v>
      </c>
      <c r="E59">
        <f>ROUND('dat_file 1980'!E59/'dat_file 1980'!E$70,4)</f>
        <v>0.79700000000000004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1980'!H$70,4)</f>
        <v>0.86719999999999997</v>
      </c>
    </row>
    <row r="60" spans="2:8">
      <c r="B60">
        <f>+Sheet3!A60</f>
        <v>2005</v>
      </c>
      <c r="C60">
        <f>ROUND('dat_file 1980'!C60/'dat_file 1980'!C$70,4)</f>
        <v>0.84250000000000003</v>
      </c>
      <c r="D60">
        <f>ROUND('dat_file 1980'!D60/'dat_file 1980'!D$70,4)</f>
        <v>0.82230000000000003</v>
      </c>
      <c r="E60">
        <f>ROUND('dat_file 1980'!E60/'dat_file 1980'!E$70,4)</f>
        <v>0.82399999999999995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1980'!H$70,4)</f>
        <v>0.88970000000000005</v>
      </c>
    </row>
    <row r="61" spans="2:8">
      <c r="B61">
        <f>+Sheet3!A61</f>
        <v>2006</v>
      </c>
      <c r="C61">
        <f>ROUND('dat_file 1980'!C61/'dat_file 1980'!C$70,4)</f>
        <v>0.86619999999999997</v>
      </c>
      <c r="D61">
        <f>ROUND('dat_file 1980'!D61/'dat_file 1980'!D$70,4)</f>
        <v>0.84899999999999998</v>
      </c>
      <c r="E61">
        <f>ROUND('dat_file 1980'!E61/'dat_file 1980'!E$70,4)</f>
        <v>0.85050000000000003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1980'!H$70,4)</f>
        <v>0.91139999999999999</v>
      </c>
    </row>
    <row r="62" spans="2:8">
      <c r="B62">
        <f>+Sheet3!A62</f>
        <v>2007</v>
      </c>
      <c r="C62">
        <f>ROUND('dat_file 1980'!C62/'dat_file 1980'!C$70,4)</f>
        <v>0.88849999999999996</v>
      </c>
      <c r="D62">
        <f>ROUND('dat_file 1980'!D62/'dat_file 1980'!D$70,4)</f>
        <v>0.87309999999999999</v>
      </c>
      <c r="E62">
        <f>ROUND('dat_file 1980'!E62/'dat_file 1980'!E$70,4)</f>
        <v>0.87480000000000002</v>
      </c>
      <c r="F62">
        <f>'dat_file 1980'!F62</f>
        <v>0.1845</v>
      </c>
      <c r="G62">
        <f>'dat_file 1980'!G62</f>
        <v>0.16109999999999999</v>
      </c>
      <c r="H62">
        <f>ROUND('dat_file 1980'!H62/'dat_file 1980'!H$70,4)</f>
        <v>0.93</v>
      </c>
    </row>
    <row r="63" spans="2:8">
      <c r="B63">
        <f>+Sheet3!A63</f>
        <v>2008</v>
      </c>
      <c r="C63">
        <f>ROUND('dat_file 1980'!C63/'dat_file 1980'!C$70,4)</f>
        <v>0.91479999999999995</v>
      </c>
      <c r="D63">
        <f>ROUND('dat_file 1980'!D63/'dat_file 1980'!D$70,4)</f>
        <v>0.90669999999999995</v>
      </c>
      <c r="E63">
        <f>ROUND('dat_file 1980'!E63/'dat_file 1980'!E$70,4)</f>
        <v>0.90839999999999999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1980'!H$70,4)</f>
        <v>0.95840000000000003</v>
      </c>
    </row>
    <row r="64" spans="2:8">
      <c r="B64">
        <f>+Sheet3!A64</f>
        <v>2009</v>
      </c>
      <c r="C64">
        <f>ROUND('dat_file 1980'!C64/'dat_file 1980'!C$70,4)</f>
        <v>0.91220000000000001</v>
      </c>
      <c r="D64">
        <f>ROUND('dat_file 1980'!D64/'dat_file 1980'!D$70,4)</f>
        <v>0.90349999999999997</v>
      </c>
      <c r="E64">
        <f>ROUND('dat_file 1980'!E64/'dat_file 1980'!E$70,4)</f>
        <v>0.9052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1980'!H$70,4)</f>
        <v>0.94730000000000003</v>
      </c>
    </row>
    <row r="65" spans="2:8">
      <c r="B65">
        <f>+Sheet3!A65</f>
        <v>2010</v>
      </c>
      <c r="C65">
        <f>ROUND('dat_file 1980'!C65/'dat_file 1980'!C$70,4)</f>
        <v>0.92859999999999998</v>
      </c>
      <c r="D65">
        <f>ROUND('dat_file 1980'!D65/'dat_file 1980'!D$70,4)</f>
        <v>0.91820000000000002</v>
      </c>
      <c r="E65">
        <f>ROUND('dat_file 1980'!E65/'dat_file 1980'!E$70,4)</f>
        <v>0.92</v>
      </c>
      <c r="F65">
        <f>'dat_file 1980'!F65</f>
        <v>0.1754</v>
      </c>
      <c r="G65">
        <f>'dat_file 1980'!G65</f>
        <v>0.1532</v>
      </c>
      <c r="H65">
        <f>ROUND('dat_file 1980'!H65/'dat_file 1980'!H$70,4)</f>
        <v>0.95509999999999995</v>
      </c>
    </row>
    <row r="66" spans="2:8">
      <c r="B66">
        <f>+Sheet3!A66</f>
        <v>2011</v>
      </c>
      <c r="C66">
        <f>ROUND('dat_file 1980'!C66/'dat_file 1980'!C$70,4)</f>
        <v>0.95199999999999996</v>
      </c>
      <c r="D66">
        <f>ROUND('dat_file 1980'!D66/'dat_file 1980'!D$70,4)</f>
        <v>0.94750000000000001</v>
      </c>
      <c r="E66">
        <f>ROUND('dat_file 1980'!E66/'dat_file 1980'!E$70,4)</f>
        <v>0.94899999999999995</v>
      </c>
      <c r="F66">
        <f>'dat_file 1980'!F66</f>
        <v>0.17</v>
      </c>
      <c r="G66">
        <f>'dat_file 1980'!G66</f>
        <v>0.14849999999999999</v>
      </c>
      <c r="H66">
        <f>ROUND('dat_file 1980'!H66/'dat_file 1980'!H$70,4)</f>
        <v>0.97789999999999999</v>
      </c>
    </row>
    <row r="67" spans="2:8">
      <c r="B67">
        <f>+Sheet3!A67</f>
        <v>2012</v>
      </c>
      <c r="C67">
        <f>ROUND('dat_file 1980'!C67/'dat_file 1980'!C$70,4)</f>
        <v>0.9698</v>
      </c>
      <c r="D67">
        <f>ROUND('dat_file 1980'!D67/'dat_file 1980'!D$70,4)</f>
        <v>0.96730000000000005</v>
      </c>
      <c r="E67">
        <f>ROUND('dat_file 1980'!E67/'dat_file 1980'!E$70,4)</f>
        <v>0.96870000000000001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1980'!H$70,4)</f>
        <v>0.99060000000000004</v>
      </c>
    </row>
    <row r="68" spans="2:8">
      <c r="B68">
        <f>+Sheet3!A68</f>
        <v>2013</v>
      </c>
      <c r="C68">
        <f>ROUND('dat_file 1980'!C68/'dat_file 1980'!C$70,4)</f>
        <v>0.9829</v>
      </c>
      <c r="D68">
        <f>ROUND('dat_file 1980'!D68/'dat_file 1980'!D$70,4)</f>
        <v>0.9819</v>
      </c>
      <c r="E68">
        <f>ROUND('dat_file 1980'!E68/'dat_file 1980'!E$70,4)</f>
        <v>0.9829</v>
      </c>
      <c r="F68">
        <f>'dat_file 1980'!F68</f>
        <v>0.16400000000000001</v>
      </c>
      <c r="G68">
        <f>'dat_file 1980'!G68</f>
        <v>0.1434</v>
      </c>
      <c r="H68">
        <f>ROUND('dat_file 1980'!H68/'dat_file 1980'!H$70,4)</f>
        <v>0.99770000000000003</v>
      </c>
    </row>
    <row r="69" spans="2:8">
      <c r="B69">
        <f>+Sheet3!A69</f>
        <v>2014</v>
      </c>
      <c r="C69">
        <f>ROUND('dat_file 1980'!C69/'dat_file 1980'!C$70,4)</f>
        <v>0.99780000000000002</v>
      </c>
      <c r="D69">
        <f>ROUND('dat_file 1980'!D69/'dat_file 1980'!D$70,4)</f>
        <v>0.99819999999999998</v>
      </c>
      <c r="E69">
        <f>ROUND('dat_file 1980'!E69/'dat_file 1980'!E$70,4)</f>
        <v>0.99880000000000002</v>
      </c>
      <c r="F69">
        <f>'dat_file 1980'!F69</f>
        <v>0.1613</v>
      </c>
      <c r="G69">
        <f>'dat_file 1980'!G69</f>
        <v>0.1411</v>
      </c>
      <c r="H69">
        <f>ROUND('dat_file 1980'!H69/'dat_file 1980'!H$70,4)</f>
        <v>1.0063</v>
      </c>
    </row>
    <row r="70" spans="2:8">
      <c r="B70">
        <f>+Sheet3!A70</f>
        <v>2015</v>
      </c>
      <c r="C70">
        <f>ROUND('dat_file 1980'!C70/'dat_file 1980'!C$70,4)</f>
        <v>1</v>
      </c>
      <c r="D70">
        <f>ROUND('dat_file 1980'!D70/'dat_file 1980'!D$70,4)</f>
        <v>1</v>
      </c>
      <c r="E70">
        <f>ROUND('dat_file 1980'!E70/'dat_file 1980'!E$70,4)</f>
        <v>1</v>
      </c>
      <c r="F70">
        <f>'dat_file 1980'!F70</f>
        <v>0.16109999999999999</v>
      </c>
      <c r="G70">
        <f>'dat_file 1980'!G70</f>
        <v>0.1409</v>
      </c>
      <c r="H70">
        <f>ROUND('dat_file 1980'!H70/'dat_file 1980'!H$70,4)</f>
        <v>1</v>
      </c>
    </row>
    <row r="71" spans="2:8">
      <c r="B71">
        <f>+Sheet3!A71</f>
        <v>2016</v>
      </c>
      <c r="C71">
        <f>ROUND('dat_file 1980'!C71/'dat_file 1980'!C$70,4)</f>
        <v>1.01</v>
      </c>
      <c r="D71">
        <f>ROUND('dat_file 1980'!D71/'dat_file 1980'!D$70,4)</f>
        <v>1.0128999999999999</v>
      </c>
      <c r="E71">
        <f>ROUND('dat_file 1980'!E71/'dat_file 1980'!E$70,4)</f>
        <v>1.0125999999999999</v>
      </c>
      <c r="F71">
        <f>'dat_file 1980'!F71</f>
        <v>0.159</v>
      </c>
      <c r="G71">
        <f>'dat_file 1980'!G71</f>
        <v>0.13919999999999999</v>
      </c>
      <c r="H71">
        <f>ROUND('dat_file 1980'!H71/'dat_file 1980'!H$70,4)</f>
        <v>1.0048999999999999</v>
      </c>
    </row>
    <row r="72" spans="2:8">
      <c r="B72">
        <f>+Sheet3!A72</f>
        <v>2017</v>
      </c>
      <c r="C72">
        <f>ROUND('dat_file 1980'!C72/'dat_file 1980'!C$70,4)</f>
        <v>1.0285</v>
      </c>
      <c r="D72">
        <f>ROUND('dat_file 1980'!D72/'dat_file 1980'!D$70,4)</f>
        <v>1.0344</v>
      </c>
      <c r="E72">
        <f>ROUND('dat_file 1980'!E72/'dat_file 1980'!E$70,4)</f>
        <v>1.0342</v>
      </c>
      <c r="F72">
        <f>'dat_file 1980'!F72</f>
        <v>0.15570000000000001</v>
      </c>
      <c r="G72">
        <f>'dat_file 1980'!G72</f>
        <v>0.1363</v>
      </c>
      <c r="H72">
        <f>ROUND('dat_file 1980'!H72/'dat_file 1980'!H$70,4)</f>
        <v>1.0182</v>
      </c>
    </row>
    <row r="73" spans="2:8">
      <c r="B73">
        <f>+Sheet3!A73</f>
        <v>2018</v>
      </c>
      <c r="C73">
        <f>ROUND('dat_file 1980'!C73/'dat_file 1980'!C$70,4)</f>
        <v>1.0504</v>
      </c>
      <c r="D73">
        <f>ROUND('dat_file 1980'!D73/'dat_file 1980'!D$70,4)</f>
        <v>1.0597000000000001</v>
      </c>
      <c r="E73">
        <f>ROUND('dat_file 1980'!E73/'dat_file 1980'!E$70,4)</f>
        <v>1.0593999999999999</v>
      </c>
      <c r="F73">
        <f>'dat_file 1980'!F73</f>
        <v>0.152</v>
      </c>
      <c r="G73">
        <f>'dat_file 1980'!G73</f>
        <v>0.13300000000000001</v>
      </c>
      <c r="H73">
        <f>ROUND('dat_file 1980'!H73/'dat_file 1980'!H$70,4)</f>
        <v>1.0349999999999999</v>
      </c>
    </row>
    <row r="74" spans="2:8">
      <c r="B74">
        <f>+Sheet3!A74</f>
        <v>2019</v>
      </c>
      <c r="C74">
        <f>ROUND('dat_file 1980'!C74/'dat_file 1980'!C$70,4)</f>
        <v>1.0661</v>
      </c>
      <c r="D74">
        <f>ROUND('dat_file 1980'!D74/'dat_file 1980'!D$70,4)</f>
        <v>1.0789</v>
      </c>
      <c r="E74">
        <f>ROUND('dat_file 1980'!E74/'dat_file 1980'!E$70,4)</f>
        <v>1.0786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1980'!H$70,4)</f>
        <v>1.0455000000000001</v>
      </c>
    </row>
    <row r="75" spans="2:8">
      <c r="B75">
        <f>+Sheet3!A75</f>
        <v>2020</v>
      </c>
      <c r="C75">
        <f>ROUND('dat_file 1980'!C75/'dat_file 1980'!C$70,4)</f>
        <v>1.0779000000000001</v>
      </c>
      <c r="D75">
        <f>ROUND('dat_file 1980'!D75/'dat_file 1980'!D$70,4)</f>
        <v>1.0932999999999999</v>
      </c>
      <c r="E75">
        <f>ROUND('dat_file 1980'!E75/'dat_file 1980'!E$70,4)</f>
        <v>1.0920000000000001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1980'!H$70,4)</f>
        <v>1.0509999999999999</v>
      </c>
    </row>
    <row r="76" spans="2:8">
      <c r="B76">
        <f>+Sheet3!A76</f>
        <v>2021</v>
      </c>
      <c r="C76">
        <f>ROUND('dat_file 1980'!C76/'dat_file 1980'!C$70,4)</f>
        <v>1.1213</v>
      </c>
      <c r="D76">
        <f>ROUND('dat_file 1980'!D76/'dat_file 1980'!D$70,4)</f>
        <v>1.1460999999999999</v>
      </c>
      <c r="E76">
        <f>ROUND('dat_file 1980'!E76/'dat_file 1980'!E$70,4)</f>
        <v>1.1433</v>
      </c>
      <c r="F76">
        <f>'dat_file 1980'!F76</f>
        <v>0.14050000000000001</v>
      </c>
      <c r="G76">
        <f>'dat_file 1980'!G76</f>
        <v>0.12330000000000001</v>
      </c>
      <c r="H76">
        <f>ROUND('dat_file 1980'!H76/'dat_file 1980'!H$70,4)</f>
        <v>1.0933999999999999</v>
      </c>
    </row>
    <row r="77" spans="2:8">
      <c r="B77">
        <f>+Sheet3!A77</f>
        <v>2022</v>
      </c>
      <c r="C77">
        <f>ROUND('dat_file 1980'!C77/'dat_file 1980'!C$70,4)</f>
        <v>1.1915</v>
      </c>
      <c r="D77">
        <f>ROUND('dat_file 1980'!D77/'dat_file 1980'!D$70,4)</f>
        <v>1.2388999999999999</v>
      </c>
      <c r="E77">
        <f>ROUND('dat_file 1980'!E77/'dat_file 1980'!E$70,4)</f>
        <v>1.2346999999999999</v>
      </c>
      <c r="F77">
        <f>'dat_file 1980'!F77</f>
        <v>0.13</v>
      </c>
      <c r="G77">
        <f>'dat_file 1980'!G77</f>
        <v>0.11409999999999999</v>
      </c>
      <c r="H77">
        <f>ROUND('dat_file 1980'!H77/'dat_file 1980'!H$70,4)</f>
        <v>1.1731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6510-3546-4007-B5E8-584A9541F235}">
  <dimension ref="B1:O76"/>
  <sheetViews>
    <sheetView topLeftCell="A64" workbookViewId="0">
      <selection activeCell="B73" sqref="B73:I75"/>
    </sheetView>
  </sheetViews>
  <sheetFormatPr defaultColWidth="9.28515625" defaultRowHeight="12.75"/>
  <cols>
    <col min="14" max="14" width="14.28515625" customWidth="1"/>
  </cols>
  <sheetData>
    <row r="1" spans="2:15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t="s">
        <v>96</v>
      </c>
    </row>
    <row r="2" spans="2:15">
      <c r="B2">
        <f>+Sheet3!A2</f>
        <v>1947</v>
      </c>
      <c r="C2">
        <f>ROUND('dat_file 1980'!C2/'dat_file 1980'!C$75,4)</f>
        <v>0.1124</v>
      </c>
      <c r="D2">
        <f>ROUND('dat_file 1980'!D2/'dat_file 1980'!D$75,4)</f>
        <v>9.8500000000000004E-2</v>
      </c>
      <c r="E2">
        <f>ROUND('dat_file 1980'!E2/'dat_file 1980'!E$75,4)</f>
        <v>8.6199999999999999E-2</v>
      </c>
      <c r="F2">
        <f>'dat_file 1980'!F2</f>
        <v>1.496</v>
      </c>
      <c r="G2">
        <f>'dat_file 1980'!G2</f>
        <v>1.4978</v>
      </c>
      <c r="H2">
        <f>ROUND('dat_file 1980'!H2/'dat_file 1980'!H$75,4)</f>
        <v>0.1898</v>
      </c>
      <c r="I2">
        <f>ROUND('dat_file 1980'!J2/'dat_file 1980'!J$75,4)</f>
        <v>0.16750000000000001</v>
      </c>
    </row>
    <row r="3" spans="2:15">
      <c r="B3">
        <f>+Sheet3!A3</f>
        <v>1948</v>
      </c>
      <c r="C3">
        <f>ROUND('dat_file 1980'!C3/'dat_file 1980'!C$75,4)</f>
        <v>0.1188</v>
      </c>
      <c r="D3">
        <f>ROUND('dat_file 1980'!D3/'dat_file 1980'!D$75,4)</f>
        <v>0.10630000000000001</v>
      </c>
      <c r="E3">
        <f>ROUND('dat_file 1980'!E3/'dat_file 1980'!E$75,4)</f>
        <v>9.3100000000000002E-2</v>
      </c>
      <c r="F3">
        <f>'dat_file 1980'!F3</f>
        <v>1.3852</v>
      </c>
      <c r="G3">
        <f>'dat_file 1980'!G3</f>
        <v>1.3858999999999999</v>
      </c>
      <c r="H3">
        <f>ROUND('dat_file 1980'!H3/'dat_file 1980'!H$75,4)</f>
        <v>0.2029</v>
      </c>
      <c r="I3">
        <f>ROUND('dat_file 1980'!J3/'dat_file 1980'!J$75,4)</f>
        <v>0.1789</v>
      </c>
    </row>
    <row r="4" spans="2:15">
      <c r="B4">
        <f>+Sheet3!A4</f>
        <v>1949</v>
      </c>
      <c r="C4">
        <f>ROUND('dat_file 1980'!C4/'dat_file 1980'!C$75,4)</f>
        <v>0.1178</v>
      </c>
      <c r="D4">
        <f>ROUND('dat_file 1980'!D4/'dat_file 1980'!D$75,4)</f>
        <v>0.105</v>
      </c>
      <c r="E4">
        <f>ROUND('dat_file 1980'!E4/'dat_file 1980'!E$75,4)</f>
        <v>9.1899999999999996E-2</v>
      </c>
      <c r="F4">
        <f>'dat_file 1980'!F4</f>
        <v>1.4025000000000001</v>
      </c>
      <c r="G4">
        <f>'dat_file 1980'!G4</f>
        <v>1.4034</v>
      </c>
      <c r="H4">
        <f>ROUND('dat_file 1980'!H4/'dat_file 1980'!H$75,4)</f>
        <v>0.1981</v>
      </c>
      <c r="I4">
        <f>ROUND('dat_file 1980'!J4/'dat_file 1980'!J$75,4)</f>
        <v>0.17480000000000001</v>
      </c>
    </row>
    <row r="5" spans="2:15">
      <c r="B5">
        <f>+Sheet3!A5</f>
        <v>1950</v>
      </c>
      <c r="C5">
        <f>ROUND('dat_file 1980'!C5/'dat_file 1980'!C$75,4)</f>
        <v>0.1192</v>
      </c>
      <c r="D5">
        <f>ROUND('dat_file 1980'!D5/'dat_file 1980'!D$75,4)</f>
        <v>0.10630000000000001</v>
      </c>
      <c r="E5">
        <f>ROUND('dat_file 1980'!E5/'dat_file 1980'!E$75,4)</f>
        <v>9.3100000000000002E-2</v>
      </c>
      <c r="F5">
        <f>'dat_file 1980'!F5</f>
        <v>1.3852</v>
      </c>
      <c r="G5">
        <f>'dat_file 1980'!G5</f>
        <v>1.3858999999999999</v>
      </c>
      <c r="H5">
        <f>ROUND('dat_file 1980'!H5/'dat_file 1980'!H$75,4)</f>
        <v>0.19850000000000001</v>
      </c>
      <c r="I5">
        <f>ROUND('dat_file 1980'!J5/'dat_file 1980'!J$75,4)</f>
        <v>0.17480000000000001</v>
      </c>
    </row>
    <row r="6" spans="2:15">
      <c r="B6">
        <f>+Sheet3!A6</f>
        <v>1951</v>
      </c>
      <c r="C6">
        <f>ROUND('dat_file 1980'!C6/'dat_file 1980'!C$75,4)</f>
        <v>0.1273</v>
      </c>
      <c r="D6">
        <f>ROUND('dat_file 1980'!D6/'dat_file 1980'!D$75,4)</f>
        <v>0.1147</v>
      </c>
      <c r="E6">
        <f>ROUND('dat_file 1980'!E6/'dat_file 1980'!E$75,4)</f>
        <v>0.1004</v>
      </c>
      <c r="F6">
        <f>'dat_file 1980'!F6</f>
        <v>1.2838000000000001</v>
      </c>
      <c r="G6">
        <f>'dat_file 1980'!G6</f>
        <v>1.2846</v>
      </c>
      <c r="H6">
        <f>ROUND('dat_file 1980'!H6/'dat_file 1980'!H$75,4)</f>
        <v>0.21190000000000001</v>
      </c>
      <c r="I6">
        <f>ROUND('dat_file 1980'!J6/'dat_file 1980'!J$75,4)</f>
        <v>0.187</v>
      </c>
    </row>
    <row r="7" spans="2:15">
      <c r="B7">
        <f>+Sheet3!A7</f>
        <v>1952</v>
      </c>
      <c r="C7">
        <f>ROUND('dat_file 1980'!C7/'dat_file 1980'!C$75,4)</f>
        <v>0.13</v>
      </c>
      <c r="D7">
        <f>ROUND('dat_file 1980'!D7/'dat_file 1980'!D$75,4)</f>
        <v>0.1169</v>
      </c>
      <c r="E7">
        <f>ROUND('dat_file 1980'!E7/'dat_file 1980'!E$75,4)</f>
        <v>0.1024</v>
      </c>
      <c r="F7">
        <f>'dat_file 1980'!F7</f>
        <v>1.2606999999999999</v>
      </c>
      <c r="G7">
        <f>'dat_file 1980'!G7</f>
        <v>1.2604</v>
      </c>
      <c r="H7">
        <f>ROUND('dat_file 1980'!H7/'dat_file 1980'!H$75,4)</f>
        <v>0.2135</v>
      </c>
      <c r="I7">
        <f>ROUND('dat_file 1980'!J7/'dat_file 1980'!J$75,4)</f>
        <v>0.18820000000000001</v>
      </c>
    </row>
    <row r="8" spans="2:15">
      <c r="B8">
        <f>+Sheet3!A8</f>
        <v>1953</v>
      </c>
      <c r="C8">
        <f>ROUND('dat_file 1980'!C8/'dat_file 1980'!C$75,4)</f>
        <v>0.13170000000000001</v>
      </c>
      <c r="D8">
        <f>ROUND('dat_file 1980'!D8/'dat_file 1980'!D$75,4)</f>
        <v>0.1177</v>
      </c>
      <c r="E8">
        <f>ROUND('dat_file 1980'!E8/'dat_file 1980'!E$75,4)</f>
        <v>0.1032</v>
      </c>
      <c r="F8">
        <f>'dat_file 1980'!F8</f>
        <v>1.2522</v>
      </c>
      <c r="G8">
        <f>'dat_file 1980'!G8</f>
        <v>1.2508999999999999</v>
      </c>
      <c r="H8">
        <f>ROUND('dat_file 1980'!H8/'dat_file 1980'!H$75,4)</f>
        <v>0.21260000000000001</v>
      </c>
      <c r="I8">
        <f>ROUND('dat_file 1980'!J8/'dat_file 1980'!J$75,4)</f>
        <v>0.18740000000000001</v>
      </c>
    </row>
    <row r="9" spans="2:15">
      <c r="B9">
        <f>+Sheet3!A9</f>
        <v>1954</v>
      </c>
      <c r="C9">
        <f>ROUND('dat_file 1980'!C9/'dat_file 1980'!C$75,4)</f>
        <v>0.1328</v>
      </c>
      <c r="D9">
        <f>ROUND('dat_file 1980'!D9/'dat_file 1980'!D$75,4)</f>
        <v>0.1187</v>
      </c>
      <c r="E9">
        <f>ROUND('dat_file 1980'!E9/'dat_file 1980'!E$75,4)</f>
        <v>0.104</v>
      </c>
      <c r="F9">
        <f>'dat_file 1980'!F9</f>
        <v>1.2412000000000001</v>
      </c>
      <c r="G9">
        <f>'dat_file 1980'!G9</f>
        <v>1.2416</v>
      </c>
      <c r="H9">
        <f>ROUND('dat_file 1980'!H9/'dat_file 1980'!H$75,4)</f>
        <v>0.2122</v>
      </c>
      <c r="I9">
        <f>ROUND('dat_file 1980'!J9/'dat_file 1980'!J$75,4)</f>
        <v>0.187</v>
      </c>
    </row>
    <row r="10" spans="2:15">
      <c r="B10">
        <f>+Sheet3!A10</f>
        <v>1955</v>
      </c>
      <c r="C10">
        <f>ROUND('dat_file 1980'!C10/'dat_file 1980'!C$75,4)</f>
        <v>0.1333</v>
      </c>
      <c r="D10">
        <f>ROUND('dat_file 1980'!D10/'dat_file 1980'!D$75,4)</f>
        <v>0.1182</v>
      </c>
      <c r="E10">
        <f>ROUND('dat_file 1980'!E10/'dat_file 1980'!E$75,4)</f>
        <v>0.10349999999999999</v>
      </c>
      <c r="F10">
        <f>'dat_file 1980'!F10</f>
        <v>1.2466999999999999</v>
      </c>
      <c r="G10">
        <f>'dat_file 1980'!G10</f>
        <v>1.2463</v>
      </c>
      <c r="H10">
        <f>ROUND('dat_file 1980'!H10/'dat_file 1980'!H$75,4)</f>
        <v>0.2089</v>
      </c>
      <c r="I10">
        <f>ROUND('dat_file 1980'!J10/'dat_file 1980'!J$75,4)</f>
        <v>0.1842</v>
      </c>
    </row>
    <row r="11" spans="2:15">
      <c r="B11">
        <f>+Sheet3!A11</f>
        <v>1956</v>
      </c>
      <c r="C11">
        <f>ROUND('dat_file 1980'!C11/'dat_file 1980'!C$75,4)</f>
        <v>0.13589999999999999</v>
      </c>
      <c r="D11">
        <f>ROUND('dat_file 1980'!D11/'dat_file 1980'!D$75,4)</f>
        <v>0.12</v>
      </c>
      <c r="E11">
        <f>ROUND('dat_file 1980'!E11/'dat_file 1980'!E$75,4)</f>
        <v>0.1051</v>
      </c>
      <c r="F11">
        <f>'dat_file 1980'!F11</f>
        <v>1.2276</v>
      </c>
      <c r="G11">
        <f>'dat_file 1980'!G11</f>
        <v>1.2279</v>
      </c>
      <c r="H11">
        <f>ROUND('dat_file 1980'!H11/'dat_file 1980'!H$75,4)</f>
        <v>0.20979999999999999</v>
      </c>
      <c r="I11">
        <f>ROUND('dat_file 1980'!J11/'dat_file 1980'!J$75,4)</f>
        <v>0.185</v>
      </c>
    </row>
    <row r="12" spans="2:15">
      <c r="B12">
        <f>+Sheet3!A12</f>
        <v>1957</v>
      </c>
      <c r="C12">
        <f>ROUND('dat_file 1980'!C12/'dat_file 1980'!C$75,4)</f>
        <v>0.1401</v>
      </c>
      <c r="D12">
        <f>ROUND('dat_file 1980'!D12/'dat_file 1980'!D$75,4)</f>
        <v>0.124</v>
      </c>
      <c r="E12">
        <f>ROUND('dat_file 1980'!E12/'dat_file 1980'!E$75,4)</f>
        <v>0.1086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1980'!H$75,4)</f>
        <v>0.21440000000000001</v>
      </c>
      <c r="I12">
        <f>ROUND('dat_file 1980'!J12/'dat_file 1980'!J$75,4)</f>
        <v>0.189</v>
      </c>
    </row>
    <row r="13" spans="2:15">
      <c r="B13">
        <f>+Sheet3!A13</f>
        <v>1958</v>
      </c>
      <c r="C13">
        <f>ROUND('dat_file 1980'!C13/'dat_file 1980'!C$75,4)</f>
        <v>0.1434</v>
      </c>
      <c r="D13">
        <f>ROUND('dat_file 1980'!D13/'dat_file 1980'!D$75,4)</f>
        <v>0.12740000000000001</v>
      </c>
      <c r="E13">
        <f>ROUND('dat_file 1980'!E13/'dat_file 1980'!E$75,4)</f>
        <v>0.11169999999999999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1980'!H$75,4)</f>
        <v>0.21790000000000001</v>
      </c>
      <c r="I13">
        <f>ROUND('dat_file 1980'!J13/'dat_file 1980'!J$75,4)</f>
        <v>0.1923</v>
      </c>
    </row>
    <row r="14" spans="2:15">
      <c r="B14">
        <f>+Sheet3!A14</f>
        <v>1959</v>
      </c>
      <c r="C14">
        <f>ROUND('dat_file 1980'!C14/'dat_file 1980'!C$75,4)</f>
        <v>0.14549999999999999</v>
      </c>
      <c r="D14">
        <f>ROUND('dat_file 1980'!D14/'dat_file 1980'!D$75,4)</f>
        <v>0.12839999999999999</v>
      </c>
      <c r="E14">
        <f>ROUND('dat_file 1980'!E14/'dat_file 1980'!E$75,4)</f>
        <v>0.1125</v>
      </c>
      <c r="F14">
        <f>'dat_file 1980'!F14</f>
        <v>1.1472</v>
      </c>
      <c r="G14">
        <f>'dat_file 1980'!G14</f>
        <v>1.1477999999999999</v>
      </c>
      <c r="H14">
        <f>ROUND('dat_file 1980'!H14/'dat_file 1980'!H$75,4)</f>
        <v>0.21740000000000001</v>
      </c>
      <c r="I14">
        <f>ROUND('dat_file 1980'!J14/'dat_file 1980'!J$75,4)</f>
        <v>0.1915</v>
      </c>
    </row>
    <row r="15" spans="2:15">
      <c r="B15">
        <f>+Sheet3!A15</f>
        <v>1960</v>
      </c>
      <c r="C15">
        <f>ROUND('dat_file 1980'!C15/'dat_file 1980'!C$75,4)</f>
        <v>0.1479</v>
      </c>
      <c r="D15">
        <f>ROUND('dat_file 1980'!D15/'dat_file 1980'!D$75,4)</f>
        <v>0.1305</v>
      </c>
      <c r="E15">
        <f>ROUND('dat_file 1980'!E15/'dat_file 1980'!E$75,4)</f>
        <v>0.1144</v>
      </c>
      <c r="F15">
        <f>'dat_file 1980'!F15</f>
        <v>1.1288</v>
      </c>
      <c r="G15">
        <f>'dat_file 1980'!G15</f>
        <v>1.1284000000000001</v>
      </c>
      <c r="H15">
        <f>ROUND('dat_file 1980'!H15/'dat_file 1980'!H$75,4)</f>
        <v>0.2185</v>
      </c>
      <c r="I15">
        <f>ROUND('dat_file 1980'!J15/'dat_file 1980'!J$75,4)</f>
        <v>0.19270000000000001</v>
      </c>
      <c r="K15" t="str">
        <f>"IF ref_year="&amp;'dat_file 1980'!B15&amp;" THEN cpi_u_rs_18="&amp;ROUND('dat_file 1980'!$D$73/'dat_file 1980'!D15,3)&amp;";"</f>
        <v>IF ref_year=1960 THEN cpi_u_rs_18=7.427;</v>
      </c>
      <c r="O15" t="str">
        <f>"IF ref_year="&amp;'dat_file 1980'!B15&amp;" THEN cpi_u_rs_adj_18="&amp;ROUND('dat_file 1980'!$H$73/'dat_file 1980'!H15,3)&amp;";"</f>
        <v>IF ref_year=1960 THEN cpi_u_rs_adj_18=4.507;</v>
      </c>
    </row>
    <row r="16" spans="2:15">
      <c r="B16">
        <f>+Sheet3!A16</f>
        <v>1961</v>
      </c>
      <c r="C16">
        <f>ROUND('dat_file 1980'!C16/'dat_file 1980'!C$75,4)</f>
        <v>0.14949999999999999</v>
      </c>
      <c r="D16">
        <f>ROUND('dat_file 1980'!D16/'dat_file 1980'!D$75,4)</f>
        <v>0.1318</v>
      </c>
      <c r="E16">
        <f>ROUND('dat_file 1980'!E16/'dat_file 1980'!E$75,4)</f>
        <v>0.11550000000000001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1980'!H$75,4)</f>
        <v>0.21829999999999999</v>
      </c>
      <c r="I16">
        <f>ROUND('dat_file 1980'!J16/'dat_file 1980'!J$75,4)</f>
        <v>0.19270000000000001</v>
      </c>
      <c r="K16" t="str">
        <f>"ELSE IF ref_year="&amp;'dat_file 1980'!B16&amp;" THEN cpi_u_rs_18="&amp;ROUND('dat_file 1980'!$D$73/'dat_file 1980'!D16,3)&amp;";"</f>
        <v>ELSE IF ref_year=1961 THEN cpi_u_rs_18=7.352;</v>
      </c>
      <c r="O16" t="str">
        <f>"ELSE IF ref_year="&amp;'dat_file 1980'!B16&amp;" THEN cpi_u_rs_adj_18="&amp;ROUND('dat_file 1980'!$H$73/'dat_file 1980'!H16,3)&amp;";"</f>
        <v>ELSE IF ref_year=1961 THEN cpi_u_rs_adj_18=4.511;</v>
      </c>
    </row>
    <row r="17" spans="2:15">
      <c r="B17">
        <f>+Sheet3!A17</f>
        <v>1962</v>
      </c>
      <c r="C17">
        <f>ROUND('dat_file 1980'!C17/'dat_file 1980'!C$75,4)</f>
        <v>0.1512</v>
      </c>
      <c r="D17">
        <f>ROUND('dat_file 1980'!D17/'dat_file 1980'!D$75,4)</f>
        <v>0.1331</v>
      </c>
      <c r="E17">
        <f>ROUND('dat_file 1980'!E17/'dat_file 1980'!E$75,4)</f>
        <v>0.1167</v>
      </c>
      <c r="F17">
        <f>'dat_file 1980'!F17</f>
        <v>1.1065</v>
      </c>
      <c r="G17">
        <f>'dat_file 1980'!G17</f>
        <v>1.1060000000000001</v>
      </c>
      <c r="H17">
        <f>ROUND('dat_file 1980'!H17/'dat_file 1980'!H$75,4)</f>
        <v>0.21809999999999999</v>
      </c>
      <c r="I17">
        <f>ROUND('dat_file 1980'!J17/'dat_file 1980'!J$75,4)</f>
        <v>0.1923</v>
      </c>
      <c r="K17" t="str">
        <f>"ELSE IF ref_year="&amp;'dat_file 1980'!B17&amp;" THEN cpi_u_rs_18="&amp;ROUND('dat_file 1980'!$D$73/'dat_file 1980'!D17,3)&amp;";"</f>
        <v>ELSE IF ref_year=1962 THEN cpi_u_rs_18=7.28;</v>
      </c>
      <c r="O17" t="str">
        <f>"ELSE IF ref_year="&amp;'dat_file 1980'!B17&amp;" THEN cpi_u_rs_adj_18="&amp;ROUND('dat_file 1980'!$H$73/'dat_file 1980'!H17,3)&amp;";"</f>
        <v>ELSE IF ref_year=1962 THEN cpi_u_rs_adj_18=4.515;</v>
      </c>
    </row>
    <row r="18" spans="2:15">
      <c r="B18">
        <f>+Sheet3!A18</f>
        <v>1963</v>
      </c>
      <c r="C18">
        <f>ROUND('dat_file 1980'!C18/'dat_file 1980'!C$75,4)</f>
        <v>0.153</v>
      </c>
      <c r="D18">
        <f>ROUND('dat_file 1980'!D18/'dat_file 1980'!D$75,4)</f>
        <v>0.13500000000000001</v>
      </c>
      <c r="E18">
        <f>ROUND('dat_file 1980'!E18/'dat_file 1980'!E$75,4)</f>
        <v>0.1182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1980'!H$75,4)</f>
        <v>0.21870000000000001</v>
      </c>
      <c r="I18">
        <f>ROUND('dat_file 1980'!J18/'dat_file 1980'!J$75,4)</f>
        <v>0.19270000000000001</v>
      </c>
      <c r="K18" t="str">
        <f>"ELSE IF ref_year="&amp;'dat_file 1980'!B18&amp;" THEN cpi_u_rs_18="&amp;ROUND('dat_file 1980'!$D$73/'dat_file 1980'!D18,3)&amp;";"</f>
        <v>ELSE IF ref_year=1963 THEN cpi_u_rs_18=7.181;</v>
      </c>
      <c r="O18" t="str">
        <f>"ELSE IF ref_year="&amp;'dat_file 1980'!B18&amp;" THEN cpi_u_rs_adj_18="&amp;ROUND('dat_file 1980'!$H$73/'dat_file 1980'!H18,3)&amp;";"</f>
        <v>ELSE IF ref_year=1963 THEN cpi_u_rs_adj_18=4.503;</v>
      </c>
    </row>
    <row r="19" spans="2:15">
      <c r="B19">
        <f>+Sheet3!A19</f>
        <v>1964</v>
      </c>
      <c r="C19">
        <f>ROUND('dat_file 1980'!C19/'dat_file 1980'!C$75,4)</f>
        <v>0.1552</v>
      </c>
      <c r="D19">
        <f>ROUND('dat_file 1980'!D19/'dat_file 1980'!D$75,4)</f>
        <v>0.1368</v>
      </c>
      <c r="E19">
        <f>ROUND('dat_file 1980'!E19/'dat_file 1980'!E$75,4)</f>
        <v>0.1198</v>
      </c>
      <c r="F19">
        <f>'dat_file 1980'!F19</f>
        <v>1.0768</v>
      </c>
      <c r="G19">
        <f>'dat_file 1980'!G19</f>
        <v>1.0773999999999999</v>
      </c>
      <c r="H19">
        <f>ROUND('dat_file 1980'!H19/'dat_file 1980'!H$75,4)</f>
        <v>0.21929999999999999</v>
      </c>
      <c r="I19">
        <f>ROUND('dat_file 1980'!J19/'dat_file 1980'!J$75,4)</f>
        <v>0.19350000000000001</v>
      </c>
      <c r="K19" t="str">
        <f>"ELSE IF ref_year="&amp;'dat_file 1980'!B19&amp;" THEN cpi_u_rs_18="&amp;ROUND('dat_file 1980'!$D$73/'dat_file 1980'!D19,3)&amp;";"</f>
        <v>ELSE IF ref_year=1964 THEN cpi_u_rs_18=7.085;</v>
      </c>
      <c r="O19" t="str">
        <f>"ELSE IF ref_year="&amp;'dat_file 1980'!B19&amp;" THEN cpi_u_rs_adj_18="&amp;ROUND('dat_file 1980'!$H$73/'dat_file 1980'!H19,3)&amp;";"</f>
        <v>ELSE IF ref_year=1964 THEN cpi_u_rs_adj_18=4.491;</v>
      </c>
    </row>
    <row r="20" spans="2:15">
      <c r="B20">
        <f>+Sheet3!A20</f>
        <v>1965</v>
      </c>
      <c r="C20">
        <f>ROUND('dat_file 1980'!C20/'dat_file 1980'!C$75,4)</f>
        <v>0.1575</v>
      </c>
      <c r="D20">
        <f>ROUND('dat_file 1980'!D20/'dat_file 1980'!D$75,4)</f>
        <v>0.1389</v>
      </c>
      <c r="E20">
        <f>ROUND('dat_file 1980'!E20/'dat_file 1980'!E$75,4)</f>
        <v>0.1217</v>
      </c>
      <c r="F20">
        <f>'dat_file 1980'!F20</f>
        <v>1.0605</v>
      </c>
      <c r="G20">
        <f>'dat_file 1980'!G20</f>
        <v>1.0603</v>
      </c>
      <c r="H20">
        <f>ROUND('dat_file 1980'!H20/'dat_file 1980'!H$75,4)</f>
        <v>0.22020000000000001</v>
      </c>
      <c r="I20">
        <f>ROUND('dat_file 1980'!J20/'dat_file 1980'!J$75,4)</f>
        <v>0.1943</v>
      </c>
      <c r="K20" t="str">
        <f>"ELSE IF ref_year="&amp;'dat_file 1980'!B20&amp;" THEN cpi_u_rs_18="&amp;ROUND('dat_file 1980'!$D$73/'dat_file 1980'!D20,3)&amp;";"</f>
        <v>ELSE IF ref_year=1965 THEN cpi_u_rs_18=6.977;</v>
      </c>
      <c r="O20" t="str">
        <f>"ELSE IF ref_year="&amp;'dat_file 1980'!B20&amp;" THEN cpi_u_rs_adj_18="&amp;ROUND('dat_file 1980'!$H$73/'dat_file 1980'!H20,3)&amp;";"</f>
        <v>ELSE IF ref_year=1965 THEN cpi_u_rs_adj_18=4.471;</v>
      </c>
    </row>
    <row r="21" spans="2:15">
      <c r="B21">
        <f>+Sheet3!A21</f>
        <v>1966</v>
      </c>
      <c r="C21">
        <f>ROUND('dat_file 1980'!C21/'dat_file 1980'!C$75,4)</f>
        <v>0.16139999999999999</v>
      </c>
      <c r="D21">
        <f>ROUND('dat_file 1980'!D21/'dat_file 1980'!D$75,4)</f>
        <v>0.1429</v>
      </c>
      <c r="E21">
        <f>ROUND('dat_file 1980'!E21/'dat_file 1980'!E$75,4)</f>
        <v>0.12520000000000001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1980'!H$75,4)</f>
        <v>0.22409999999999999</v>
      </c>
      <c r="I21">
        <f>ROUND('dat_file 1980'!J21/'dat_file 1980'!J$75,4)</f>
        <v>0.1976</v>
      </c>
      <c r="K21" t="str">
        <f>"ELSE IF ref_year="&amp;'dat_file 1980'!B21&amp;" THEN cpi_u_rs_18="&amp;ROUND('dat_file 1980'!$D$73/'dat_file 1980'!D21,3)&amp;";"</f>
        <v>ELSE IF ref_year=1966 THEN cpi_u_rs_18=6.785;</v>
      </c>
      <c r="O21" t="str">
        <f>"ELSE IF ref_year="&amp;'dat_file 1980'!B21&amp;" THEN cpi_u_rs_adj_18="&amp;ROUND('dat_file 1980'!$H$73/'dat_file 1980'!H21,3)&amp;";"</f>
        <v>ELSE IF ref_year=1966 THEN cpi_u_rs_adj_18=4.395;</v>
      </c>
    </row>
    <row r="22" spans="2:15">
      <c r="B22">
        <f>+Sheet3!A22</f>
        <v>1967</v>
      </c>
      <c r="C22">
        <f>ROUND('dat_file 1980'!C22/'dat_file 1980'!C$75,4)</f>
        <v>0.16550000000000001</v>
      </c>
      <c r="D22">
        <f>ROUND('dat_file 1980'!D22/'dat_file 1980'!D$75,4)</f>
        <v>0.14729999999999999</v>
      </c>
      <c r="E22">
        <f>ROUND('dat_file 1980'!E22/'dat_file 1980'!E$75,4)</f>
        <v>0.129</v>
      </c>
      <c r="F22">
        <f>'dat_file 1980'!F22</f>
        <v>1</v>
      </c>
      <c r="G22">
        <f>'dat_file 1980'!G22</f>
        <v>1</v>
      </c>
      <c r="H22">
        <f>ROUND('dat_file 1980'!H22/'dat_file 1980'!H$75,4)</f>
        <v>0.2286</v>
      </c>
      <c r="I22">
        <f>ROUND('dat_file 1980'!J22/'dat_file 1980'!J$75,4)</f>
        <v>0.2016</v>
      </c>
      <c r="K22" t="str">
        <f>"ELSE IF ref_year="&amp;'dat_file 1980'!B22&amp;" THEN cpi_u_rs_18="&amp;ROUND('dat_file 1980'!$D$73/'dat_file 1980'!D22,3)&amp;";"</f>
        <v>ELSE IF ref_year=1967 THEN cpi_u_rs_18=6.579;</v>
      </c>
      <c r="O22" t="str">
        <f>"ELSE IF ref_year="&amp;'dat_file 1980'!B22&amp;" THEN cpi_u_rs_adj_18="&amp;ROUND('dat_file 1980'!$H$73/'dat_file 1980'!H22,3)&amp;";"</f>
        <v>ELSE IF ref_year=1967 THEN cpi_u_rs_adj_18=4.308;</v>
      </c>
    </row>
    <row r="23" spans="2:15">
      <c r="B23">
        <f>+Sheet3!A23</f>
        <v>1968</v>
      </c>
      <c r="C23">
        <f>ROUND('dat_file 1980'!C23/'dat_file 1980'!C$75,4)</f>
        <v>0.17199999999999999</v>
      </c>
      <c r="D23">
        <f>ROUND('dat_file 1980'!D23/'dat_file 1980'!D$75,4)</f>
        <v>0.15310000000000001</v>
      </c>
      <c r="E23">
        <f>ROUND('dat_file 1980'!E23/'dat_file 1980'!E$75,4)</f>
        <v>0.13450000000000001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1980'!H$75,4)</f>
        <v>0.23499999999999999</v>
      </c>
      <c r="I23">
        <f>ROUND('dat_file 1980'!J23/'dat_file 1980'!J$75,4)</f>
        <v>0.20730000000000001</v>
      </c>
      <c r="K23" t="str">
        <f>"ELSE IF ref_year="&amp;'dat_file 1980'!B23&amp;" THEN cpi_u_rs_18="&amp;ROUND('dat_file 1980'!$D$73/'dat_file 1980'!D23,3)&amp;";"</f>
        <v>ELSE IF ref_year=1968 THEN cpi_u_rs_18=6.331;</v>
      </c>
      <c r="O23" t="str">
        <f>"ELSE IF ref_year="&amp;'dat_file 1980'!B23&amp;" THEN cpi_u_rs_adj_18="&amp;ROUND('dat_file 1980'!$H$73/'dat_file 1980'!H23,3)&amp;";"</f>
        <v>ELSE IF ref_year=1968 THEN cpi_u_rs_adj_18=4.19;</v>
      </c>
    </row>
    <row r="24" spans="2:15">
      <c r="B24">
        <f>+Sheet3!A24</f>
        <v>1969</v>
      </c>
      <c r="C24">
        <f>ROUND('dat_file 1980'!C24/'dat_file 1980'!C$75,4)</f>
        <v>0.1797</v>
      </c>
      <c r="D24">
        <f>ROUND('dat_file 1980'!D24/'dat_file 1980'!D$75,4)</f>
        <v>0.15989999999999999</v>
      </c>
      <c r="E24">
        <f>ROUND('dat_file 1980'!E24/'dat_file 1980'!E$75,4)</f>
        <v>0.14180000000000001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1980'!H$75,4)</f>
        <v>0.2429</v>
      </c>
      <c r="I24">
        <f>ROUND('dat_file 1980'!J24/'dat_file 1980'!J$75,4)</f>
        <v>0.2142</v>
      </c>
      <c r="K24" t="str">
        <f>"ELSE IF ref_year="&amp;'dat_file 1980'!B24&amp;" THEN cpi_u_rs_18="&amp;ROUND('dat_file 1980'!$D$73/'dat_file 1980'!D24,3)&amp;";"</f>
        <v>ELSE IF ref_year=1969 THEN cpi_u_rs_18=6.06;</v>
      </c>
      <c r="O24" t="str">
        <f>"ELSE IF ref_year="&amp;'dat_file 1980'!B24&amp;" THEN cpi_u_rs_adj_18="&amp;ROUND('dat_file 1980'!$H$73/'dat_file 1980'!H24,3)&amp;";"</f>
        <v>ELSE IF ref_year=1969 THEN cpi_u_rs_adj_18=4.054;</v>
      </c>
    </row>
    <row r="25" spans="2:15">
      <c r="B25">
        <f>+Sheet3!A25</f>
        <v>1970</v>
      </c>
      <c r="C25">
        <f>ROUND('dat_file 1980'!C25/'dat_file 1980'!C$75,4)</f>
        <v>0.18820000000000001</v>
      </c>
      <c r="D25">
        <f>ROUND('dat_file 1980'!D25/'dat_file 1980'!D$75,4)</f>
        <v>0.1678</v>
      </c>
      <c r="E25">
        <f>ROUND('dat_file 1980'!E25/'dat_file 1980'!E$75,4)</f>
        <v>0.14990000000000001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1980'!H$75,4)</f>
        <v>0.25219999999999998</v>
      </c>
      <c r="I25">
        <f>ROUND('dat_file 1980'!J25/'dat_file 1980'!J$75,4)</f>
        <v>0.2223</v>
      </c>
      <c r="K25" t="str">
        <f>"ELSE IF ref_year="&amp;'dat_file 1980'!B25&amp;" THEN cpi_u_rs_18="&amp;ROUND('dat_file 1980'!$D$73/'dat_file 1980'!D25,3)&amp;";"</f>
        <v>ELSE IF ref_year=1970 THEN cpi_u_rs_18=5.776;</v>
      </c>
      <c r="O25" t="str">
        <f>"ELSE IF ref_year="&amp;'dat_file 1980'!B25&amp;" THEN cpi_u_rs_adj_18="&amp;ROUND('dat_file 1980'!$H$73/'dat_file 1980'!H25,3)&amp;";"</f>
        <v>ELSE IF ref_year=1970 THEN cpi_u_rs_adj_18=3.904;</v>
      </c>
    </row>
    <row r="26" spans="2:15">
      <c r="B26">
        <f>+Sheet3!A26</f>
        <v>1971</v>
      </c>
      <c r="C26">
        <f>ROUND('dat_file 1980'!C26/'dat_file 1980'!C$75,4)</f>
        <v>0.1961</v>
      </c>
      <c r="D26">
        <f>ROUND('dat_file 1980'!D26/'dat_file 1980'!D$75,4)</f>
        <v>0.17519999999999999</v>
      </c>
      <c r="E26">
        <f>ROUND('dat_file 1980'!E26/'dat_file 1980'!E$75,4)</f>
        <v>0.1565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1980'!H$75,4)</f>
        <v>0.26050000000000001</v>
      </c>
      <c r="I26">
        <f>ROUND('dat_file 1980'!J26/'dat_file 1980'!J$75,4)</f>
        <v>0.2296</v>
      </c>
      <c r="K26" t="str">
        <f>"ELSE IF ref_year="&amp;'dat_file 1980'!B26&amp;" THEN cpi_u_rs_18="&amp;ROUND('dat_file 1980'!$D$73/'dat_file 1980'!D26,3)&amp;";"</f>
        <v>ELSE IF ref_year=1971 THEN cpi_u_rs_18=5.534;</v>
      </c>
      <c r="O26" t="str">
        <f>"ELSE IF ref_year="&amp;'dat_file 1980'!B26&amp;" THEN cpi_u_rs_adj_18="&amp;ROUND('dat_file 1980'!$H$73/'dat_file 1980'!H26,3)&amp;";"</f>
        <v>ELSE IF ref_year=1971 THEN cpi_u_rs_adj_18=3.78;</v>
      </c>
    </row>
    <row r="27" spans="2:15">
      <c r="B27">
        <f>+Sheet3!A27</f>
        <v>1972</v>
      </c>
      <c r="C27">
        <f>ROUND('dat_file 1980'!C27/'dat_file 1980'!C$75,4)</f>
        <v>0.20280000000000001</v>
      </c>
      <c r="D27">
        <f>ROUND('dat_file 1980'!D27/'dat_file 1980'!D$75,4)</f>
        <v>0.1804</v>
      </c>
      <c r="E27">
        <f>ROUND('dat_file 1980'!E27/'dat_file 1980'!E$75,4)</f>
        <v>0.1615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1980'!H$75,4)</f>
        <v>0.26540000000000002</v>
      </c>
      <c r="I27">
        <f>ROUND('dat_file 1980'!J27/'dat_file 1980'!J$75,4)</f>
        <v>0.2341</v>
      </c>
      <c r="K27" t="str">
        <f>"ELSE IF ref_year="&amp;'dat_file 1980'!B27&amp;" THEN cpi_u_rs_18="&amp;ROUND('dat_file 1980'!$D$73/'dat_file 1980'!D27,3)&amp;";"</f>
        <v>ELSE IF ref_year=1972 THEN cpi_u_rs_18=5.373;</v>
      </c>
      <c r="O27" t="str">
        <f>"ELSE IF ref_year="&amp;'dat_file 1980'!B27&amp;" THEN cpi_u_rs_adj_18="&amp;ROUND('dat_file 1980'!$H$73/'dat_file 1980'!H27,3)&amp;";"</f>
        <v>ELSE IF ref_year=1972 THEN cpi_u_rs_adj_18=3.71;</v>
      </c>
    </row>
    <row r="28" spans="2:15">
      <c r="B28">
        <f>+Sheet3!A28</f>
        <v>1973</v>
      </c>
      <c r="C28">
        <f>ROUND('dat_file 1980'!C28/'dat_file 1980'!C$75,4)</f>
        <v>0.2137</v>
      </c>
      <c r="D28">
        <f>ROUND('dat_file 1980'!D28/'dat_file 1980'!D$75,4)</f>
        <v>0.19170000000000001</v>
      </c>
      <c r="E28">
        <f>ROUND('dat_file 1980'!E28/'dat_file 1980'!E$75,4)</f>
        <v>0.17150000000000001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1980'!H$75,4)</f>
        <v>0.27910000000000001</v>
      </c>
      <c r="I28">
        <f>ROUND('dat_file 1980'!J28/'dat_file 1980'!J$75,4)</f>
        <v>0.2462</v>
      </c>
      <c r="K28" t="str">
        <f>"ELSE IF ref_year="&amp;'dat_file 1980'!B28&amp;" THEN cpi_u_rs_18="&amp;ROUND('dat_file 1980'!$D$73/'dat_file 1980'!D28,3)&amp;";"</f>
        <v>ELSE IF ref_year=1973 THEN cpi_u_rs_18=5.056;</v>
      </c>
      <c r="O28" t="str">
        <f>"ELSE IF ref_year="&amp;'dat_file 1980'!B28&amp;" THEN cpi_u_rs_adj_18="&amp;ROUND('dat_file 1980'!$H$73/'dat_file 1980'!H28,3)&amp;";"</f>
        <v>ELSE IF ref_year=1973 THEN cpi_u_rs_adj_18=3.528;</v>
      </c>
    </row>
    <row r="29" spans="2:15">
      <c r="B29">
        <f>+Sheet3!A29</f>
        <v>1974</v>
      </c>
      <c r="C29">
        <f>ROUND('dat_file 1980'!C29/'dat_file 1980'!C$75,4)</f>
        <v>0.23599999999999999</v>
      </c>
      <c r="D29">
        <f>ROUND('dat_file 1980'!D29/'dat_file 1980'!D$75,4)</f>
        <v>0.2109</v>
      </c>
      <c r="E29">
        <f>ROUND('dat_file 1980'!E29/'dat_file 1980'!E$75,4)</f>
        <v>0.1905</v>
      </c>
      <c r="F29">
        <f>'dat_file 1980'!F29</f>
        <v>0.6986</v>
      </c>
      <c r="G29">
        <f>'dat_file 1980'!G29</f>
        <v>0.67749999999999999</v>
      </c>
      <c r="H29">
        <f>ROUND('dat_file 1980'!H29/'dat_file 1980'!H$75,4)</f>
        <v>0.30399999999999999</v>
      </c>
      <c r="I29">
        <f>ROUND('dat_file 1980'!J29/'dat_file 1980'!J$75,4)</f>
        <v>0.26819999999999999</v>
      </c>
      <c r="K29" t="str">
        <f>"ELSE IF ref_year="&amp;'dat_file 1980'!B29&amp;" THEN cpi_u_rs_18="&amp;ROUND('dat_file 1980'!$D$73/'dat_file 1980'!D29,3)&amp;";"</f>
        <v>ELSE IF ref_year=1974 THEN cpi_u_rs_18=4.596;</v>
      </c>
      <c r="O29" t="str">
        <f>"ELSE IF ref_year="&amp;'dat_file 1980'!B29&amp;" THEN cpi_u_rs_adj_18="&amp;ROUND('dat_file 1980'!$H$73/'dat_file 1980'!H29,3)&amp;";"</f>
        <v>ELSE IF ref_year=1974 THEN cpi_u_rs_adj_18=3.239;</v>
      </c>
    </row>
    <row r="30" spans="2:15">
      <c r="B30">
        <f>+Sheet3!A30</f>
        <v>1975</v>
      </c>
      <c r="C30">
        <f>ROUND('dat_file 1980'!C30/'dat_file 1980'!C$75,4)</f>
        <v>0.25569999999999998</v>
      </c>
      <c r="D30">
        <f>ROUND('dat_file 1980'!D30/'dat_file 1980'!D$75,4)</f>
        <v>0.22819999999999999</v>
      </c>
      <c r="E30">
        <f>ROUND('dat_file 1980'!E30/'dat_file 1980'!E$75,4)</f>
        <v>0.2079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1980'!H$75,4)</f>
        <v>0.3256</v>
      </c>
      <c r="I30">
        <f>ROUND('dat_file 1980'!J30/'dat_file 1980'!J$75,4)</f>
        <v>0.28720000000000001</v>
      </c>
      <c r="K30" t="str">
        <f>"ELSE IF ref_year="&amp;'dat_file 1980'!B30&amp;" THEN cpi_u_rs_18="&amp;ROUND('dat_file 1980'!$D$73/'dat_file 1980'!D30,3)&amp;";"</f>
        <v>ELSE IF ref_year=1975 THEN cpi_u_rs_18=4.247;</v>
      </c>
      <c r="O30" t="str">
        <f>"ELSE IF ref_year="&amp;'dat_file 1980'!B30&amp;" THEN cpi_u_rs_adj_18="&amp;ROUND('dat_file 1980'!$H$73/'dat_file 1980'!H30,3)&amp;";"</f>
        <v>ELSE IF ref_year=1975 THEN cpi_u_rs_adj_18=3.024;</v>
      </c>
    </row>
    <row r="31" spans="2:15">
      <c r="B31">
        <f>+Sheet3!A31</f>
        <v>1976</v>
      </c>
      <c r="C31">
        <f>ROUND('dat_file 1980'!C31/'dat_file 1980'!C$75,4)</f>
        <v>0.2697</v>
      </c>
      <c r="D31">
        <f>ROUND('dat_file 1980'!D31/'dat_file 1980'!D$75,4)</f>
        <v>0.24129999999999999</v>
      </c>
      <c r="E31">
        <f>ROUND('dat_file 1980'!E31/'dat_file 1980'!E$75,4)</f>
        <v>0.2198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1980'!H$75,4)</f>
        <v>0.34079999999999999</v>
      </c>
      <c r="I31">
        <f>ROUND('dat_file 1980'!J31/'dat_file 1980'!J$75,4)</f>
        <v>0.30059999999999998</v>
      </c>
      <c r="K31" t="str">
        <f>"ELSE IF ref_year="&amp;'dat_file 1980'!B31&amp;" THEN cpi_u_rs_18="&amp;ROUND('dat_file 1980'!$D$73/'dat_file 1980'!D31,3)&amp;";"</f>
        <v>ELSE IF ref_year=1976 THEN cpi_u_rs_18=4.016;</v>
      </c>
      <c r="O31" t="str">
        <f>"ELSE IF ref_year="&amp;'dat_file 1980'!B31&amp;" THEN cpi_u_rs_adj_18="&amp;ROUND('dat_file 1980'!$H$73/'dat_file 1980'!H31,3)&amp;";"</f>
        <v>ELSE IF ref_year=1976 THEN cpi_u_rs_adj_18=2.89;</v>
      </c>
    </row>
    <row r="32" spans="2:15">
      <c r="B32">
        <f>+Sheet3!A32</f>
        <v>1977</v>
      </c>
      <c r="C32">
        <f>ROUND('dat_file 1980'!C32/'dat_file 1980'!C$75,4)</f>
        <v>0.28720000000000001</v>
      </c>
      <c r="D32">
        <f>ROUND('dat_file 1980'!D32/'dat_file 1980'!D$75,4)</f>
        <v>0.25659999999999999</v>
      </c>
      <c r="E32">
        <f>ROUND('dat_file 1980'!E32/'dat_file 1980'!E$75,4)</f>
        <v>0.2341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1980'!H$75,4)</f>
        <v>0.35849999999999999</v>
      </c>
      <c r="I32">
        <f>ROUND('dat_file 1980'!J32/'dat_file 1980'!J$75,4)</f>
        <v>0.316</v>
      </c>
      <c r="K32" t="str">
        <f>"ELSE IF ref_year="&amp;'dat_file 1980'!B32&amp;" THEN cpi_u_rs_18="&amp;ROUND('dat_file 1980'!$D$73/'dat_file 1980'!D32,3)&amp;";"</f>
        <v>ELSE IF ref_year=1977 THEN cpi_u_rs_18=3.778;</v>
      </c>
      <c r="O32" t="str">
        <f>"ELSE IF ref_year="&amp;'dat_file 1980'!B32&amp;" THEN cpi_u_rs_adj_18="&amp;ROUND('dat_file 1980'!$H$73/'dat_file 1980'!H32,3)&amp;";"</f>
        <v>ELSE IF ref_year=1977 THEN cpi_u_rs_adj_18=2.747;</v>
      </c>
    </row>
    <row r="33" spans="2:15">
      <c r="B33">
        <f>+Sheet3!A33</f>
        <v>1978</v>
      </c>
      <c r="C33">
        <f>ROUND('dat_file 1980'!C33/'dat_file 1980'!C$75,4)</f>
        <v>0.30719999999999997</v>
      </c>
      <c r="D33">
        <f>ROUND('dat_file 1980'!D33/'dat_file 1980'!D$75,4)</f>
        <v>0.2742</v>
      </c>
      <c r="E33">
        <f>ROUND('dat_file 1980'!E33/'dat_file 1980'!E$75,4)</f>
        <v>0.25190000000000001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1980'!H$75,4)</f>
        <v>0.38019999999999998</v>
      </c>
      <c r="I33">
        <f>ROUND('dat_file 1980'!J33/'dat_file 1980'!J$75,4)</f>
        <v>0.33629999999999999</v>
      </c>
      <c r="K33" t="str">
        <f>"ELSE IF ref_year="&amp;'dat_file 1980'!B33&amp;" THEN cpi_u_rs_18="&amp;ROUND('dat_file 1980'!$D$73/'dat_file 1980'!D33,3)&amp;";"</f>
        <v>ELSE IF ref_year=1978 THEN cpi_u_rs_18=3.535;</v>
      </c>
      <c r="O33" t="str">
        <f>"ELSE IF ref_year="&amp;'dat_file 1980'!B33&amp;" THEN cpi_u_rs_adj_18="&amp;ROUND('dat_file 1980'!$H$73/'dat_file 1980'!H33,3)&amp;";"</f>
        <v>ELSE IF ref_year=1978 THEN cpi_u_rs_adj_18=2.59;</v>
      </c>
    </row>
    <row r="34" spans="2:15">
      <c r="B34">
        <f>+Sheet3!A34</f>
        <v>1979</v>
      </c>
      <c r="C34">
        <f>ROUND('dat_file 1980'!C34/'dat_file 1980'!C$75,4)</f>
        <v>0.33450000000000002</v>
      </c>
      <c r="D34">
        <f>ROUND('dat_file 1980'!D34/'dat_file 1980'!D$75,4)</f>
        <v>0.30020000000000002</v>
      </c>
      <c r="E34">
        <f>ROUND('dat_file 1980'!E34/'dat_file 1980'!E$75,4)</f>
        <v>0.28050000000000003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1980'!H$75,4)</f>
        <v>0.4133</v>
      </c>
      <c r="I34">
        <f>ROUND('dat_file 1980'!J34/'dat_file 1980'!J$75,4)</f>
        <v>0.36630000000000001</v>
      </c>
      <c r="K34" t="str">
        <f>"ELSE IF ref_year="&amp;'dat_file 1980'!B34&amp;" THEN cpi_u_rs_18="&amp;ROUND('dat_file 1980'!$D$73/'dat_file 1980'!D34,3)&amp;";"</f>
        <v>ELSE IF ref_year=1979 THEN cpi_u_rs_18=3.229;</v>
      </c>
      <c r="O34" t="str">
        <f>"ELSE IF ref_year="&amp;'dat_file 1980'!B34&amp;" THEN cpi_u_rs_adj_18="&amp;ROUND('dat_file 1980'!$H$73/'dat_file 1980'!H34,3)&amp;";"</f>
        <v>ELSE IF ref_year=1979 THEN cpi_u_rs_adj_18=2.383;</v>
      </c>
    </row>
    <row r="35" spans="2:15">
      <c r="B35">
        <f>+Sheet3!A35</f>
        <v>1980</v>
      </c>
      <c r="C35">
        <f>ROUND('dat_file 1980'!C35/'dat_file 1980'!C$75,4)</f>
        <v>0.3705</v>
      </c>
      <c r="D35">
        <f>ROUND('dat_file 1980'!D35/'dat_file 1980'!D$75,4)</f>
        <v>0.33379999999999999</v>
      </c>
      <c r="E35">
        <f>ROUND('dat_file 1980'!E35/'dat_file 1980'!E$75,4)</f>
        <v>0.31840000000000002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1980'!H$75,4)</f>
        <v>0.45619999999999999</v>
      </c>
      <c r="I35">
        <f>ROUND('dat_file 1980'!J35/'dat_file 1980'!J$75,4)</f>
        <v>0.40570000000000001</v>
      </c>
      <c r="K35" t="str">
        <f>"ELSE IF ref_year="&amp;'dat_file 1980'!B35&amp;" THEN cpi_u_rs_18="&amp;ROUND('dat_file 1980'!$D$73/'dat_file 1980'!D35,3)&amp;";"</f>
        <v>ELSE IF ref_year=1980 THEN cpi_u_rs_18=2.904;</v>
      </c>
      <c r="O35" t="str">
        <f>"ELSE IF ref_year="&amp;'dat_file 1980'!B35&amp;" THEN cpi_u_rs_adj_18="&amp;ROUND('dat_file 1980'!$H$73/'dat_file 1980'!H35,3)&amp;";"</f>
        <v>ELSE IF ref_year=1980 THEN cpi_u_rs_adj_18=2.158;</v>
      </c>
    </row>
    <row r="36" spans="2:15">
      <c r="B36">
        <f>+Sheet3!A36</f>
        <v>1981</v>
      </c>
      <c r="C36">
        <f>ROUND('dat_file 1980'!C36/'dat_file 1980'!C$75,4)</f>
        <v>0.4037</v>
      </c>
      <c r="D36">
        <f>ROUND('dat_file 1980'!D36/'dat_file 1980'!D$75,4)</f>
        <v>0.36530000000000001</v>
      </c>
      <c r="E36">
        <f>ROUND('dat_file 1980'!E36/'dat_file 1980'!E$75,4)</f>
        <v>0.35120000000000001</v>
      </c>
      <c r="F36">
        <f>'dat_file 1980'!F36</f>
        <v>0.40329999999999999</v>
      </c>
      <c r="G36">
        <f>'dat_file 1980'!G36</f>
        <v>0.3674</v>
      </c>
      <c r="H36">
        <f>ROUND('dat_file 1980'!H36/'dat_file 1980'!H$75,4)</f>
        <v>0.49569999999999997</v>
      </c>
      <c r="I36">
        <f>ROUND('dat_file 1980'!J36/'dat_file 1980'!J$75,4)</f>
        <v>0.44180000000000003</v>
      </c>
      <c r="K36" t="str">
        <f>"ELSE IF ref_year="&amp;'dat_file 1980'!B36&amp;" THEN cpi_u_rs_18="&amp;ROUND('dat_file 1980'!$D$73/'dat_file 1980'!D36,3)&amp;";"</f>
        <v>ELSE IF ref_year=1981 THEN cpi_u_rs_18=2.654;</v>
      </c>
      <c r="O36" t="str">
        <f>"ELSE IF ref_year="&amp;'dat_file 1980'!B36&amp;" THEN cpi_u_rs_adj_18="&amp;ROUND('dat_file 1980'!$H$73/'dat_file 1980'!H36,3)&amp;";"</f>
        <v>ELSE IF ref_year=1981 THEN cpi_u_rs_adj_18=1.987;</v>
      </c>
    </row>
    <row r="37" spans="2:15">
      <c r="B37">
        <f>+Sheet3!A37</f>
        <v>1982</v>
      </c>
      <c r="C37">
        <f>ROUND('dat_file 1980'!C37/'dat_file 1980'!C$75,4)</f>
        <v>0.42609999999999998</v>
      </c>
      <c r="D37">
        <f>ROUND('dat_file 1980'!D37/'dat_file 1980'!D$75,4)</f>
        <v>0.38729999999999998</v>
      </c>
      <c r="E37">
        <f>ROUND('dat_file 1980'!E37/'dat_file 1980'!E$75,4)</f>
        <v>0.37290000000000001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1980'!H$75,4)</f>
        <v>0.52159999999999995</v>
      </c>
      <c r="I37">
        <f>ROUND('dat_file 1980'!J37/'dat_file 1980'!J$75,4)</f>
        <v>0.46650000000000003</v>
      </c>
      <c r="K37" t="str">
        <f>"ELSE IF ref_year="&amp;'dat_file 1980'!B37&amp;" THEN cpi_u_rs_18="&amp;ROUND('dat_file 1980'!$D$73/'dat_file 1980'!D37,3)&amp;";"</f>
        <v>ELSE IF ref_year=1982 THEN cpi_u_rs_18=2.502;</v>
      </c>
      <c r="O37" t="str">
        <f>"ELSE IF ref_year="&amp;'dat_file 1980'!B37&amp;" THEN cpi_u_rs_adj_18="&amp;ROUND('dat_file 1980'!$H$73/'dat_file 1980'!H37,3)&amp;";"</f>
        <v>ELSE IF ref_year=1982 THEN cpi_u_rs_adj_18=1.888;</v>
      </c>
    </row>
    <row r="38" spans="2:15">
      <c r="B38">
        <f>+Sheet3!A38</f>
        <v>1983</v>
      </c>
      <c r="C38">
        <f>ROUND('dat_file 1980'!C38/'dat_file 1980'!C$75,4)</f>
        <v>0.44429999999999997</v>
      </c>
      <c r="D38">
        <f>ROUND('dat_file 1980'!D38/'dat_file 1980'!D$75,4)</f>
        <v>0.40389999999999998</v>
      </c>
      <c r="E38">
        <f>ROUND('dat_file 1980'!E38/'dat_file 1980'!E$75,4)</f>
        <v>0.38479999999999998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1980'!H$75,4)</f>
        <v>0.53969999999999996</v>
      </c>
      <c r="I38">
        <f>ROUND('dat_file 1980'!J38/'dat_file 1980'!J$75,4)</f>
        <v>0.48399999999999999</v>
      </c>
      <c r="K38" t="str">
        <f>"ELSE IF ref_year="&amp;'dat_file 1980'!B38&amp;" THEN cpi_u_rs_18="&amp;ROUND('dat_file 1980'!$D$73/'dat_file 1980'!D38,3)&amp;";"</f>
        <v>ELSE IF ref_year=1983 THEN cpi_u_rs_18=2.4;</v>
      </c>
      <c r="O38" t="str">
        <f>"ELSE IF ref_year="&amp;'dat_file 1980'!B38&amp;" THEN cpi_u_rs_adj_18="&amp;ROUND('dat_file 1980'!$H$73/'dat_file 1980'!H38,3)&amp;";"</f>
        <v>ELSE IF ref_year=1983 THEN cpi_u_rs_adj_18=1.824;</v>
      </c>
    </row>
    <row r="39" spans="2:15">
      <c r="B39">
        <f>+Sheet3!A39</f>
        <v>1984</v>
      </c>
      <c r="C39">
        <f>ROUND('dat_file 1980'!C39/'dat_file 1980'!C$75,4)</f>
        <v>0.46100000000000002</v>
      </c>
      <c r="D39">
        <f>ROUND('dat_file 1980'!D39/'dat_file 1980'!D$75,4)</f>
        <v>0.42070000000000002</v>
      </c>
      <c r="E39">
        <f>ROUND('dat_file 1980'!E39/'dat_file 1980'!E$75,4)</f>
        <v>0.40139999999999998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1980'!H$75,4)</f>
        <v>0.55789999999999995</v>
      </c>
      <c r="I39">
        <f>ROUND('dat_file 1980'!J39/'dat_file 1980'!J$75,4)</f>
        <v>0.50180000000000002</v>
      </c>
      <c r="K39" t="str">
        <f>"ELSE IF ref_year="&amp;'dat_file 1980'!B39&amp;" THEN cpi_u_rs_18="&amp;ROUND('dat_file 1980'!$D$73/'dat_file 1980'!D39,3)&amp;";"</f>
        <v>ELSE IF ref_year=1984 THEN cpi_u_rs_18=2.304;</v>
      </c>
      <c r="O39" t="str">
        <f>"ELSE IF ref_year="&amp;'dat_file 1980'!B39&amp;" THEN cpi_u_rs_adj_18="&amp;ROUND('dat_file 1980'!$H$73/'dat_file 1980'!H39,3)&amp;";"</f>
        <v>ELSE IF ref_year=1984 THEN cpi_u_rs_adj_18=1.765;</v>
      </c>
    </row>
    <row r="40" spans="2:15">
      <c r="B40">
        <f>+Sheet3!A40</f>
        <v>1985</v>
      </c>
      <c r="C40">
        <f>ROUND('dat_file 1980'!C40/'dat_file 1980'!C$75,4)</f>
        <v>0.47710000000000002</v>
      </c>
      <c r="D40">
        <f>ROUND('dat_file 1980'!D40/'dat_file 1980'!D$75,4)</f>
        <v>0.43490000000000001</v>
      </c>
      <c r="E40">
        <f>ROUND('dat_file 1980'!E40/'dat_file 1980'!E$75,4)</f>
        <v>0.41570000000000001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1980'!H$75,4)</f>
        <v>0.57220000000000004</v>
      </c>
      <c r="I40">
        <f>ROUND('dat_file 1980'!J40/'dat_file 1980'!J$75,4)</f>
        <v>0.51600000000000001</v>
      </c>
      <c r="K40" t="str">
        <f>"ELSE IF ref_year="&amp;'dat_file 1980'!B40&amp;" THEN cpi_u_rs_18="&amp;ROUND('dat_file 1980'!$D$73/'dat_file 1980'!D40,3)&amp;";"</f>
        <v>ELSE IF ref_year=1985 THEN cpi_u_rs_18=2.229;</v>
      </c>
      <c r="O40" t="str">
        <f>"ELSE IF ref_year="&amp;'dat_file 1980'!B40&amp;" THEN cpi_u_rs_adj_18="&amp;ROUND('dat_file 1980'!$H$73/'dat_file 1980'!H40,3)&amp;";"</f>
        <v>ELSE IF ref_year=1985 THEN cpi_u_rs_adj_18=1.721;</v>
      </c>
    </row>
    <row r="41" spans="2:15">
      <c r="B41">
        <f>+Sheet3!A41</f>
        <v>1986</v>
      </c>
      <c r="C41">
        <f>ROUND('dat_file 1980'!C41/'dat_file 1980'!C$75,4)</f>
        <v>0.48749999999999999</v>
      </c>
      <c r="D41">
        <f>ROUND('dat_file 1980'!D41/'dat_file 1980'!D$75,4)</f>
        <v>0.44219999999999998</v>
      </c>
      <c r="E41">
        <f>ROUND('dat_file 1980'!E41/'dat_file 1980'!E$75,4)</f>
        <v>0.42349999999999999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1980'!H$75,4)</f>
        <v>0.57730000000000004</v>
      </c>
      <c r="I41">
        <f>ROUND('dat_file 1980'!J41/'dat_file 1980'!J$75,4)</f>
        <v>0.52210000000000001</v>
      </c>
      <c r="K41" t="str">
        <f>"ELSE IF ref_year="&amp;'dat_file 1980'!B41&amp;" THEN cpi_u_rs_18="&amp;ROUND('dat_file 1980'!$D$73/'dat_file 1980'!D41,3)&amp;";"</f>
        <v>ELSE IF ref_year=1986 THEN cpi_u_rs_18=2.192;</v>
      </c>
      <c r="O41" t="str">
        <f>"ELSE IF ref_year="&amp;'dat_file 1980'!B41&amp;" THEN cpi_u_rs_adj_18="&amp;ROUND('dat_file 1980'!$H$73/'dat_file 1980'!H41,3)&amp;";"</f>
        <v>ELSE IF ref_year=1986 THEN cpi_u_rs_adj_18=1.706;</v>
      </c>
    </row>
    <row r="42" spans="2:15">
      <c r="B42">
        <f>+Sheet3!A42</f>
        <v>1987</v>
      </c>
      <c r="C42">
        <f>ROUND('dat_file 1980'!C42/'dat_file 1980'!C$75,4)</f>
        <v>0.50249999999999995</v>
      </c>
      <c r="D42">
        <f>ROUND('dat_file 1980'!D42/'dat_file 1980'!D$75,4)</f>
        <v>0.4572</v>
      </c>
      <c r="E42">
        <f>ROUND('dat_file 1980'!E42/'dat_file 1980'!E$75,4)</f>
        <v>0.43890000000000001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1980'!H$75,4)</f>
        <v>0.59230000000000005</v>
      </c>
      <c r="I42">
        <f>ROUND('dat_file 1980'!J42/'dat_file 1980'!J$75,4)</f>
        <v>0.53749999999999998</v>
      </c>
      <c r="K42" t="str">
        <f>"ELSE IF ref_year="&amp;'dat_file 1980'!B42&amp;" THEN cpi_u_rs_18="&amp;ROUND('dat_file 1980'!$D$73/'dat_file 1980'!D42,3)&amp;";"</f>
        <v>ELSE IF ref_year=1987 THEN cpi_u_rs_18=2.12;</v>
      </c>
      <c r="O42" t="str">
        <f>"ELSE IF ref_year="&amp;'dat_file 1980'!B42&amp;" THEN cpi_u_rs_adj_18="&amp;ROUND('dat_file 1980'!$H$73/'dat_file 1980'!H42,3)&amp;";"</f>
        <v>ELSE IF ref_year=1987 THEN cpi_u_rs_adj_18=1.663;</v>
      </c>
    </row>
    <row r="43" spans="2:15">
      <c r="B43">
        <f>+Sheet3!A43</f>
        <v>1988</v>
      </c>
      <c r="C43">
        <f>ROUND('dat_file 1980'!C43/'dat_file 1980'!C$75,4)</f>
        <v>0.5222</v>
      </c>
      <c r="D43">
        <f>ROUND('dat_file 1980'!D43/'dat_file 1980'!D$75,4)</f>
        <v>0.47399999999999998</v>
      </c>
      <c r="E43">
        <f>ROUND('dat_file 1980'!E43/'dat_file 1980'!E$75,4)</f>
        <v>0.45710000000000001</v>
      </c>
      <c r="F43">
        <f>'dat_file 1980'!F43</f>
        <v>0.31080000000000002</v>
      </c>
      <c r="G43">
        <f>'dat_file 1980'!G43</f>
        <v>0.2823</v>
      </c>
      <c r="H43">
        <f>ROUND('dat_file 1980'!H43/'dat_file 1980'!H$75,4)</f>
        <v>0.60929999999999995</v>
      </c>
      <c r="I43">
        <f>ROUND('dat_file 1980'!J43/'dat_file 1980'!J$75,4)</f>
        <v>0.55459999999999998</v>
      </c>
      <c r="K43" t="str">
        <f>"ELSE IF ref_year="&amp;'dat_file 1980'!B43&amp;" THEN cpi_u_rs_18="&amp;ROUND('dat_file 1980'!$D$73/'dat_file 1980'!D43,3)&amp;";"</f>
        <v>ELSE IF ref_year=1988 THEN cpi_u_rs_18=2.045;</v>
      </c>
      <c r="O43" t="str">
        <f>"ELSE IF ref_year="&amp;'dat_file 1980'!B43&amp;" THEN cpi_u_rs_adj_18="&amp;ROUND('dat_file 1980'!$H$73/'dat_file 1980'!H43,3)&amp;";"</f>
        <v>ELSE IF ref_year=1988 THEN cpi_u_rs_adj_18=1.616;</v>
      </c>
    </row>
    <row r="44" spans="2:15">
      <c r="B44">
        <f>+Sheet3!A44</f>
        <v>1989</v>
      </c>
      <c r="C44">
        <f>ROUND('dat_file 1980'!C44/'dat_file 1980'!C$75,4)</f>
        <v>0.54500000000000004</v>
      </c>
      <c r="D44">
        <f>ROUND('dat_file 1980'!D44/'dat_file 1980'!D$75,4)</f>
        <v>0.4945</v>
      </c>
      <c r="E44">
        <f>ROUND('dat_file 1980'!E44/'dat_file 1980'!E$75,4)</f>
        <v>0.47910000000000003</v>
      </c>
      <c r="F44">
        <f>'dat_file 1980'!F44</f>
        <v>0.2979</v>
      </c>
      <c r="G44">
        <f>'dat_file 1980'!G44</f>
        <v>0.26939999999999997</v>
      </c>
      <c r="H44">
        <f>ROUND('dat_file 1980'!H44/'dat_file 1980'!H$75,4)</f>
        <v>0.63080000000000003</v>
      </c>
      <c r="I44">
        <f>ROUND('dat_file 1980'!J44/'dat_file 1980'!J$75,4)</f>
        <v>0.57569999999999999</v>
      </c>
      <c r="K44" t="str">
        <f>"ELSE IF ref_year="&amp;'dat_file 1980'!B44&amp;" THEN cpi_u_rs_18="&amp;ROUND('dat_file 1980'!$D$73/'dat_file 1980'!D44,3)&amp;";"</f>
        <v>ELSE IF ref_year=1989 THEN cpi_u_rs_18=1.96;</v>
      </c>
      <c r="O44" t="str">
        <f>"ELSE IF ref_year="&amp;'dat_file 1980'!B44&amp;" THEN cpi_u_rs_adj_18="&amp;ROUND('dat_file 1980'!$H$73/'dat_file 1980'!H44,3)&amp;";"</f>
        <v>ELSE IF ref_year=1989 THEN cpi_u_rs_adj_18=1.561;</v>
      </c>
    </row>
    <row r="45" spans="2:15">
      <c r="B45">
        <f>+Sheet3!A45</f>
        <v>1990</v>
      </c>
      <c r="C45">
        <f>ROUND('dat_file 1980'!C45/'dat_file 1980'!C$75,4)</f>
        <v>0.56889999999999996</v>
      </c>
      <c r="D45">
        <f>ROUND('dat_file 1980'!D45/'dat_file 1980'!D$75,4)</f>
        <v>0.51890000000000003</v>
      </c>
      <c r="E45">
        <f>ROUND('dat_file 1980'!E45/'dat_file 1980'!E$75,4)</f>
        <v>0.505</v>
      </c>
      <c r="F45">
        <f>'dat_file 1980'!F45</f>
        <v>0.28389999999999999</v>
      </c>
      <c r="G45">
        <f>'dat_file 1980'!G45</f>
        <v>0.2555</v>
      </c>
      <c r="H45">
        <f>ROUND('dat_file 1980'!H45/'dat_file 1980'!H$75,4)</f>
        <v>0.65690000000000004</v>
      </c>
      <c r="I45">
        <f>ROUND('dat_file 1980'!J45/'dat_file 1980'!J$75,4)</f>
        <v>0.60119999999999996</v>
      </c>
      <c r="K45" t="str">
        <f>"ELSE IF ref_year="&amp;'dat_file 1980'!B45&amp;" THEN cpi_u_rs_18="&amp;ROUND('dat_file 1980'!$D$73/'dat_file 1980'!D45,3)&amp;";"</f>
        <v>ELSE IF ref_year=1990 THEN cpi_u_rs_18=1.868;</v>
      </c>
      <c r="O45" t="str">
        <f>"ELSE IF ref_year="&amp;'dat_file 1980'!B45&amp;" THEN cpi_u_rs_adj_18="&amp;ROUND('dat_file 1980'!$H$73/'dat_file 1980'!H45,3)&amp;";"</f>
        <v>ELSE IF ref_year=1990 THEN cpi_u_rs_adj_18=1.499;</v>
      </c>
    </row>
    <row r="46" spans="2:15">
      <c r="B46">
        <f>+Sheet3!A46</f>
        <v>1991</v>
      </c>
      <c r="C46">
        <f>ROUND('dat_file 1980'!C46/'dat_file 1980'!C$75,4)</f>
        <v>0.58789999999999998</v>
      </c>
      <c r="D46">
        <f>ROUND('dat_file 1980'!D46/'dat_file 1980'!D$75,4)</f>
        <v>0.53779999999999994</v>
      </c>
      <c r="E46">
        <f>ROUND('dat_file 1980'!E46/'dat_file 1980'!E$75,4)</f>
        <v>0.52629999999999999</v>
      </c>
      <c r="F46">
        <f>'dat_file 1980'!F46</f>
        <v>0.27389999999999998</v>
      </c>
      <c r="G46">
        <f>'dat_file 1980'!G46</f>
        <v>0.2452</v>
      </c>
      <c r="H46">
        <f>ROUND('dat_file 1980'!H46/'dat_file 1980'!H$75,4)</f>
        <v>0.67549999999999999</v>
      </c>
      <c r="I46">
        <f>ROUND('dat_file 1980'!J46/'dat_file 1980'!J$75,4)</f>
        <v>0.61990000000000001</v>
      </c>
      <c r="K46" t="str">
        <f>"ELSE IF ref_year="&amp;'dat_file 1980'!B46&amp;" THEN cpi_u_rs_18="&amp;ROUND('dat_file 1980'!$D$73/'dat_file 1980'!D46,3)&amp;";"</f>
        <v>ELSE IF ref_year=1991 THEN cpi_u_rs_18=1.802;</v>
      </c>
      <c r="O46" t="str">
        <f>"ELSE IF ref_year="&amp;'dat_file 1980'!B46&amp;" THEN cpi_u_rs_adj_18="&amp;ROUND('dat_file 1980'!$H$73/'dat_file 1980'!H46,3)&amp;";"</f>
        <v>ELSE IF ref_year=1991 THEN cpi_u_rs_adj_18=1.458;</v>
      </c>
    </row>
    <row r="47" spans="2:15">
      <c r="B47">
        <f>+Sheet3!A47</f>
        <v>1992</v>
      </c>
      <c r="C47">
        <f>ROUND('dat_file 1980'!C47/'dat_file 1980'!C$75,4)</f>
        <v>0.60360000000000003</v>
      </c>
      <c r="D47">
        <f>ROUND('dat_file 1980'!D47/'dat_file 1980'!D$75,4)</f>
        <v>0.55120000000000002</v>
      </c>
      <c r="E47">
        <f>ROUND('dat_file 1980'!E47/'dat_file 1980'!E$75,4)</f>
        <v>0.54210000000000003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1980'!H$75,4)</f>
        <v>0.68689999999999996</v>
      </c>
      <c r="I47">
        <f>ROUND('dat_file 1980'!J47/'dat_file 1980'!J$75,4)</f>
        <v>0.63249999999999995</v>
      </c>
      <c r="K47" t="str">
        <f>"ELSE IF ref_year="&amp;'dat_file 1980'!B47&amp;" THEN cpi_u_rs_18="&amp;ROUND('dat_file 1980'!$D$73/'dat_file 1980'!D47,3)&amp;";"</f>
        <v>ELSE IF ref_year=1992 THEN cpi_u_rs_18=1.758;</v>
      </c>
      <c r="O47" t="str">
        <f>"ELSE IF ref_year="&amp;'dat_file 1980'!B47&amp;" THEN cpi_u_rs_adj_18="&amp;ROUND('dat_file 1980'!$H$73/'dat_file 1980'!H47,3)&amp;";"</f>
        <v>ELSE IF ref_year=1992 THEN cpi_u_rs_adj_18=1.434;</v>
      </c>
    </row>
    <row r="48" spans="2:15">
      <c r="B48">
        <f>+Sheet3!A48</f>
        <v>1993</v>
      </c>
      <c r="C48">
        <f>ROUND('dat_file 1980'!C48/'dat_file 1980'!C$75,4)</f>
        <v>0.61860000000000004</v>
      </c>
      <c r="D48">
        <f>ROUND('dat_file 1980'!D48/'dat_file 1980'!D$75,4)</f>
        <v>0.56510000000000005</v>
      </c>
      <c r="E48">
        <f>ROUND('dat_file 1980'!E48/'dat_file 1980'!E$75,4)</f>
        <v>0.55830000000000002</v>
      </c>
      <c r="F48">
        <f>'dat_file 1980'!F48</f>
        <v>0.26069999999999999</v>
      </c>
      <c r="G48">
        <f>'dat_file 1980'!G48</f>
        <v>0.2311</v>
      </c>
      <c r="H48">
        <f>ROUND('dat_file 1980'!H48/'dat_file 1980'!H$75,4)</f>
        <v>0.69879999999999998</v>
      </c>
      <c r="I48">
        <f>ROUND('dat_file 1980'!J48/'dat_file 1980'!J$75,4)</f>
        <v>0.64500000000000002</v>
      </c>
      <c r="K48" t="str">
        <f>"ELSE IF ref_year="&amp;'dat_file 1980'!B48&amp;" THEN cpi_u_rs_18="&amp;ROUND('dat_file 1980'!$D$73/'dat_file 1980'!D48,3)&amp;";"</f>
        <v>ELSE IF ref_year=1993 THEN cpi_u_rs_18=1.715;</v>
      </c>
      <c r="O48" t="str">
        <f>"ELSE IF ref_year="&amp;'dat_file 1980'!B48&amp;" THEN cpi_u_rs_adj_18="&amp;ROUND('dat_file 1980'!$H$73/'dat_file 1980'!H48,3)&amp;";"</f>
        <v>ELSE IF ref_year=1993 THEN cpi_u_rs_adj_18=1.409;</v>
      </c>
    </row>
    <row r="49" spans="2:15">
      <c r="B49">
        <f>+Sheet3!A49</f>
        <v>1994</v>
      </c>
      <c r="C49">
        <f>ROUND('dat_file 1980'!C49/'dat_file 1980'!C$75,4)</f>
        <v>0.63160000000000005</v>
      </c>
      <c r="D49">
        <f>ROUND('dat_file 1980'!D49/'dat_file 1980'!D$75,4)</f>
        <v>0.57699999999999996</v>
      </c>
      <c r="E49">
        <f>ROUND('dat_file 1980'!E49/'dat_file 1980'!E$75,4)</f>
        <v>0.5726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1980'!H$75,4)</f>
        <v>0.70779999999999998</v>
      </c>
      <c r="I49">
        <f>ROUND('dat_file 1980'!J49/'dat_file 1980'!J$75,4)</f>
        <v>0.65559999999999996</v>
      </c>
      <c r="K49" t="str">
        <f>"ELSE IF ref_year="&amp;'dat_file 1980'!B49&amp;" THEN cpi_u_rs_18="&amp;ROUND('dat_file 1980'!$D$73/'dat_file 1980'!D49,3)&amp;";"</f>
        <v>ELSE IF ref_year=1994 THEN cpi_u_rs_18=1.68;</v>
      </c>
      <c r="O49" t="str">
        <f>"ELSE IF ref_year="&amp;'dat_file 1980'!B49&amp;" THEN cpi_u_rs_adj_18="&amp;ROUND('dat_file 1980'!$H$73/'dat_file 1980'!H49,3)&amp;";"</f>
        <v>ELSE IF ref_year=1994 THEN cpi_u_rs_adj_18=1.391;</v>
      </c>
    </row>
    <row r="50" spans="2:15">
      <c r="B50">
        <f>+Sheet3!A50</f>
        <v>1995</v>
      </c>
      <c r="C50">
        <f>ROUND('dat_file 1980'!C50/'dat_file 1980'!C$75,4)</f>
        <v>0.64490000000000003</v>
      </c>
      <c r="D50">
        <f>ROUND('dat_file 1980'!D50/'dat_file 1980'!D$75,4)</f>
        <v>0.59089999999999998</v>
      </c>
      <c r="E50">
        <f>ROUND('dat_file 1980'!E50/'dat_file 1980'!E$75,4)</f>
        <v>0.58879999999999999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1980'!H$75,4)</f>
        <v>0.71919999999999995</v>
      </c>
      <c r="I50">
        <f>ROUND('dat_file 1980'!J50/'dat_file 1980'!J$75,4)</f>
        <v>0.66820000000000002</v>
      </c>
      <c r="K50" t="str">
        <f>"ELSE IF ref_year="&amp;'dat_file 1980'!B50&amp;" THEN cpi_u_rs_18="&amp;ROUND('dat_file 1980'!$D$73/'dat_file 1980'!D50,3)&amp;";"</f>
        <v>ELSE IF ref_year=1995 THEN cpi_u_rs_18=1.64;</v>
      </c>
      <c r="O50" t="str">
        <f>"ELSE IF ref_year="&amp;'dat_file 1980'!B50&amp;" THEN cpi_u_rs_adj_18="&amp;ROUND('dat_file 1980'!$H$73/'dat_file 1980'!H50,3)&amp;";"</f>
        <v>ELSE IF ref_year=1995 THEN cpi_u_rs_adj_18=1.369;</v>
      </c>
    </row>
    <row r="51" spans="2:15">
      <c r="B51">
        <f>+Sheet3!A51</f>
        <v>1996</v>
      </c>
      <c r="C51">
        <f>ROUND('dat_file 1980'!C51/'dat_file 1980'!C$75,4)</f>
        <v>0.65859999999999996</v>
      </c>
      <c r="D51">
        <f>ROUND('dat_file 1980'!D51/'dat_file 1980'!D$75,4)</f>
        <v>0.60660000000000003</v>
      </c>
      <c r="E51">
        <f>ROUND('dat_file 1980'!E51/'dat_file 1980'!E$75,4)</f>
        <v>0.60619999999999996</v>
      </c>
      <c r="F51">
        <f>'dat_file 1980'!F51</f>
        <v>0.2429</v>
      </c>
      <c r="G51">
        <f>'dat_file 1980'!G51</f>
        <v>0.21290000000000001</v>
      </c>
      <c r="H51">
        <f>ROUND('dat_file 1980'!H51/'dat_file 1980'!H$75,4)</f>
        <v>0.73260000000000003</v>
      </c>
      <c r="I51">
        <f>ROUND('dat_file 1980'!J51/'dat_file 1980'!J$75,4)</f>
        <v>0.68240000000000001</v>
      </c>
      <c r="K51" t="str">
        <f>"ELSE IF ref_year="&amp;'dat_file 1980'!B51&amp;" THEN cpi_u_rs_18="&amp;ROUND('dat_file 1980'!$D$73/'dat_file 1980'!D51,3)&amp;";"</f>
        <v>ELSE IF ref_year=1996 THEN cpi_u_rs_18=1.598;</v>
      </c>
      <c r="O51" t="str">
        <f>"ELSE IF ref_year="&amp;'dat_file 1980'!B51&amp;" THEN cpi_u_rs_adj_18="&amp;ROUND('dat_file 1980'!$H$73/'dat_file 1980'!H51,3)&amp;";"</f>
        <v>ELSE IF ref_year=1996 THEN cpi_u_rs_adj_18=1.344;</v>
      </c>
    </row>
    <row r="52" spans="2:15">
      <c r="B52">
        <f>+Sheet3!A52</f>
        <v>1997</v>
      </c>
      <c r="C52">
        <f>ROUND('dat_file 1980'!C52/'dat_file 1980'!C$75,4)</f>
        <v>0.67010000000000003</v>
      </c>
      <c r="D52">
        <f>ROUND('dat_file 1980'!D52/'dat_file 1980'!D$75,4)</f>
        <v>0.61970000000000003</v>
      </c>
      <c r="E52">
        <f>ROUND('dat_file 1980'!E52/'dat_file 1980'!E$75,4)</f>
        <v>0.62009999999999998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1980'!H$75,4)</f>
        <v>0.74260000000000004</v>
      </c>
      <c r="I52">
        <f>ROUND('dat_file 1980'!J52/'dat_file 1980'!J$75,4)</f>
        <v>0.69369999999999998</v>
      </c>
      <c r="K52" t="str">
        <f>"ELSE IF ref_year="&amp;'dat_file 1980'!B52&amp;" THEN cpi_u_rs_18="&amp;ROUND('dat_file 1980'!$D$73/'dat_file 1980'!D52,3)&amp;";"</f>
        <v>ELSE IF ref_year=1997 THEN cpi_u_rs_18=1.564;</v>
      </c>
      <c r="O52" t="str">
        <f>"ELSE IF ref_year="&amp;'dat_file 1980'!B52&amp;" THEN cpi_u_rs_adj_18="&amp;ROUND('dat_file 1980'!$H$73/'dat_file 1980'!H52,3)&amp;";"</f>
        <v>ELSE IF ref_year=1997 THEN cpi_u_rs_adj_18=1.326;</v>
      </c>
    </row>
    <row r="53" spans="2:15">
      <c r="B53">
        <f>+Sheet3!A53</f>
        <v>1998</v>
      </c>
      <c r="C53">
        <f>ROUND('dat_file 1980'!C53/'dat_file 1980'!C$75,4)</f>
        <v>0.6754</v>
      </c>
      <c r="D53">
        <f>ROUND('dat_file 1980'!D53/'dat_file 1980'!D$75,4)</f>
        <v>0.62809999999999999</v>
      </c>
      <c r="E53">
        <f>ROUND('dat_file 1980'!E53/'dat_file 1980'!E$75,4)</f>
        <v>0.62980000000000003</v>
      </c>
      <c r="F53">
        <f>'dat_file 1980'!F53</f>
        <v>0.23449999999999999</v>
      </c>
      <c r="G53">
        <f>'dat_file 1980'!G53</f>
        <v>0.2049</v>
      </c>
      <c r="H53">
        <f>ROUND('dat_file 1980'!H53/'dat_file 1980'!H$75,4)</f>
        <v>0.74680000000000002</v>
      </c>
      <c r="I53">
        <f>ROUND('dat_file 1980'!J53/'dat_file 1980'!J$75,4)</f>
        <v>0.69979999999999998</v>
      </c>
      <c r="K53" t="str">
        <f>"ELSE IF ref_year="&amp;'dat_file 1980'!B53&amp;" THEN cpi_u_rs_18="&amp;ROUND('dat_file 1980'!$D$73/'dat_file 1980'!D53,3)&amp;";"</f>
        <v>ELSE IF ref_year=1998 THEN cpi_u_rs_18=1.543;</v>
      </c>
      <c r="O53" t="str">
        <f>"ELSE IF ref_year="&amp;'dat_file 1980'!B53&amp;" THEN cpi_u_rs_adj_18="&amp;ROUND('dat_file 1980'!$H$73/'dat_file 1980'!H53,3)&amp;";"</f>
        <v>ELSE IF ref_year=1998 THEN cpi_u_rs_adj_18=1.319;</v>
      </c>
    </row>
    <row r="54" spans="2:15">
      <c r="B54">
        <f>+Sheet3!A54</f>
        <v>1999</v>
      </c>
      <c r="C54">
        <f>ROUND('dat_file 1980'!C54/'dat_file 1980'!C$75,4)</f>
        <v>0.68530000000000002</v>
      </c>
      <c r="D54">
        <f>ROUND('dat_file 1980'!D54/'dat_file 1980'!D$75,4)</f>
        <v>0.64129999999999998</v>
      </c>
      <c r="E54">
        <f>ROUND('dat_file 1980'!E54/'dat_file 1980'!E$75,4)</f>
        <v>0.64370000000000005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1980'!H$75,4)</f>
        <v>0.75639999999999996</v>
      </c>
      <c r="I54">
        <f>ROUND('dat_file 1980'!J54/'dat_file 1980'!J$75,4)</f>
        <v>0.71079999999999999</v>
      </c>
      <c r="K54" t="str">
        <f>"ELSE IF ref_year="&amp;'dat_file 1980'!B54&amp;" THEN cpi_u_rs_18="&amp;ROUND('dat_file 1980'!$D$73/'dat_file 1980'!D54,3)&amp;";"</f>
        <v>ELSE IF ref_year=1999 THEN cpi_u_rs_18=1.511;</v>
      </c>
      <c r="O54" t="str">
        <f>"ELSE IF ref_year="&amp;'dat_file 1980'!B54&amp;" THEN cpi_u_rs_adj_18="&amp;ROUND('dat_file 1980'!$H$73/'dat_file 1980'!H54,3)&amp;";"</f>
        <v>ELSE IF ref_year=1999 THEN cpi_u_rs_adj_18=1.302;</v>
      </c>
    </row>
    <row r="55" spans="2:15">
      <c r="B55">
        <f>+Sheet3!A55</f>
        <v>2000</v>
      </c>
      <c r="C55">
        <f>ROUND('dat_file 1980'!C55/'dat_file 1980'!C$75,4)</f>
        <v>0.7026</v>
      </c>
      <c r="D55">
        <f>ROUND('dat_file 1980'!D55/'dat_file 1980'!D$75,4)</f>
        <v>0.66310000000000002</v>
      </c>
      <c r="E55">
        <f>ROUND('dat_file 1980'!E55/'dat_file 1980'!E$75,4)</f>
        <v>0.66539999999999999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1980'!H$75,4)</f>
        <v>0.77610000000000001</v>
      </c>
      <c r="I55">
        <f>ROUND('dat_file 1980'!J55/'dat_file 1980'!J$75,4)</f>
        <v>0.73140000000000005</v>
      </c>
      <c r="K55" t="str">
        <f>"ELSE IF ref_year="&amp;'dat_file 1980'!B55&amp;" THEN cpi_u_rs_18="&amp;ROUND('dat_file 1980'!$D$73/'dat_file 1980'!D55,3)&amp;";"</f>
        <v>ELSE IF ref_year=2000 THEN cpi_u_rs_18=1.462;</v>
      </c>
      <c r="O55" t="str">
        <f>"ELSE IF ref_year="&amp;'dat_file 1980'!B55&amp;" THEN cpi_u_rs_adj_18="&amp;ROUND('dat_file 1980'!$H$73/'dat_file 1980'!H55,3)&amp;";"</f>
        <v>ELSE IF ref_year=2000 THEN cpi_u_rs_adj_18=1.269;</v>
      </c>
    </row>
    <row r="56" spans="2:15">
      <c r="B56">
        <f>+Sheet3!A56</f>
        <v>2001</v>
      </c>
      <c r="C56">
        <f>ROUND('dat_file 1980'!C56/'dat_file 1980'!C$75,4)</f>
        <v>0.7167</v>
      </c>
      <c r="D56">
        <f>ROUND('dat_file 1980'!D56/'dat_file 1980'!D$75,4)</f>
        <v>0.68200000000000005</v>
      </c>
      <c r="E56">
        <f>ROUND('dat_file 1980'!E56/'dat_file 1980'!E$75,4)</f>
        <v>0.68430000000000002</v>
      </c>
      <c r="F56">
        <f>'dat_file 1980'!F56</f>
        <v>0.216</v>
      </c>
      <c r="G56">
        <f>'dat_file 1980'!G56</f>
        <v>0.18859999999999999</v>
      </c>
      <c r="H56">
        <f>ROUND('dat_file 1980'!H56/'dat_file 1980'!H$75,4)</f>
        <v>0.79200000000000004</v>
      </c>
      <c r="I56">
        <f>ROUND('dat_file 1980'!J56/'dat_file 1980'!J$75,4)</f>
        <v>0.74890000000000001</v>
      </c>
      <c r="K56" t="str">
        <f>"ELSE IF ref_year="&amp;'dat_file 1980'!B56&amp;" THEN cpi_u_rs_18="&amp;ROUND('dat_file 1980'!$D$73/'dat_file 1980'!D56,3)&amp;";"</f>
        <v>ELSE IF ref_year=2001 THEN cpi_u_rs_18=1.421;</v>
      </c>
      <c r="O56" t="str">
        <f>"ELSE IF ref_year="&amp;'dat_file 1980'!B56&amp;" THEN cpi_u_rs_adj_18="&amp;ROUND('dat_file 1980'!$H$73/'dat_file 1980'!H56,3)&amp;";"</f>
        <v>ELSE IF ref_year=2001 THEN cpi_u_rs_adj_18=1.243;</v>
      </c>
    </row>
    <row r="57" spans="2:15">
      <c r="B57">
        <f>+Sheet3!A57</f>
        <v>2002</v>
      </c>
      <c r="C57">
        <f>ROUND('dat_file 1980'!C57/'dat_file 1980'!C$75,4)</f>
        <v>0.72609999999999997</v>
      </c>
      <c r="D57">
        <f>ROUND('dat_file 1980'!D57/'dat_file 1980'!D$75,4)</f>
        <v>0.69269999999999998</v>
      </c>
      <c r="E57">
        <f>ROUND('dat_file 1980'!E57/'dat_file 1980'!E$75,4)</f>
        <v>0.69510000000000005</v>
      </c>
      <c r="F57">
        <f>'dat_file 1980'!F57</f>
        <v>0.2127</v>
      </c>
      <c r="G57">
        <f>'dat_file 1980'!G57</f>
        <v>0.1857</v>
      </c>
      <c r="H57">
        <f>ROUND('dat_file 1980'!H57/'dat_file 1980'!H$75,4)</f>
        <v>0.79820000000000002</v>
      </c>
      <c r="I57">
        <f>ROUND('dat_file 1980'!J57/'dat_file 1980'!J$75,4)</f>
        <v>0.75700000000000001</v>
      </c>
      <c r="K57" t="str">
        <f>"ELSE IF ref_year="&amp;'dat_file 1980'!B57&amp;" THEN cpi_u_rs_18="&amp;ROUND('dat_file 1980'!$D$73/'dat_file 1980'!D57,3)&amp;";"</f>
        <v>ELSE IF ref_year=2002 THEN cpi_u_rs_18=1.399;</v>
      </c>
      <c r="O57" t="str">
        <f>"ELSE IF ref_year="&amp;'dat_file 1980'!B57&amp;" THEN cpi_u_rs_adj_18="&amp;ROUND('dat_file 1980'!$H$73/'dat_file 1980'!H57,3)&amp;";"</f>
        <v>ELSE IF ref_year=2002 THEN cpi_u_rs_adj_18=1.234;</v>
      </c>
    </row>
    <row r="58" spans="2:15">
      <c r="B58">
        <f>+Sheet3!A58</f>
        <v>2003</v>
      </c>
      <c r="C58">
        <f>ROUND('dat_file 1980'!C58/'dat_file 1980'!C$75,4)</f>
        <v>0.74129999999999996</v>
      </c>
      <c r="D58">
        <f>ROUND('dat_file 1980'!D58/'dat_file 1980'!D$75,4)</f>
        <v>0.70850000000000002</v>
      </c>
      <c r="E58">
        <f>ROUND('dat_file 1980'!E58/'dat_file 1980'!E$75,4)</f>
        <v>0.71089999999999998</v>
      </c>
      <c r="F58">
        <f>'dat_file 1980'!F58</f>
        <v>0.2079</v>
      </c>
      <c r="G58">
        <f>'dat_file 1980'!G58</f>
        <v>0.18149999999999999</v>
      </c>
      <c r="H58">
        <f>ROUND('dat_file 1980'!H58/'dat_file 1980'!H$75,4)</f>
        <v>0.80989999999999995</v>
      </c>
      <c r="I58">
        <f>ROUND('dat_file 1980'!J58/'dat_file 1980'!J$75,4)</f>
        <v>0.77039999999999997</v>
      </c>
      <c r="K58" t="str">
        <f>"ELSE IF ref_year="&amp;'dat_file 1980'!B58&amp;" THEN cpi_u_rs_18="&amp;ROUND('dat_file 1980'!$D$73/'dat_file 1980'!D58,3)&amp;";"</f>
        <v>ELSE IF ref_year=2003 THEN cpi_u_rs_18=1.368;</v>
      </c>
      <c r="O58" t="str">
        <f>"ELSE IF ref_year="&amp;'dat_file 1980'!B58&amp;" THEN cpi_u_rs_adj_18="&amp;ROUND('dat_file 1980'!$H$73/'dat_file 1980'!H58,3)&amp;";"</f>
        <v>ELSE IF ref_year=2003 THEN cpi_u_rs_adj_18=1.216;</v>
      </c>
    </row>
    <row r="59" spans="2:15">
      <c r="B59">
        <f>+Sheet3!A59</f>
        <v>2004</v>
      </c>
      <c r="C59">
        <f>ROUND('dat_file 1980'!C59/'dat_file 1980'!C$75,4)</f>
        <v>0.75980000000000003</v>
      </c>
      <c r="D59">
        <f>ROUND('dat_file 1980'!D59/'dat_file 1980'!D$75,4)</f>
        <v>0.72740000000000005</v>
      </c>
      <c r="E59">
        <f>ROUND('dat_file 1980'!E59/'dat_file 1980'!E$75,4)</f>
        <v>0.72989999999999999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1980'!H$75,4)</f>
        <v>0.82509999999999994</v>
      </c>
      <c r="I59">
        <f>ROUND('dat_file 1980'!J59/'dat_file 1980'!J$75,4)</f>
        <v>0.78700000000000003</v>
      </c>
      <c r="K59" t="str">
        <f>"ELSE IF ref_year="&amp;'dat_file 1980'!B59&amp;" THEN cpi_u_rs_18="&amp;ROUND('dat_file 1980'!$D$73/'dat_file 1980'!D59,3)&amp;";"</f>
        <v>ELSE IF ref_year=2004 THEN cpi_u_rs_18=1.332;</v>
      </c>
      <c r="O59" t="str">
        <f>"ELSE IF ref_year="&amp;'dat_file 1980'!B59&amp;" THEN cpi_u_rs_adj_18="&amp;ROUND('dat_file 1980'!$H$73/'dat_file 1980'!H59,3)&amp;";"</f>
        <v>ELSE IF ref_year=2004 THEN cpi_u_rs_adj_18=1.193;</v>
      </c>
    </row>
    <row r="60" spans="2:15">
      <c r="B60">
        <f>+Sheet3!A60</f>
        <v>2005</v>
      </c>
      <c r="C60">
        <f>ROUND('dat_file 1980'!C60/'dat_file 1980'!C$75,4)</f>
        <v>0.78169999999999995</v>
      </c>
      <c r="D60">
        <f>ROUND('dat_file 1980'!D60/'dat_file 1980'!D$75,4)</f>
        <v>0.75209999999999999</v>
      </c>
      <c r="E60">
        <f>ROUND('dat_file 1980'!E60/'dat_file 1980'!E$75,4)</f>
        <v>0.75460000000000005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1980'!H$75,4)</f>
        <v>0.84650000000000003</v>
      </c>
      <c r="I60">
        <f>ROUND('dat_file 1980'!J60/'dat_file 1980'!J$75,4)</f>
        <v>0.80969999999999998</v>
      </c>
      <c r="K60" t="str">
        <f>"ELSE IF ref_year="&amp;'dat_file 1980'!B60&amp;" THEN cpi_u_rs_18="&amp;ROUND('dat_file 1980'!$D$73/'dat_file 1980'!D60,3)&amp;";"</f>
        <v>ELSE IF ref_year=2005 THEN cpi_u_rs_18=1.289;</v>
      </c>
      <c r="O60" t="str">
        <f>"ELSE IF ref_year="&amp;'dat_file 1980'!B60&amp;" THEN cpi_u_rs_adj_18="&amp;ROUND('dat_file 1980'!$H$73/'dat_file 1980'!H60,3)&amp;";"</f>
        <v>ELSE IF ref_year=2005 THEN cpi_u_rs_adj_18=1.163;</v>
      </c>
    </row>
    <row r="61" spans="2:15">
      <c r="B61">
        <f>+Sheet3!A61</f>
        <v>2006</v>
      </c>
      <c r="C61">
        <f>ROUND('dat_file 1980'!C61/'dat_file 1980'!C$75,4)</f>
        <v>0.80369999999999997</v>
      </c>
      <c r="D61">
        <f>ROUND('dat_file 1980'!D61/'dat_file 1980'!D$75,4)</f>
        <v>0.77649999999999997</v>
      </c>
      <c r="E61">
        <f>ROUND('dat_file 1980'!E61/'dat_file 1980'!E$75,4)</f>
        <v>0.77890000000000004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1980'!H$75,4)</f>
        <v>0.86719999999999997</v>
      </c>
      <c r="I61">
        <f>ROUND('dat_file 1980'!J61/'dat_file 1980'!J$75,4)</f>
        <v>0.83199999999999996</v>
      </c>
      <c r="K61" t="str">
        <f>"ELSE IF ref_year="&amp;'dat_file 1980'!B61&amp;" THEN cpi_u_rs_18="&amp;ROUND('dat_file 1980'!$D$73/'dat_file 1980'!D61,3)&amp;";"</f>
        <v>ELSE IF ref_year=2006 THEN cpi_u_rs_18=1.248;</v>
      </c>
      <c r="O61" t="str">
        <f>"ELSE IF ref_year="&amp;'dat_file 1980'!B61&amp;" THEN cpi_u_rs_adj_18="&amp;ROUND('dat_file 1980'!$H$73/'dat_file 1980'!H61,3)&amp;";"</f>
        <v>ELSE IF ref_year=2006 THEN cpi_u_rs_adj_18=1.136;</v>
      </c>
    </row>
    <row r="62" spans="2:15">
      <c r="B62">
        <f>+Sheet3!A62</f>
        <v>2007</v>
      </c>
      <c r="C62">
        <f>ROUND('dat_file 1980'!C62/'dat_file 1980'!C$75,4)</f>
        <v>0.82430000000000003</v>
      </c>
      <c r="D62">
        <f>ROUND('dat_file 1980'!D62/'dat_file 1980'!D$75,4)</f>
        <v>0.79859999999999998</v>
      </c>
      <c r="E62">
        <f>ROUND('dat_file 1980'!E62/'dat_file 1980'!E$75,4)</f>
        <v>0.80110000000000003</v>
      </c>
      <c r="F62">
        <f>'dat_file 1980'!F62</f>
        <v>0.1845</v>
      </c>
      <c r="G62">
        <f>'dat_file 1980'!G62</f>
        <v>0.16109999999999999</v>
      </c>
      <c r="H62">
        <f>ROUND('dat_file 1980'!H62/'dat_file 1980'!H$75,4)</f>
        <v>0.88490000000000002</v>
      </c>
      <c r="I62">
        <f>ROUND('dat_file 1980'!J62/'dat_file 1980'!J$75,4)</f>
        <v>0.85150000000000003</v>
      </c>
      <c r="K62" t="str">
        <f>"ELSE IF ref_year="&amp;'dat_file 1980'!B62&amp;" THEN cpi_u_rs_18="&amp;ROUND('dat_file 1980'!$D$73/'dat_file 1980'!D62,3)&amp;";"</f>
        <v>ELSE IF ref_year=2007 THEN cpi_u_rs_18=1.214;</v>
      </c>
      <c r="O62" t="str">
        <f>"ELSE IF ref_year="&amp;'dat_file 1980'!B62&amp;" THEN cpi_u_rs_adj_18="&amp;ROUND('dat_file 1980'!$H$73/'dat_file 1980'!H62,3)&amp;";"</f>
        <v>ELSE IF ref_year=2007 THEN cpi_u_rs_adj_18=1.113;</v>
      </c>
    </row>
    <row r="63" spans="2:15">
      <c r="B63">
        <f>+Sheet3!A63</f>
        <v>2008</v>
      </c>
      <c r="C63">
        <f>ROUND('dat_file 1980'!C63/'dat_file 1980'!C$75,4)</f>
        <v>0.84870000000000001</v>
      </c>
      <c r="D63">
        <f>ROUND('dat_file 1980'!D63/'dat_file 1980'!D$75,4)</f>
        <v>0.82930000000000004</v>
      </c>
      <c r="E63">
        <f>ROUND('dat_file 1980'!E63/'dat_file 1980'!E$75,4)</f>
        <v>0.83189999999999997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1980'!H$75,4)</f>
        <v>0.91190000000000004</v>
      </c>
      <c r="I63">
        <f>ROUND('dat_file 1980'!J63/'dat_file 1980'!J$75,4)</f>
        <v>0.87990000000000002</v>
      </c>
      <c r="K63" t="str">
        <f>"ELSE IF ref_year="&amp;'dat_file 1980'!B63&amp;" THEN cpi_u_rs_18="&amp;ROUND('dat_file 1980'!$D$73/'dat_file 1980'!D63,3)&amp;";"</f>
        <v>ELSE IF ref_year=2008 THEN cpi_u_rs_18=1.169;</v>
      </c>
      <c r="O63" t="str">
        <f>"ELSE IF ref_year="&amp;'dat_file 1980'!B63&amp;" THEN cpi_u_rs_adj_18="&amp;ROUND('dat_file 1980'!$H$73/'dat_file 1980'!H63,3)&amp;";"</f>
        <v>ELSE IF ref_year=2008 THEN cpi_u_rs_adj_18=1.08;</v>
      </c>
    </row>
    <row r="64" spans="2:15">
      <c r="B64">
        <f>+Sheet3!A64</f>
        <v>2009</v>
      </c>
      <c r="C64">
        <f>ROUND('dat_file 1980'!C64/'dat_file 1980'!C$75,4)</f>
        <v>0.84630000000000005</v>
      </c>
      <c r="D64">
        <f>ROUND('dat_file 1980'!D64/'dat_file 1980'!D$75,4)</f>
        <v>0.82640000000000002</v>
      </c>
      <c r="E64">
        <f>ROUND('dat_file 1980'!E64/'dat_file 1980'!E$75,4)</f>
        <v>0.82889999999999997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1980'!H$75,4)</f>
        <v>0.90139999999999998</v>
      </c>
      <c r="I64">
        <f>ROUND('dat_file 1980'!J64/'dat_file 1980'!J$75,4)</f>
        <v>0.87260000000000004</v>
      </c>
      <c r="K64" t="str">
        <f>"ELSE IF ref_year="&amp;'dat_file 1980'!B64&amp;" THEN cpi_u_rs_18="&amp;ROUND('dat_file 1980'!$D$73/'dat_file 1980'!D64,3)&amp;";"</f>
        <v>ELSE IF ref_year=2009 THEN cpi_u_rs_18=1.173;</v>
      </c>
      <c r="O64" t="str">
        <f>"ELSE IF ref_year="&amp;'dat_file 1980'!B64&amp;" THEN cpi_u_rs_adj_18="&amp;ROUND('dat_file 1980'!$H$73/'dat_file 1980'!H64,3)&amp;";"</f>
        <v>ELSE IF ref_year=2009 THEN cpi_u_rs_adj_18=1.092;</v>
      </c>
    </row>
    <row r="65" spans="2:15">
      <c r="B65">
        <f>+Sheet3!A65</f>
        <v>2010</v>
      </c>
      <c r="C65">
        <f>ROUND('dat_file 1980'!C65/'dat_file 1980'!C$75,4)</f>
        <v>0.86150000000000004</v>
      </c>
      <c r="D65">
        <f>ROUND('dat_file 1980'!D65/'dat_file 1980'!D$75,4)</f>
        <v>0.83979999999999999</v>
      </c>
      <c r="E65">
        <f>ROUND('dat_file 1980'!E65/'dat_file 1980'!E$75,4)</f>
        <v>0.84250000000000003</v>
      </c>
      <c r="F65">
        <f>'dat_file 1980'!F65</f>
        <v>0.1754</v>
      </c>
      <c r="G65">
        <f>'dat_file 1980'!G65</f>
        <v>0.1532</v>
      </c>
      <c r="H65">
        <f>ROUND('dat_file 1980'!H65/'dat_file 1980'!H$75,4)</f>
        <v>0.90880000000000005</v>
      </c>
      <c r="I65">
        <f>ROUND('dat_file 1980'!J65/'dat_file 1980'!J$75,4)</f>
        <v>0.88239999999999996</v>
      </c>
      <c r="K65" t="str">
        <f>"ELSE IF ref_year="&amp;'dat_file 1980'!B65&amp;" THEN cpi_u_rs_18="&amp;ROUND('dat_file 1980'!$D$73/'dat_file 1980'!D65,3)&amp;";"</f>
        <v>ELSE IF ref_year=2010 THEN cpi_u_rs_18=1.154;</v>
      </c>
      <c r="O65" t="str">
        <f>"ELSE IF ref_year="&amp;'dat_file 1980'!B65&amp;" THEN cpi_u_rs_adj_18="&amp;ROUND('dat_file 1980'!$H$73/'dat_file 1980'!H65,3)&amp;";"</f>
        <v>ELSE IF ref_year=2010 THEN cpi_u_rs_adj_18=1.084;</v>
      </c>
    </row>
    <row r="66" spans="2:15">
      <c r="B66">
        <f>+Sheet3!A66</f>
        <v>2011</v>
      </c>
      <c r="C66">
        <f>ROUND('dat_file 1980'!C66/'dat_file 1980'!C$75,4)</f>
        <v>0.88319999999999999</v>
      </c>
      <c r="D66">
        <f>ROUND('dat_file 1980'!D66/'dat_file 1980'!D$75,4)</f>
        <v>0.86660000000000004</v>
      </c>
      <c r="E66">
        <f>ROUND('dat_file 1980'!E66/'dat_file 1980'!E$75,4)</f>
        <v>0.86909999999999998</v>
      </c>
      <c r="F66">
        <f>'dat_file 1980'!F66</f>
        <v>0.17</v>
      </c>
      <c r="G66">
        <f>'dat_file 1980'!G66</f>
        <v>0.14849999999999999</v>
      </c>
      <c r="H66">
        <f>ROUND('dat_file 1980'!H66/'dat_file 1980'!H$75,4)</f>
        <v>0.93049999999999999</v>
      </c>
      <c r="I66">
        <f>ROUND('dat_file 1980'!J66/'dat_file 1980'!J$75,4)</f>
        <v>0.90590000000000004</v>
      </c>
      <c r="K66" t="str">
        <f>"ELSE IF ref_year="&amp;'dat_file 1980'!B66&amp;" THEN cpi_u_rs_18="&amp;ROUND('dat_file 1980'!$D$73/'dat_file 1980'!D66,3)&amp;";"</f>
        <v>ELSE IF ref_year=2011 THEN cpi_u_rs_18=1.118;</v>
      </c>
      <c r="O66" t="str">
        <f>"ELSE IF ref_year="&amp;'dat_file 1980'!B66&amp;" THEN cpi_u_rs_adj_18="&amp;ROUND('dat_file 1980'!$H$73/'dat_file 1980'!H66,3)&amp;";"</f>
        <v>ELSE IF ref_year=2011 THEN cpi_u_rs_adj_18=1.058;</v>
      </c>
    </row>
    <row r="67" spans="2:15">
      <c r="B67">
        <f>+Sheet3!A67</f>
        <v>2012</v>
      </c>
      <c r="C67">
        <f>ROUND('dat_file 1980'!C67/'dat_file 1980'!C$75,4)</f>
        <v>0.89970000000000006</v>
      </c>
      <c r="D67">
        <f>ROUND('dat_file 1980'!D67/'dat_file 1980'!D$75,4)</f>
        <v>0.88470000000000004</v>
      </c>
      <c r="E67">
        <f>ROUND('dat_file 1980'!E67/'dat_file 1980'!E$75,4)</f>
        <v>0.8871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1980'!H$75,4)</f>
        <v>0.9425</v>
      </c>
      <c r="I67">
        <f>ROUND('dat_file 1980'!J67/'dat_file 1980'!J$75,4)</f>
        <v>0.92049999999999998</v>
      </c>
      <c r="K67" t="str">
        <f>"ELSE IF ref_year="&amp;'dat_file 1980'!B67&amp;" THEN cpi_u_rs_18="&amp;ROUND('dat_file 1980'!$D$73/'dat_file 1980'!D67,3)&amp;";"</f>
        <v>ELSE IF ref_year=2012 THEN cpi_u_rs_18=1.096;</v>
      </c>
      <c r="O67" t="str">
        <f>"ELSE IF ref_year="&amp;'dat_file 1980'!B67&amp;" THEN cpi_u_rs_adj_18="&amp;ROUND('dat_file 1980'!$H$73/'dat_file 1980'!H67,3)&amp;";"</f>
        <v>ELSE IF ref_year=2012 THEN cpi_u_rs_adj_18=1.045;</v>
      </c>
    </row>
    <row r="68" spans="2:15">
      <c r="B68">
        <f>+Sheet3!A68</f>
        <v>2013</v>
      </c>
      <c r="C68">
        <f>ROUND('dat_file 1980'!C68/'dat_file 1980'!C$75,4)</f>
        <v>0.91190000000000004</v>
      </c>
      <c r="D68">
        <f>ROUND('dat_file 1980'!D68/'dat_file 1980'!D$75,4)</f>
        <v>0.89810000000000001</v>
      </c>
      <c r="E68">
        <f>ROUND('dat_file 1980'!E68/'dat_file 1980'!E$75,4)</f>
        <v>0.90010000000000001</v>
      </c>
      <c r="F68">
        <f>'dat_file 1980'!F68</f>
        <v>0.16400000000000001</v>
      </c>
      <c r="G68">
        <f>'dat_file 1980'!G68</f>
        <v>0.1434</v>
      </c>
      <c r="H68">
        <f>ROUND('dat_file 1980'!H68/'dat_file 1980'!H$75,4)</f>
        <v>0.94920000000000004</v>
      </c>
      <c r="I68">
        <f>ROUND('dat_file 1980'!J68/'dat_file 1980'!J$75,4)</f>
        <v>0.92979999999999996</v>
      </c>
      <c r="K68" t="str">
        <f>"ELSE IF ref_year="&amp;'dat_file 1980'!B68&amp;" THEN cpi_u_rs_18="&amp;ROUND('dat_file 1980'!$D$73/'dat_file 1980'!D68,3)&amp;";"</f>
        <v>ELSE IF ref_year=2013 THEN cpi_u_rs_18=1.079;</v>
      </c>
      <c r="O68" t="str">
        <f>"ELSE IF ref_year="&amp;'dat_file 1980'!B68&amp;" THEN cpi_u_rs_adj_18="&amp;ROUND('dat_file 1980'!$H$73/'dat_file 1980'!H68,3)&amp;";"</f>
        <v>ELSE IF ref_year=2013 THEN cpi_u_rs_adj_18=1.037;</v>
      </c>
    </row>
    <row r="69" spans="2:15">
      <c r="B69">
        <f>+Sheet3!A69</f>
        <v>2014</v>
      </c>
      <c r="C69">
        <f>ROUND('dat_file 1980'!C69/'dat_file 1980'!C$75,4)</f>
        <v>0.92569999999999997</v>
      </c>
      <c r="D69">
        <f>ROUND('dat_file 1980'!D69/'dat_file 1980'!D$75,4)</f>
        <v>0.91310000000000002</v>
      </c>
      <c r="E69">
        <f>ROUND('dat_file 1980'!E69/'dat_file 1980'!E$75,4)</f>
        <v>0.91469999999999996</v>
      </c>
      <c r="F69">
        <f>'dat_file 1980'!F69</f>
        <v>0.1613</v>
      </c>
      <c r="G69">
        <f>'dat_file 1980'!G69</f>
        <v>0.1411</v>
      </c>
      <c r="H69">
        <f>ROUND('dat_file 1980'!H69/'dat_file 1980'!H$75,4)</f>
        <v>0.95740000000000003</v>
      </c>
      <c r="I69">
        <f>ROUND('dat_file 1980'!J69/'dat_file 1980'!J$75,4)</f>
        <v>0.94040000000000001</v>
      </c>
      <c r="K69" t="str">
        <f>"ELSE IF ref_year="&amp;'dat_file 1980'!B69&amp;" THEN cpi_u_rs_18="&amp;ROUND('dat_file 1980'!$D$73/'dat_file 1980'!D69,3)&amp;";"</f>
        <v>ELSE IF ref_year=2014 THEN cpi_u_rs_18=1.062;</v>
      </c>
      <c r="O69" t="str">
        <f>"ELSE IF ref_year="&amp;'dat_file 1980'!B69&amp;" THEN cpi_u_rs_adj_18="&amp;ROUND('dat_file 1980'!$H$73/'dat_file 1980'!H69,3)&amp;";"</f>
        <v>ELSE IF ref_year=2014 THEN cpi_u_rs_adj_18=1.028;</v>
      </c>
    </row>
    <row r="70" spans="2:15">
      <c r="B70">
        <f>+Sheet3!A70</f>
        <v>2015</v>
      </c>
      <c r="C70">
        <f>ROUND('dat_file 1980'!C70/'dat_file 1980'!C$75,4)</f>
        <v>0.92769999999999997</v>
      </c>
      <c r="D70">
        <f>ROUND('dat_file 1980'!D70/'dat_file 1980'!D$75,4)</f>
        <v>0.91469999999999996</v>
      </c>
      <c r="E70">
        <f>ROUND('dat_file 1980'!E70/'dat_file 1980'!E$75,4)</f>
        <v>0.91579999999999995</v>
      </c>
      <c r="F70">
        <f>'dat_file 1980'!F70</f>
        <v>0.16109999999999999</v>
      </c>
      <c r="G70">
        <f>'dat_file 1980'!G70</f>
        <v>0.1409</v>
      </c>
      <c r="H70">
        <f>ROUND('dat_file 1980'!H70/'dat_file 1980'!H$75,4)</f>
        <v>0.95150000000000001</v>
      </c>
      <c r="I70">
        <f>ROUND('dat_file 1980'!J70/'dat_file 1980'!J$75,4)</f>
        <v>0.9375</v>
      </c>
      <c r="K70" t="str">
        <f>"ELSE IF ref_year="&amp;'dat_file 1980'!B70&amp;" THEN cpi_u_rs_18="&amp;ROUND('dat_file 1980'!$D$73/'dat_file 1980'!D70,3)&amp;";"</f>
        <v>ELSE IF ref_year=2015 THEN cpi_u_rs_18=1.06;</v>
      </c>
      <c r="O70" t="str">
        <f>"ELSE IF ref_year="&amp;'dat_file 1980'!B70&amp;" THEN cpi_u_rs_adj_18="&amp;ROUND('dat_file 1980'!$H$73/'dat_file 1980'!H70,3)&amp;";"</f>
        <v>ELSE IF ref_year=2015 THEN cpi_u_rs_adj_18=1.035;</v>
      </c>
    </row>
    <row r="71" spans="2:15">
      <c r="B71">
        <f>+Sheet3!A71</f>
        <v>2016</v>
      </c>
      <c r="C71">
        <f>ROUND('dat_file 1980'!C71/'dat_file 1980'!C$75,4)</f>
        <v>0.93700000000000006</v>
      </c>
      <c r="D71">
        <f>ROUND('dat_file 1980'!D71/'dat_file 1980'!D$75,4)</f>
        <v>0.92649999999999999</v>
      </c>
      <c r="E71">
        <f>ROUND('dat_file 1980'!E71/'dat_file 1980'!E$75,4)</f>
        <v>0.92730000000000001</v>
      </c>
      <c r="F71">
        <f>'dat_file 1980'!F71</f>
        <v>0.159</v>
      </c>
      <c r="G71">
        <f>'dat_file 1980'!G71</f>
        <v>0.13919999999999999</v>
      </c>
      <c r="H71">
        <f>ROUND('dat_file 1980'!H71/'dat_file 1980'!H$75,4)</f>
        <v>0.95609999999999995</v>
      </c>
      <c r="I71">
        <f>ROUND('dat_file 1980'!J71/'dat_file 1980'!J$75,4)</f>
        <v>0.94479999999999997</v>
      </c>
      <c r="K71" t="str">
        <f>"ELSE IF ref_year="&amp;'dat_file 1980'!B71&amp;" THEN cpi_u_rs_18="&amp;ROUND('dat_file 1980'!$D$73/'dat_file 1980'!D71,3)&amp;";"</f>
        <v>ELSE IF ref_year=2016 THEN cpi_u_rs_18=1.046;</v>
      </c>
      <c r="O71" t="str">
        <f>"ELSE IF ref_year="&amp;'dat_file 1980'!B71&amp;" THEN cpi_u_rs_adj_18="&amp;ROUND('dat_file 1980'!$H$73/'dat_file 1980'!H71,3)&amp;";"</f>
        <v>ELSE IF ref_year=2016 THEN cpi_u_rs_adj_18=1.03;</v>
      </c>
    </row>
    <row r="72" spans="2:15">
      <c r="B72">
        <f>+Sheet3!A72</f>
        <v>2017</v>
      </c>
      <c r="C72">
        <f>ROUND('dat_file 1980'!C72/'dat_file 1980'!C$75,4)</f>
        <v>0.95420000000000005</v>
      </c>
      <c r="D72">
        <f>ROUND('dat_file 1980'!D72/'dat_file 1980'!D$75,4)</f>
        <v>0.94620000000000004</v>
      </c>
      <c r="E72">
        <f>ROUND('dat_file 1980'!E72/'dat_file 1980'!E$75,4)</f>
        <v>0.94710000000000005</v>
      </c>
      <c r="F72">
        <f>'dat_file 1980'!F72</f>
        <v>0.15570000000000001</v>
      </c>
      <c r="G72">
        <f>'dat_file 1980'!G72</f>
        <v>0.1363</v>
      </c>
      <c r="H72">
        <f>ROUND('dat_file 1980'!H72/'dat_file 1980'!H$75,4)</f>
        <v>0.96879999999999999</v>
      </c>
      <c r="I72">
        <f>ROUND('dat_file 1980'!J72/'dat_file 1980'!J$75,4)</f>
        <v>0.96020000000000005</v>
      </c>
      <c r="K72" t="str">
        <f>"ELSE IF ref_year="&amp;'dat_file 1980'!B72&amp;" THEN cpi_u_rs_18="&amp;ROUND('dat_file 1980'!$D$73/'dat_file 1980'!D72,3)&amp;";"</f>
        <v>ELSE IF ref_year=2017 THEN cpi_u_rs_18=1.024;</v>
      </c>
      <c r="O72" t="str">
        <f>"ELSE IF ref_year="&amp;'dat_file 1980'!B72&amp;" THEN cpi_u_rs_adj_18="&amp;ROUND('dat_file 1980'!$H$73/'dat_file 1980'!H72,3)&amp;";"</f>
        <v>ELSE IF ref_year=2017 THEN cpi_u_rs_adj_18=1.016;</v>
      </c>
    </row>
    <row r="73" spans="2:15">
      <c r="B73">
        <f>+Sheet3!A73</f>
        <v>2018</v>
      </c>
      <c r="C73">
        <f>ROUND('dat_file 1980'!C73/'dat_file 1980'!C$75,4)</f>
        <v>0.97450000000000003</v>
      </c>
      <c r="D73">
        <f>ROUND('dat_file 1980'!D73/'dat_file 1980'!D$75,4)</f>
        <v>0.96930000000000005</v>
      </c>
      <c r="E73">
        <f>ROUND('dat_file 1980'!E73/'dat_file 1980'!E$75,4)</f>
        <v>0.97019999999999995</v>
      </c>
      <c r="F73">
        <f>'dat_file 1980'!F73</f>
        <v>0.152</v>
      </c>
      <c r="G73">
        <f>'dat_file 1980'!G73</f>
        <v>0.13300000000000001</v>
      </c>
      <c r="H73">
        <f>ROUND('dat_file 1980'!H73/'dat_file 1980'!H$75,4)</f>
        <v>0.98470000000000002</v>
      </c>
      <c r="I73">
        <f>ROUND('dat_file 1980'!J73/'dat_file 1980'!J$75,4)</f>
        <v>0.97889999999999999</v>
      </c>
      <c r="K73" t="str">
        <f>"ELSE IF ref_year="&amp;'dat_file 1980'!B73&amp;" THEN cpi_u_rs_18="&amp;ROUND('dat_file 1980'!$D$73/'dat_file 1980'!D73,3)&amp;";"</f>
        <v>ELSE IF ref_year=2018 THEN cpi_u_rs_18=1;</v>
      </c>
      <c r="O73" t="str">
        <f>"ELSE IF ref_year="&amp;'dat_file 1980'!B73&amp;" THEN cpi_u_rs_adj_18="&amp;ROUND('dat_file 1980'!$H$73/'dat_file 1980'!H73,3)&amp;";"</f>
        <v>ELSE IF ref_year=2018 THEN cpi_u_rs_adj_18=1;</v>
      </c>
    </row>
    <row r="74" spans="2:15">
      <c r="B74">
        <f>+Sheet3!A74</f>
        <v>2019</v>
      </c>
      <c r="C74">
        <f>ROUND('dat_file 1980'!C74/'dat_file 1980'!C$75,4)</f>
        <v>0.98909999999999998</v>
      </c>
      <c r="D74">
        <f>ROUND('dat_file 1980'!D74/'dat_file 1980'!D$75,4)</f>
        <v>0.98680000000000001</v>
      </c>
      <c r="E74">
        <f>ROUND('dat_file 1980'!E74/'dat_file 1980'!E$75,4)</f>
        <v>0.98780000000000001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1980'!H$75,4)</f>
        <v>0.99470000000000003</v>
      </c>
      <c r="I74">
        <f>ROUND('dat_file 1980'!J74/'dat_file 1980'!J$75,4)</f>
        <v>0.9919</v>
      </c>
    </row>
    <row r="75" spans="2:15">
      <c r="B75">
        <f>+Sheet3!A75</f>
        <v>2020</v>
      </c>
      <c r="C75">
        <f>ROUND('dat_file 1980'!C75/'dat_file 1980'!C$75,4)</f>
        <v>1</v>
      </c>
      <c r="D75">
        <f>ROUND('dat_file 1980'!D75/'dat_file 1980'!D$75,4)</f>
        <v>1</v>
      </c>
      <c r="E75">
        <f>ROUND('dat_file 1980'!E75/'dat_file 1980'!E$75,4)</f>
        <v>1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1980'!H$75,4)</f>
        <v>1</v>
      </c>
      <c r="I75">
        <f>ROUND('dat_file 1980'!J75/'dat_file 1980'!J$75,4)</f>
        <v>1</v>
      </c>
    </row>
    <row r="76" spans="2:15">
      <c r="B76">
        <f>+Sheet3!A76</f>
        <v>2021</v>
      </c>
      <c r="C76">
        <f>ROUND('dat_file 1980'!C76/'dat_file 1980'!C$75,4)</f>
        <v>1.0403</v>
      </c>
      <c r="D76">
        <f>ROUND('dat_file 1980'!D76/'dat_file 1980'!D$75,4)</f>
        <v>1.0483</v>
      </c>
      <c r="E76">
        <f>ROUND('dat_file 1980'!E76/'dat_file 1980'!E$75,4)</f>
        <v>1.0469999999999999</v>
      </c>
      <c r="F76">
        <f>'dat_file 1980'!F76</f>
        <v>0.14050000000000001</v>
      </c>
      <c r="G76">
        <f>'dat_file 1980'!G76</f>
        <v>0.12330000000000001</v>
      </c>
      <c r="H76">
        <f>ROUND('dat_file 1980'!H76/'dat_file 1980'!H$75,4)</f>
        <v>1.0403</v>
      </c>
      <c r="I76">
        <f>ROUND('dat_file 1980'!J76/'dat_file 1980'!J$75,4)</f>
        <v>1.0434000000000001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4594-51C4-4889-AC3E-AA994A11637C}">
  <dimension ref="B1:O76"/>
  <sheetViews>
    <sheetView topLeftCell="A61" workbookViewId="0">
      <selection activeCell="I76" sqref="I76"/>
    </sheetView>
  </sheetViews>
  <sheetFormatPr defaultColWidth="9.28515625" defaultRowHeight="12.75"/>
  <cols>
    <col min="14" max="14" width="14.28515625" customWidth="1"/>
  </cols>
  <sheetData>
    <row r="1" spans="2:15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t="s">
        <v>96</v>
      </c>
    </row>
    <row r="2" spans="2:15">
      <c r="B2">
        <f>+Sheet3!A2</f>
        <v>1947</v>
      </c>
      <c r="C2">
        <f>ROUND('dat_file 1980'!C2/'dat_file 1980'!C$76,4)</f>
        <v>0.108</v>
      </c>
      <c r="D2">
        <f>ROUND('dat_file 1980'!D2/'dat_file 1980'!D$76,4)</f>
        <v>9.3899999999999997E-2</v>
      </c>
      <c r="E2">
        <f>ROUND('dat_file 1980'!E2/'dat_file 1980'!E$76,4)</f>
        <v>8.2299999999999998E-2</v>
      </c>
      <c r="F2">
        <f>'dat_file 1980'!F2</f>
        <v>1.496</v>
      </c>
      <c r="G2">
        <f>'dat_file 1980'!G2</f>
        <v>1.4978</v>
      </c>
      <c r="H2">
        <f>ROUND('dat_file 1980'!H2/'dat_file 1980'!H$76,4)</f>
        <v>0.18240000000000001</v>
      </c>
      <c r="I2">
        <f>ROUND('dat_file 1980'!I2/'dat_file 1980'!I$76,4)</f>
        <v>5.4809999999999999</v>
      </c>
    </row>
    <row r="3" spans="2:15">
      <c r="B3">
        <f>+Sheet3!A3</f>
        <v>1948</v>
      </c>
      <c r="C3">
        <f>ROUND('dat_file 1980'!C3/'dat_file 1980'!C$76,4)</f>
        <v>0.1142</v>
      </c>
      <c r="D3">
        <f>ROUND('dat_file 1980'!D3/'dat_file 1980'!D$76,4)</f>
        <v>0.1014</v>
      </c>
      <c r="E3">
        <f>ROUND('dat_file 1980'!E3/'dat_file 1980'!E$76,4)</f>
        <v>8.8900000000000007E-2</v>
      </c>
      <c r="F3">
        <f>'dat_file 1980'!F3</f>
        <v>1.3852</v>
      </c>
      <c r="G3">
        <f>'dat_file 1980'!G3</f>
        <v>1.3858999999999999</v>
      </c>
      <c r="H3">
        <f>ROUND('dat_file 1980'!H3/'dat_file 1980'!H$76,4)</f>
        <v>0.19500000000000001</v>
      </c>
      <c r="I3">
        <f>ROUND('dat_file 1980'!I3/'dat_file 1980'!I$76,4)</f>
        <v>5.1273</v>
      </c>
    </row>
    <row r="4" spans="2:15">
      <c r="B4">
        <f>+Sheet3!A4</f>
        <v>1949</v>
      </c>
      <c r="C4">
        <f>ROUND('dat_file 1980'!C4/'dat_file 1980'!C$76,4)</f>
        <v>0.1133</v>
      </c>
      <c r="D4">
        <f>ROUND('dat_file 1980'!D4/'dat_file 1980'!D$76,4)</f>
        <v>0.1002</v>
      </c>
      <c r="E4">
        <f>ROUND('dat_file 1980'!E4/'dat_file 1980'!E$76,4)</f>
        <v>8.7800000000000003E-2</v>
      </c>
      <c r="F4">
        <f>'dat_file 1980'!F4</f>
        <v>1.4025000000000001</v>
      </c>
      <c r="G4">
        <f>'dat_file 1980'!G4</f>
        <v>1.4034</v>
      </c>
      <c r="H4">
        <f>ROUND('dat_file 1980'!H4/'dat_file 1980'!H$76,4)</f>
        <v>0.1905</v>
      </c>
      <c r="I4">
        <f>ROUND('dat_file 1980'!I4/'dat_file 1980'!I$76,4)</f>
        <v>5.2500999999999998</v>
      </c>
    </row>
    <row r="5" spans="2:15">
      <c r="B5">
        <f>+Sheet3!A5</f>
        <v>1950</v>
      </c>
      <c r="C5">
        <f>ROUND('dat_file 1980'!C5/'dat_file 1980'!C$76,4)</f>
        <v>0.11459999999999999</v>
      </c>
      <c r="D5">
        <f>ROUND('dat_file 1980'!D5/'dat_file 1980'!D$76,4)</f>
        <v>0.1014</v>
      </c>
      <c r="E5">
        <f>ROUND('dat_file 1980'!E5/'dat_file 1980'!E$76,4)</f>
        <v>8.8900000000000007E-2</v>
      </c>
      <c r="F5">
        <f>'dat_file 1980'!F5</f>
        <v>1.3852</v>
      </c>
      <c r="G5">
        <f>'dat_file 1980'!G5</f>
        <v>1.3858999999999999</v>
      </c>
      <c r="H5">
        <f>ROUND('dat_file 1980'!H5/'dat_file 1980'!H$76,4)</f>
        <v>0.1908</v>
      </c>
      <c r="I5">
        <f>ROUND('dat_file 1980'!I5/'dat_file 1980'!I$76,4)</f>
        <v>5.2416</v>
      </c>
    </row>
    <row r="6" spans="2:15">
      <c r="B6">
        <f>+Sheet3!A6</f>
        <v>1951</v>
      </c>
      <c r="C6">
        <f>ROUND('dat_file 1980'!C6/'dat_file 1980'!C$76,4)</f>
        <v>0.12239999999999999</v>
      </c>
      <c r="D6">
        <f>ROUND('dat_file 1980'!D6/'dat_file 1980'!D$76,4)</f>
        <v>0.1095</v>
      </c>
      <c r="E6">
        <f>ROUND('dat_file 1980'!E6/'dat_file 1980'!E$76,4)</f>
        <v>9.5899999999999999E-2</v>
      </c>
      <c r="F6">
        <f>'dat_file 1980'!F6</f>
        <v>1.2838000000000001</v>
      </c>
      <c r="G6">
        <f>'dat_file 1980'!G6</f>
        <v>1.2846</v>
      </c>
      <c r="H6">
        <f>ROUND('dat_file 1980'!H6/'dat_file 1980'!H$76,4)</f>
        <v>0.20369999999999999</v>
      </c>
      <c r="I6">
        <f>ROUND('dat_file 1980'!I6/'dat_file 1980'!I$76,4)</f>
        <v>4.9086999999999996</v>
      </c>
    </row>
    <row r="7" spans="2:15">
      <c r="B7">
        <f>+Sheet3!A7</f>
        <v>1952</v>
      </c>
      <c r="C7">
        <f>ROUND('dat_file 1980'!C7/'dat_file 1980'!C$76,4)</f>
        <v>0.1249</v>
      </c>
      <c r="D7">
        <f>ROUND('dat_file 1980'!D7/'dat_file 1980'!D$76,4)</f>
        <v>0.1115</v>
      </c>
      <c r="E7">
        <f>ROUND('dat_file 1980'!E7/'dat_file 1980'!E$76,4)</f>
        <v>9.7799999999999998E-2</v>
      </c>
      <c r="F7">
        <f>'dat_file 1980'!F7</f>
        <v>1.2606999999999999</v>
      </c>
      <c r="G7">
        <f>'dat_file 1980'!G7</f>
        <v>1.2604</v>
      </c>
      <c r="H7">
        <f>ROUND('dat_file 1980'!H7/'dat_file 1980'!H$76,4)</f>
        <v>0.20519999999999999</v>
      </c>
      <c r="I7">
        <f>ROUND('dat_file 1980'!I7/'dat_file 1980'!I$76,4)</f>
        <v>4.8730000000000002</v>
      </c>
    </row>
    <row r="8" spans="2:15">
      <c r="B8">
        <f>+Sheet3!A8</f>
        <v>1953</v>
      </c>
      <c r="C8">
        <f>ROUND('dat_file 1980'!C8/'dat_file 1980'!C$76,4)</f>
        <v>0.12659999999999999</v>
      </c>
      <c r="D8">
        <f>ROUND('dat_file 1980'!D8/'dat_file 1980'!D$76,4)</f>
        <v>0.11219999999999999</v>
      </c>
      <c r="E8">
        <f>ROUND('dat_file 1980'!E8/'dat_file 1980'!E$76,4)</f>
        <v>9.8500000000000004E-2</v>
      </c>
      <c r="F8">
        <f>'dat_file 1980'!F8</f>
        <v>1.2522</v>
      </c>
      <c r="G8">
        <f>'dat_file 1980'!G8</f>
        <v>1.2508999999999999</v>
      </c>
      <c r="H8">
        <f>ROUND('dat_file 1980'!H8/'dat_file 1980'!H$76,4)</f>
        <v>0.20430000000000001</v>
      </c>
      <c r="I8">
        <f>ROUND('dat_file 1980'!I8/'dat_file 1980'!I$76,4)</f>
        <v>4.8940000000000001</v>
      </c>
    </row>
    <row r="9" spans="2:15">
      <c r="B9">
        <f>+Sheet3!A9</f>
        <v>1954</v>
      </c>
      <c r="C9">
        <f>ROUND('dat_file 1980'!C9/'dat_file 1980'!C$76,4)</f>
        <v>0.12770000000000001</v>
      </c>
      <c r="D9">
        <f>ROUND('dat_file 1980'!D9/'dat_file 1980'!D$76,4)</f>
        <v>0.1132</v>
      </c>
      <c r="E9">
        <f>ROUND('dat_file 1980'!E9/'dat_file 1980'!E$76,4)</f>
        <v>9.9299999999999999E-2</v>
      </c>
      <c r="F9">
        <f>'dat_file 1980'!F9</f>
        <v>1.2412000000000001</v>
      </c>
      <c r="G9">
        <f>'dat_file 1980'!G9</f>
        <v>1.2416</v>
      </c>
      <c r="H9">
        <f>ROUND('dat_file 1980'!H9/'dat_file 1980'!H$76,4)</f>
        <v>0.2039</v>
      </c>
      <c r="I9">
        <f>ROUND('dat_file 1980'!I9/'dat_file 1980'!I$76,4)</f>
        <v>4.9034000000000004</v>
      </c>
    </row>
    <row r="10" spans="2:15">
      <c r="B10">
        <f>+Sheet3!A10</f>
        <v>1955</v>
      </c>
      <c r="C10">
        <f>ROUND('dat_file 1980'!C10/'dat_file 1980'!C$76,4)</f>
        <v>0.12820000000000001</v>
      </c>
      <c r="D10">
        <f>ROUND('dat_file 1980'!D10/'dat_file 1980'!D$76,4)</f>
        <v>0.11269999999999999</v>
      </c>
      <c r="E10">
        <f>ROUND('dat_file 1980'!E10/'dat_file 1980'!E$76,4)</f>
        <v>9.8900000000000002E-2</v>
      </c>
      <c r="F10">
        <f>'dat_file 1980'!F10</f>
        <v>1.2466999999999999</v>
      </c>
      <c r="G10">
        <f>'dat_file 1980'!G10</f>
        <v>1.2463</v>
      </c>
      <c r="H10">
        <f>ROUND('dat_file 1980'!H10/'dat_file 1980'!H$76,4)</f>
        <v>0.20080000000000001</v>
      </c>
      <c r="I10">
        <f>ROUND('dat_file 1980'!I10/'dat_file 1980'!I$76,4)</f>
        <v>4.9805999999999999</v>
      </c>
    </row>
    <row r="11" spans="2:15">
      <c r="B11">
        <f>+Sheet3!A11</f>
        <v>1956</v>
      </c>
      <c r="C11">
        <f>ROUND('dat_file 1980'!C11/'dat_file 1980'!C$76,4)</f>
        <v>0.13070000000000001</v>
      </c>
      <c r="D11">
        <f>ROUND('dat_file 1980'!D11/'dat_file 1980'!D$76,4)</f>
        <v>0.1145</v>
      </c>
      <c r="E11">
        <f>ROUND('dat_file 1980'!E11/'dat_file 1980'!E$76,4)</f>
        <v>0.1004</v>
      </c>
      <c r="F11">
        <f>'dat_file 1980'!F11</f>
        <v>1.2276</v>
      </c>
      <c r="G11">
        <f>'dat_file 1980'!G11</f>
        <v>1.2279</v>
      </c>
      <c r="H11">
        <f>ROUND('dat_file 1980'!H11/'dat_file 1980'!H$76,4)</f>
        <v>0.20169999999999999</v>
      </c>
      <c r="I11">
        <f>ROUND('dat_file 1980'!I11/'dat_file 1980'!I$76,4)</f>
        <v>4.9577999999999998</v>
      </c>
    </row>
    <row r="12" spans="2:15">
      <c r="B12">
        <f>+Sheet3!A12</f>
        <v>1957</v>
      </c>
      <c r="C12">
        <f>ROUND('dat_file 1980'!C12/'dat_file 1980'!C$76,4)</f>
        <v>0.13469999999999999</v>
      </c>
      <c r="D12">
        <f>ROUND('dat_file 1980'!D12/'dat_file 1980'!D$76,4)</f>
        <v>0.1183</v>
      </c>
      <c r="E12">
        <f>ROUND('dat_file 1980'!E12/'dat_file 1980'!E$76,4)</f>
        <v>0.1037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1980'!H$76,4)</f>
        <v>0.20610000000000001</v>
      </c>
      <c r="I12">
        <f>ROUND('dat_file 1980'!I12/'dat_file 1980'!I$76,4)</f>
        <v>4.8522999999999996</v>
      </c>
    </row>
    <row r="13" spans="2:15">
      <c r="B13">
        <f>+Sheet3!A13</f>
        <v>1958</v>
      </c>
      <c r="C13">
        <f>ROUND('dat_file 1980'!C13/'dat_file 1980'!C$76,4)</f>
        <v>0.13780000000000001</v>
      </c>
      <c r="D13">
        <f>ROUND('dat_file 1980'!D13/'dat_file 1980'!D$76,4)</f>
        <v>0.1215</v>
      </c>
      <c r="E13">
        <f>ROUND('dat_file 1980'!E13/'dat_file 1980'!E$76,4)</f>
        <v>0.1066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1980'!H$76,4)</f>
        <v>0.20949999999999999</v>
      </c>
      <c r="I13">
        <f>ROUND('dat_file 1980'!I13/'dat_file 1980'!I$76,4)</f>
        <v>4.7731000000000003</v>
      </c>
    </row>
    <row r="14" spans="2:15">
      <c r="B14">
        <f>+Sheet3!A14</f>
        <v>1959</v>
      </c>
      <c r="C14">
        <f>ROUND('dat_file 1980'!C14/'dat_file 1980'!C$76,4)</f>
        <v>0.1399</v>
      </c>
      <c r="D14">
        <f>ROUND('dat_file 1980'!D14/'dat_file 1980'!D$76,4)</f>
        <v>0.1225</v>
      </c>
      <c r="E14">
        <f>ROUND('dat_file 1980'!E14/'dat_file 1980'!E$76,4)</f>
        <v>0.1074</v>
      </c>
      <c r="F14">
        <f>'dat_file 1980'!F14</f>
        <v>1.1472</v>
      </c>
      <c r="G14">
        <f>'dat_file 1980'!G14</f>
        <v>1.1477999999999999</v>
      </c>
      <c r="H14">
        <f>ROUND('dat_file 1980'!H14/'dat_file 1980'!H$76,4)</f>
        <v>0.2089</v>
      </c>
      <c r="I14">
        <f>ROUND('dat_file 1980'!I14/'dat_file 1980'!I$76,4)</f>
        <v>4.7861000000000002</v>
      </c>
    </row>
    <row r="15" spans="2:15">
      <c r="B15">
        <f>+Sheet3!A15</f>
        <v>1960</v>
      </c>
      <c r="C15">
        <f>ROUND('dat_file 1980'!C15/'dat_file 1980'!C$76,4)</f>
        <v>0.14219999999999999</v>
      </c>
      <c r="D15">
        <f>ROUND('dat_file 1980'!D15/'dat_file 1980'!D$76,4)</f>
        <v>0.1245</v>
      </c>
      <c r="E15">
        <f>ROUND('dat_file 1980'!E15/'dat_file 1980'!E$76,4)</f>
        <v>0.10920000000000001</v>
      </c>
      <c r="F15">
        <f>'dat_file 1980'!F15</f>
        <v>1.1288</v>
      </c>
      <c r="G15">
        <f>'dat_file 1980'!G15</f>
        <v>1.1284000000000001</v>
      </c>
      <c r="H15">
        <f>ROUND('dat_file 1980'!H15/'dat_file 1980'!H$76,4)</f>
        <v>0.21</v>
      </c>
      <c r="I15">
        <f>ROUND('dat_file 1980'!I15/'dat_file 1980'!I$76,4)</f>
        <v>4.7610999999999999</v>
      </c>
      <c r="K15" t="str">
        <f>"IF ref_year="&amp;'dat_file 1980'!B15&amp;" THEN cpi_u_rs_18="&amp;ROUND('dat_file 1980'!$D$73/'dat_file 1980'!D15,3)&amp;";"</f>
        <v>IF ref_year=1960 THEN cpi_u_rs_18=7.427;</v>
      </c>
      <c r="O15" t="str">
        <f>"IF ref_year="&amp;'dat_file 1980'!B15&amp;" THEN cpi_u_rs_adj_18="&amp;ROUND('dat_file 1980'!$H$73/'dat_file 1980'!H15,3)&amp;";"</f>
        <v>IF ref_year=1960 THEN cpi_u_rs_adj_18=4.507;</v>
      </c>
    </row>
    <row r="16" spans="2:15">
      <c r="B16">
        <f>+Sheet3!A16</f>
        <v>1961</v>
      </c>
      <c r="C16">
        <f>ROUND('dat_file 1980'!C16/'dat_file 1980'!C$76,4)</f>
        <v>0.14369999999999999</v>
      </c>
      <c r="D16">
        <f>ROUND('dat_file 1980'!D16/'dat_file 1980'!D$76,4)</f>
        <v>0.1258</v>
      </c>
      <c r="E16">
        <f>ROUND('dat_file 1980'!E16/'dat_file 1980'!E$76,4)</f>
        <v>0.1104</v>
      </c>
      <c r="F16">
        <f>'dat_file 1980'!F16</f>
        <v>1.1174999999999999</v>
      </c>
      <c r="G16">
        <f>'dat_file 1980'!G16</f>
        <v>1.1171</v>
      </c>
      <c r="H16">
        <f>ROUND('dat_file 1980'!H16/'dat_file 1980'!H$76,4)</f>
        <v>0.2099</v>
      </c>
      <c r="I16">
        <f>ROUND('dat_file 1980'!I16/'dat_file 1980'!I$76,4)</f>
        <v>4.7651000000000003</v>
      </c>
      <c r="K16" t="str">
        <f>"ELSE IF ref_year="&amp;'dat_file 1980'!B16&amp;" THEN cpi_u_rs_18="&amp;ROUND('dat_file 1980'!$D$73/'dat_file 1980'!D16,3)&amp;";"</f>
        <v>ELSE IF ref_year=1961 THEN cpi_u_rs_18=7.352;</v>
      </c>
      <c r="O16" t="str">
        <f>"ELSE IF ref_year="&amp;'dat_file 1980'!B16&amp;" THEN cpi_u_rs_adj_18="&amp;ROUND('dat_file 1980'!$H$73/'dat_file 1980'!H16,3)&amp;";"</f>
        <v>ELSE IF ref_year=1961 THEN cpi_u_rs_adj_18=4.511;</v>
      </c>
    </row>
    <row r="17" spans="2:15">
      <c r="B17">
        <f>+Sheet3!A17</f>
        <v>1962</v>
      </c>
      <c r="C17">
        <f>ROUND('dat_file 1980'!C17/'dat_file 1980'!C$76,4)</f>
        <v>0.1454</v>
      </c>
      <c r="D17">
        <f>ROUND('dat_file 1980'!D17/'dat_file 1980'!D$76,4)</f>
        <v>0.127</v>
      </c>
      <c r="E17">
        <f>ROUND('dat_file 1980'!E17/'dat_file 1980'!E$76,4)</f>
        <v>0.1114</v>
      </c>
      <c r="F17">
        <f>'dat_file 1980'!F17</f>
        <v>1.1065</v>
      </c>
      <c r="G17">
        <f>'dat_file 1980'!G17</f>
        <v>1.1060000000000001</v>
      </c>
      <c r="H17">
        <f>ROUND('dat_file 1980'!H17/'dat_file 1980'!H$76,4)</f>
        <v>0.20960000000000001</v>
      </c>
      <c r="I17">
        <f>ROUND('dat_file 1980'!I17/'dat_file 1980'!I$76,4)</f>
        <v>4.7701000000000002</v>
      </c>
      <c r="K17" t="str">
        <f>"ELSE IF ref_year="&amp;'dat_file 1980'!B17&amp;" THEN cpi_u_rs_18="&amp;ROUND('dat_file 1980'!$D$73/'dat_file 1980'!D17,3)&amp;";"</f>
        <v>ELSE IF ref_year=1962 THEN cpi_u_rs_18=7.28;</v>
      </c>
      <c r="O17" t="str">
        <f>"ELSE IF ref_year="&amp;'dat_file 1980'!B17&amp;" THEN cpi_u_rs_adj_18="&amp;ROUND('dat_file 1980'!$H$73/'dat_file 1980'!H17,3)&amp;";"</f>
        <v>ELSE IF ref_year=1962 THEN cpi_u_rs_adj_18=4.515;</v>
      </c>
    </row>
    <row r="18" spans="2:15">
      <c r="B18">
        <f>+Sheet3!A18</f>
        <v>1963</v>
      </c>
      <c r="C18">
        <f>ROUND('dat_file 1980'!C18/'dat_file 1980'!C$76,4)</f>
        <v>0.14710000000000001</v>
      </c>
      <c r="D18">
        <f>ROUND('dat_file 1980'!D18/'dat_file 1980'!D$76,4)</f>
        <v>0.1288</v>
      </c>
      <c r="E18">
        <f>ROUND('dat_file 1980'!E18/'dat_file 1980'!E$76,4)</f>
        <v>0.1129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1980'!H$76,4)</f>
        <v>0.2102</v>
      </c>
      <c r="I18">
        <f>ROUND('dat_file 1980'!I18/'dat_file 1980'!I$76,4)</f>
        <v>4.7571000000000003</v>
      </c>
      <c r="K18" t="str">
        <f>"ELSE IF ref_year="&amp;'dat_file 1980'!B18&amp;" THEN cpi_u_rs_18="&amp;ROUND('dat_file 1980'!$D$73/'dat_file 1980'!D18,3)&amp;";"</f>
        <v>ELSE IF ref_year=1963 THEN cpi_u_rs_18=7.181;</v>
      </c>
      <c r="O18" t="str">
        <f>"ELSE IF ref_year="&amp;'dat_file 1980'!B18&amp;" THEN cpi_u_rs_adj_18="&amp;ROUND('dat_file 1980'!$H$73/'dat_file 1980'!H18,3)&amp;";"</f>
        <v>ELSE IF ref_year=1963 THEN cpi_u_rs_adj_18=4.503;</v>
      </c>
    </row>
    <row r="19" spans="2:15">
      <c r="B19">
        <f>+Sheet3!A19</f>
        <v>1964</v>
      </c>
      <c r="C19">
        <f>ROUND('dat_file 1980'!C19/'dat_file 1980'!C$76,4)</f>
        <v>0.1492</v>
      </c>
      <c r="D19">
        <f>ROUND('dat_file 1980'!D19/'dat_file 1980'!D$76,4)</f>
        <v>0.1305</v>
      </c>
      <c r="E19">
        <f>ROUND('dat_file 1980'!E19/'dat_file 1980'!E$76,4)</f>
        <v>0.1144</v>
      </c>
      <c r="F19">
        <f>'dat_file 1980'!F19</f>
        <v>1.0768</v>
      </c>
      <c r="G19">
        <f>'dat_file 1980'!G19</f>
        <v>1.0773999999999999</v>
      </c>
      <c r="H19">
        <f>ROUND('dat_file 1980'!H19/'dat_file 1980'!H$76,4)</f>
        <v>0.21079999999999999</v>
      </c>
      <c r="I19">
        <f>ROUND('dat_file 1980'!I19/'dat_file 1980'!I$76,4)</f>
        <v>4.7443</v>
      </c>
      <c r="K19" t="str">
        <f>"ELSE IF ref_year="&amp;'dat_file 1980'!B19&amp;" THEN cpi_u_rs_18="&amp;ROUND('dat_file 1980'!$D$73/'dat_file 1980'!D19,3)&amp;";"</f>
        <v>ELSE IF ref_year=1964 THEN cpi_u_rs_18=7.085;</v>
      </c>
      <c r="O19" t="str">
        <f>"ELSE IF ref_year="&amp;'dat_file 1980'!B19&amp;" THEN cpi_u_rs_adj_18="&amp;ROUND('dat_file 1980'!$H$73/'dat_file 1980'!H19,3)&amp;";"</f>
        <v>ELSE IF ref_year=1964 THEN cpi_u_rs_adj_18=4.491;</v>
      </c>
    </row>
    <row r="20" spans="2:15">
      <c r="B20">
        <f>+Sheet3!A20</f>
        <v>1965</v>
      </c>
      <c r="C20">
        <f>ROUND('dat_file 1980'!C20/'dat_file 1980'!C$76,4)</f>
        <v>0.15140000000000001</v>
      </c>
      <c r="D20">
        <f>ROUND('dat_file 1980'!D20/'dat_file 1980'!D$76,4)</f>
        <v>0.13250000000000001</v>
      </c>
      <c r="E20">
        <f>ROUND('dat_file 1980'!E20/'dat_file 1980'!E$76,4)</f>
        <v>0.1163</v>
      </c>
      <c r="F20">
        <f>'dat_file 1980'!F20</f>
        <v>1.0605</v>
      </c>
      <c r="G20">
        <f>'dat_file 1980'!G20</f>
        <v>1.0603</v>
      </c>
      <c r="H20">
        <f>ROUND('dat_file 1980'!H20/'dat_file 1980'!H$76,4)</f>
        <v>0.2117</v>
      </c>
      <c r="I20">
        <f>ROUND('dat_file 1980'!I20/'dat_file 1980'!I$76,4)</f>
        <v>4.7236000000000002</v>
      </c>
      <c r="K20" t="str">
        <f>"ELSE IF ref_year="&amp;'dat_file 1980'!B20&amp;" THEN cpi_u_rs_18="&amp;ROUND('dat_file 1980'!$D$73/'dat_file 1980'!D20,3)&amp;";"</f>
        <v>ELSE IF ref_year=1965 THEN cpi_u_rs_18=6.977;</v>
      </c>
      <c r="O20" t="str">
        <f>"ELSE IF ref_year="&amp;'dat_file 1980'!B20&amp;" THEN cpi_u_rs_adj_18="&amp;ROUND('dat_file 1980'!$H$73/'dat_file 1980'!H20,3)&amp;";"</f>
        <v>ELSE IF ref_year=1965 THEN cpi_u_rs_adj_18=4.471;</v>
      </c>
    </row>
    <row r="21" spans="2:15">
      <c r="B21">
        <f>+Sheet3!A21</f>
        <v>1966</v>
      </c>
      <c r="C21">
        <f>ROUND('dat_file 1980'!C21/'dat_file 1980'!C$76,4)</f>
        <v>0.1552</v>
      </c>
      <c r="D21">
        <f>ROUND('dat_file 1980'!D21/'dat_file 1980'!D$76,4)</f>
        <v>0.1363</v>
      </c>
      <c r="E21">
        <f>ROUND('dat_file 1980'!E21/'dat_file 1980'!E$76,4)</f>
        <v>0.1196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1980'!H$76,4)</f>
        <v>0.21540000000000001</v>
      </c>
      <c r="I21">
        <f>ROUND('dat_file 1980'!I21/'dat_file 1980'!I$76,4)</f>
        <v>4.6428000000000003</v>
      </c>
      <c r="K21" t="str">
        <f>"ELSE IF ref_year="&amp;'dat_file 1980'!B21&amp;" THEN cpi_u_rs_18="&amp;ROUND('dat_file 1980'!$D$73/'dat_file 1980'!D21,3)&amp;";"</f>
        <v>ELSE IF ref_year=1966 THEN cpi_u_rs_18=6.785;</v>
      </c>
      <c r="O21" t="str">
        <f>"ELSE IF ref_year="&amp;'dat_file 1980'!B21&amp;" THEN cpi_u_rs_adj_18="&amp;ROUND('dat_file 1980'!$H$73/'dat_file 1980'!H21,3)&amp;";"</f>
        <v>ELSE IF ref_year=1966 THEN cpi_u_rs_adj_18=4.395;</v>
      </c>
    </row>
    <row r="22" spans="2:15">
      <c r="B22">
        <f>+Sheet3!A22</f>
        <v>1967</v>
      </c>
      <c r="C22">
        <f>ROUND('dat_file 1980'!C22/'dat_file 1980'!C$76,4)</f>
        <v>0.15909999999999999</v>
      </c>
      <c r="D22">
        <f>ROUND('dat_file 1980'!D22/'dat_file 1980'!D$76,4)</f>
        <v>0.14050000000000001</v>
      </c>
      <c r="E22">
        <f>ROUND('dat_file 1980'!E22/'dat_file 1980'!E$76,4)</f>
        <v>0.1232</v>
      </c>
      <c r="F22">
        <f>'dat_file 1980'!F22</f>
        <v>1</v>
      </c>
      <c r="G22">
        <f>'dat_file 1980'!G22</f>
        <v>1</v>
      </c>
      <c r="H22">
        <f>ROUND('dat_file 1980'!H22/'dat_file 1980'!H$76,4)</f>
        <v>0.21970000000000001</v>
      </c>
      <c r="I22">
        <f>ROUND('dat_file 1980'!I22/'dat_file 1980'!I$76,4)</f>
        <v>4.5510999999999999</v>
      </c>
      <c r="K22" t="str">
        <f>"ELSE IF ref_year="&amp;'dat_file 1980'!B22&amp;" THEN cpi_u_rs_18="&amp;ROUND('dat_file 1980'!$D$73/'dat_file 1980'!D22,3)&amp;";"</f>
        <v>ELSE IF ref_year=1967 THEN cpi_u_rs_18=6.579;</v>
      </c>
      <c r="O22" t="str">
        <f>"ELSE IF ref_year="&amp;'dat_file 1980'!B22&amp;" THEN cpi_u_rs_adj_18="&amp;ROUND('dat_file 1980'!$H$73/'dat_file 1980'!H22,3)&amp;";"</f>
        <v>ELSE IF ref_year=1967 THEN cpi_u_rs_adj_18=4.308;</v>
      </c>
    </row>
    <row r="23" spans="2:15">
      <c r="B23">
        <f>+Sheet3!A23</f>
        <v>1968</v>
      </c>
      <c r="C23">
        <f>ROUND('dat_file 1980'!C23/'dat_file 1980'!C$76,4)</f>
        <v>0.1653</v>
      </c>
      <c r="D23">
        <f>ROUND('dat_file 1980'!D23/'dat_file 1980'!D$76,4)</f>
        <v>0.14599999999999999</v>
      </c>
      <c r="E23">
        <f>ROUND('dat_file 1980'!E23/'dat_file 1980'!E$76,4)</f>
        <v>0.12839999999999999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1980'!H$76,4)</f>
        <v>0.22589999999999999</v>
      </c>
      <c r="I23">
        <f>ROUND('dat_file 1980'!I23/'dat_file 1980'!I$76,4)</f>
        <v>4.4264999999999999</v>
      </c>
      <c r="K23" t="str">
        <f>"ELSE IF ref_year="&amp;'dat_file 1980'!B23&amp;" THEN cpi_u_rs_18="&amp;ROUND('dat_file 1980'!$D$73/'dat_file 1980'!D23,3)&amp;";"</f>
        <v>ELSE IF ref_year=1968 THEN cpi_u_rs_18=6.331;</v>
      </c>
      <c r="O23" t="str">
        <f>"ELSE IF ref_year="&amp;'dat_file 1980'!B23&amp;" THEN cpi_u_rs_adj_18="&amp;ROUND('dat_file 1980'!$H$73/'dat_file 1980'!H23,3)&amp;";"</f>
        <v>ELSE IF ref_year=1968 THEN cpi_u_rs_adj_18=4.19;</v>
      </c>
    </row>
    <row r="24" spans="2:15">
      <c r="B24">
        <f>+Sheet3!A24</f>
        <v>1969</v>
      </c>
      <c r="C24">
        <f>ROUND('dat_file 1980'!C24/'dat_file 1980'!C$76,4)</f>
        <v>0.17280000000000001</v>
      </c>
      <c r="D24">
        <f>ROUND('dat_file 1980'!D24/'dat_file 1980'!D$76,4)</f>
        <v>0.15260000000000001</v>
      </c>
      <c r="E24">
        <f>ROUND('dat_file 1980'!E24/'dat_file 1980'!E$76,4)</f>
        <v>0.13539999999999999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1980'!H$76,4)</f>
        <v>0.23350000000000001</v>
      </c>
      <c r="I24">
        <f>ROUND('dat_file 1980'!I24/'dat_file 1980'!I$76,4)</f>
        <v>4.2827000000000002</v>
      </c>
      <c r="K24" t="str">
        <f>"ELSE IF ref_year="&amp;'dat_file 1980'!B24&amp;" THEN cpi_u_rs_18="&amp;ROUND('dat_file 1980'!$D$73/'dat_file 1980'!D24,3)&amp;";"</f>
        <v>ELSE IF ref_year=1969 THEN cpi_u_rs_18=6.06;</v>
      </c>
      <c r="O24" t="str">
        <f>"ELSE IF ref_year="&amp;'dat_file 1980'!B24&amp;" THEN cpi_u_rs_adj_18="&amp;ROUND('dat_file 1980'!$H$73/'dat_file 1980'!H24,3)&amp;";"</f>
        <v>ELSE IF ref_year=1969 THEN cpi_u_rs_adj_18=4.054;</v>
      </c>
    </row>
    <row r="25" spans="2:15">
      <c r="B25">
        <f>+Sheet3!A25</f>
        <v>1970</v>
      </c>
      <c r="C25">
        <f>ROUND('dat_file 1980'!C25/'dat_file 1980'!C$76,4)</f>
        <v>0.18090000000000001</v>
      </c>
      <c r="D25">
        <f>ROUND('dat_file 1980'!D25/'dat_file 1980'!D$76,4)</f>
        <v>0.16009999999999999</v>
      </c>
      <c r="E25">
        <f>ROUND('dat_file 1980'!E25/'dat_file 1980'!E$76,4)</f>
        <v>0.14319999999999999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1980'!H$76,4)</f>
        <v>0.2424</v>
      </c>
      <c r="I25">
        <f>ROUND('dat_file 1980'!I25/'dat_file 1980'!I$76,4)</f>
        <v>4.1246</v>
      </c>
      <c r="K25" t="str">
        <f>"ELSE IF ref_year="&amp;'dat_file 1980'!B25&amp;" THEN cpi_u_rs_18="&amp;ROUND('dat_file 1980'!$D$73/'dat_file 1980'!D25,3)&amp;";"</f>
        <v>ELSE IF ref_year=1970 THEN cpi_u_rs_18=5.776;</v>
      </c>
      <c r="O25" t="str">
        <f>"ELSE IF ref_year="&amp;'dat_file 1980'!B25&amp;" THEN cpi_u_rs_adj_18="&amp;ROUND('dat_file 1980'!$H$73/'dat_file 1980'!H25,3)&amp;";"</f>
        <v>ELSE IF ref_year=1970 THEN cpi_u_rs_adj_18=3.904;</v>
      </c>
    </row>
    <row r="26" spans="2:15">
      <c r="B26">
        <f>+Sheet3!A26</f>
        <v>1971</v>
      </c>
      <c r="C26">
        <f>ROUND('dat_file 1980'!C26/'dat_file 1980'!C$76,4)</f>
        <v>0.1885</v>
      </c>
      <c r="D26">
        <f>ROUND('dat_file 1980'!D26/'dat_file 1980'!D$76,4)</f>
        <v>0.1671</v>
      </c>
      <c r="E26">
        <f>ROUND('dat_file 1980'!E26/'dat_file 1980'!E$76,4)</f>
        <v>0.14949999999999999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1980'!H$76,4)</f>
        <v>0.25040000000000001</v>
      </c>
      <c r="I26">
        <f>ROUND('dat_file 1980'!I26/'dat_file 1980'!I$76,4)</f>
        <v>3.9931999999999999</v>
      </c>
      <c r="K26" t="str">
        <f>"ELSE IF ref_year="&amp;'dat_file 1980'!B26&amp;" THEN cpi_u_rs_18="&amp;ROUND('dat_file 1980'!$D$73/'dat_file 1980'!D26,3)&amp;";"</f>
        <v>ELSE IF ref_year=1971 THEN cpi_u_rs_18=5.534;</v>
      </c>
      <c r="O26" t="str">
        <f>"ELSE IF ref_year="&amp;'dat_file 1980'!B26&amp;" THEN cpi_u_rs_adj_18="&amp;ROUND('dat_file 1980'!$H$73/'dat_file 1980'!H26,3)&amp;";"</f>
        <v>ELSE IF ref_year=1971 THEN cpi_u_rs_adj_18=3.78;</v>
      </c>
    </row>
    <row r="27" spans="2:15">
      <c r="B27">
        <f>+Sheet3!A27</f>
        <v>1972</v>
      </c>
      <c r="C27">
        <f>ROUND('dat_file 1980'!C27/'dat_file 1980'!C$76,4)</f>
        <v>0.19500000000000001</v>
      </c>
      <c r="D27">
        <f>ROUND('dat_file 1980'!D27/'dat_file 1980'!D$76,4)</f>
        <v>0.1721</v>
      </c>
      <c r="E27">
        <f>ROUND('dat_file 1980'!E27/'dat_file 1980'!E$76,4)</f>
        <v>0.15429999999999999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1980'!H$76,4)</f>
        <v>0.25519999999999998</v>
      </c>
      <c r="I27">
        <f>ROUND('dat_file 1980'!I27/'dat_file 1980'!I$76,4)</f>
        <v>3.919</v>
      </c>
      <c r="K27" t="str">
        <f>"ELSE IF ref_year="&amp;'dat_file 1980'!B27&amp;" THEN cpi_u_rs_18="&amp;ROUND('dat_file 1980'!$D$73/'dat_file 1980'!D27,3)&amp;";"</f>
        <v>ELSE IF ref_year=1972 THEN cpi_u_rs_18=5.373;</v>
      </c>
      <c r="O27" t="str">
        <f>"ELSE IF ref_year="&amp;'dat_file 1980'!B27&amp;" THEN cpi_u_rs_adj_18="&amp;ROUND('dat_file 1980'!$H$73/'dat_file 1980'!H27,3)&amp;";"</f>
        <v>ELSE IF ref_year=1972 THEN cpi_u_rs_adj_18=3.71;</v>
      </c>
    </row>
    <row r="28" spans="2:15">
      <c r="B28">
        <f>+Sheet3!A28</f>
        <v>1973</v>
      </c>
      <c r="C28">
        <f>ROUND('dat_file 1980'!C28/'dat_file 1980'!C$76,4)</f>
        <v>0.2054</v>
      </c>
      <c r="D28">
        <f>ROUND('dat_file 1980'!D28/'dat_file 1980'!D$76,4)</f>
        <v>0.18290000000000001</v>
      </c>
      <c r="E28">
        <f>ROUND('dat_file 1980'!E28/'dat_file 1980'!E$76,4)</f>
        <v>0.1638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1980'!H$76,4)</f>
        <v>0.26829999999999998</v>
      </c>
      <c r="I28">
        <f>ROUND('dat_file 1980'!I28/'dat_file 1980'!I$76,4)</f>
        <v>3.7269000000000001</v>
      </c>
      <c r="K28" t="str">
        <f>"ELSE IF ref_year="&amp;'dat_file 1980'!B28&amp;" THEN cpi_u_rs_18="&amp;ROUND('dat_file 1980'!$D$73/'dat_file 1980'!D28,3)&amp;";"</f>
        <v>ELSE IF ref_year=1973 THEN cpi_u_rs_18=5.056;</v>
      </c>
      <c r="O28" t="str">
        <f>"ELSE IF ref_year="&amp;'dat_file 1980'!B28&amp;" THEN cpi_u_rs_adj_18="&amp;ROUND('dat_file 1980'!$H$73/'dat_file 1980'!H28,3)&amp;";"</f>
        <v>ELSE IF ref_year=1973 THEN cpi_u_rs_adj_18=3.528;</v>
      </c>
    </row>
    <row r="29" spans="2:15">
      <c r="B29">
        <f>+Sheet3!A29</f>
        <v>1974</v>
      </c>
      <c r="C29">
        <f>ROUND('dat_file 1980'!C29/'dat_file 1980'!C$76,4)</f>
        <v>0.2268</v>
      </c>
      <c r="D29">
        <f>ROUND('dat_file 1980'!D29/'dat_file 1980'!D$76,4)</f>
        <v>0.20119999999999999</v>
      </c>
      <c r="E29">
        <f>ROUND('dat_file 1980'!E29/'dat_file 1980'!E$76,4)</f>
        <v>0.18190000000000001</v>
      </c>
      <c r="F29">
        <f>'dat_file 1980'!F29</f>
        <v>0.6986</v>
      </c>
      <c r="G29">
        <f>'dat_file 1980'!G29</f>
        <v>0.67749999999999999</v>
      </c>
      <c r="H29">
        <f>ROUND('dat_file 1980'!H29/'dat_file 1980'!H$76,4)</f>
        <v>0.29220000000000002</v>
      </c>
      <c r="I29">
        <f>ROUND('dat_file 1980'!I29/'dat_file 1980'!I$76,4)</f>
        <v>3.4220000000000002</v>
      </c>
      <c r="K29" t="str">
        <f>"ELSE IF ref_year="&amp;'dat_file 1980'!B29&amp;" THEN cpi_u_rs_18="&amp;ROUND('dat_file 1980'!$D$73/'dat_file 1980'!D29,3)&amp;";"</f>
        <v>ELSE IF ref_year=1974 THEN cpi_u_rs_18=4.596;</v>
      </c>
      <c r="O29" t="str">
        <f>"ELSE IF ref_year="&amp;'dat_file 1980'!B29&amp;" THEN cpi_u_rs_adj_18="&amp;ROUND('dat_file 1980'!$H$73/'dat_file 1980'!H29,3)&amp;";"</f>
        <v>ELSE IF ref_year=1974 THEN cpi_u_rs_adj_18=3.239;</v>
      </c>
    </row>
    <row r="30" spans="2:15">
      <c r="B30">
        <f>+Sheet3!A30</f>
        <v>1975</v>
      </c>
      <c r="C30">
        <f>ROUND('dat_file 1980'!C30/'dat_file 1980'!C$76,4)</f>
        <v>0.24579999999999999</v>
      </c>
      <c r="D30">
        <f>ROUND('dat_file 1980'!D30/'dat_file 1980'!D$76,4)</f>
        <v>0.2177</v>
      </c>
      <c r="E30">
        <f>ROUND('dat_file 1980'!E30/'dat_file 1980'!E$76,4)</f>
        <v>0.19850000000000001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1980'!H$76,4)</f>
        <v>0.313</v>
      </c>
      <c r="I30">
        <f>ROUND('dat_file 1980'!I30/'dat_file 1980'!I$76,4)</f>
        <v>3.1947999999999999</v>
      </c>
      <c r="K30" t="str">
        <f>"ELSE IF ref_year="&amp;'dat_file 1980'!B30&amp;" THEN cpi_u_rs_18="&amp;ROUND('dat_file 1980'!$D$73/'dat_file 1980'!D30,3)&amp;";"</f>
        <v>ELSE IF ref_year=1975 THEN cpi_u_rs_18=4.247;</v>
      </c>
      <c r="O30" t="str">
        <f>"ELSE IF ref_year="&amp;'dat_file 1980'!B30&amp;" THEN cpi_u_rs_adj_18="&amp;ROUND('dat_file 1980'!$H$73/'dat_file 1980'!H30,3)&amp;";"</f>
        <v>ELSE IF ref_year=1975 THEN cpi_u_rs_adj_18=3.024;</v>
      </c>
    </row>
    <row r="31" spans="2:15">
      <c r="B31">
        <f>+Sheet3!A31</f>
        <v>1976</v>
      </c>
      <c r="C31">
        <f>ROUND('dat_file 1980'!C31/'dat_file 1980'!C$76,4)</f>
        <v>0.25919999999999999</v>
      </c>
      <c r="D31">
        <f>ROUND('dat_file 1980'!D31/'dat_file 1980'!D$76,4)</f>
        <v>0.23019999999999999</v>
      </c>
      <c r="E31">
        <f>ROUND('dat_file 1980'!E31/'dat_file 1980'!E$76,4)</f>
        <v>0.21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1980'!H$76,4)</f>
        <v>0.3276</v>
      </c>
      <c r="I31">
        <f>ROUND('dat_file 1980'!I31/'dat_file 1980'!I$76,4)</f>
        <v>3.0528</v>
      </c>
      <c r="K31" t="str">
        <f>"ELSE IF ref_year="&amp;'dat_file 1980'!B31&amp;" THEN cpi_u_rs_18="&amp;ROUND('dat_file 1980'!$D$73/'dat_file 1980'!D31,3)&amp;";"</f>
        <v>ELSE IF ref_year=1976 THEN cpi_u_rs_18=4.016;</v>
      </c>
      <c r="O31" t="str">
        <f>"ELSE IF ref_year="&amp;'dat_file 1980'!B31&amp;" THEN cpi_u_rs_adj_18="&amp;ROUND('dat_file 1980'!$H$73/'dat_file 1980'!H31,3)&amp;";"</f>
        <v>ELSE IF ref_year=1976 THEN cpi_u_rs_adj_18=2.89;</v>
      </c>
    </row>
    <row r="32" spans="2:15">
      <c r="B32">
        <f>+Sheet3!A32</f>
        <v>1977</v>
      </c>
      <c r="C32">
        <f>ROUND('dat_file 1980'!C32/'dat_file 1980'!C$76,4)</f>
        <v>0.27610000000000001</v>
      </c>
      <c r="D32">
        <f>ROUND('dat_file 1980'!D32/'dat_file 1980'!D$76,4)</f>
        <v>0.2447</v>
      </c>
      <c r="E32">
        <f>ROUND('dat_file 1980'!E32/'dat_file 1980'!E$76,4)</f>
        <v>0.22359999999999999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1980'!H$76,4)</f>
        <v>0.34460000000000002</v>
      </c>
      <c r="I32">
        <f>ROUND('dat_file 1980'!I32/'dat_file 1980'!I$76,4)</f>
        <v>2.9016000000000002</v>
      </c>
      <c r="K32" t="str">
        <f>"ELSE IF ref_year="&amp;'dat_file 1980'!B32&amp;" THEN cpi_u_rs_18="&amp;ROUND('dat_file 1980'!$D$73/'dat_file 1980'!D32,3)&amp;";"</f>
        <v>ELSE IF ref_year=1977 THEN cpi_u_rs_18=3.778;</v>
      </c>
      <c r="O32" t="str">
        <f>"ELSE IF ref_year="&amp;'dat_file 1980'!B32&amp;" THEN cpi_u_rs_adj_18="&amp;ROUND('dat_file 1980'!$H$73/'dat_file 1980'!H32,3)&amp;";"</f>
        <v>ELSE IF ref_year=1977 THEN cpi_u_rs_adj_18=2.747;</v>
      </c>
    </row>
    <row r="33" spans="2:15">
      <c r="B33">
        <f>+Sheet3!A33</f>
        <v>1978</v>
      </c>
      <c r="C33">
        <f>ROUND('dat_file 1980'!C33/'dat_file 1980'!C$76,4)</f>
        <v>0.29530000000000001</v>
      </c>
      <c r="D33">
        <f>ROUND('dat_file 1980'!D33/'dat_file 1980'!D$76,4)</f>
        <v>0.26150000000000001</v>
      </c>
      <c r="E33">
        <f>ROUND('dat_file 1980'!E33/'dat_file 1980'!E$76,4)</f>
        <v>0.24060000000000001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1980'!H$76,4)</f>
        <v>0.36549999999999999</v>
      </c>
      <c r="I33">
        <f>ROUND('dat_file 1980'!I33/'dat_file 1980'!I$76,4)</f>
        <v>2.7359</v>
      </c>
      <c r="K33" t="str">
        <f>"ELSE IF ref_year="&amp;'dat_file 1980'!B33&amp;" THEN cpi_u_rs_18="&amp;ROUND('dat_file 1980'!$D$73/'dat_file 1980'!D33,3)&amp;";"</f>
        <v>ELSE IF ref_year=1978 THEN cpi_u_rs_18=3.535;</v>
      </c>
      <c r="O33" t="str">
        <f>"ELSE IF ref_year="&amp;'dat_file 1980'!B33&amp;" THEN cpi_u_rs_adj_18="&amp;ROUND('dat_file 1980'!$H$73/'dat_file 1980'!H33,3)&amp;";"</f>
        <v>ELSE IF ref_year=1978 THEN cpi_u_rs_adj_18=2.59;</v>
      </c>
    </row>
    <row r="34" spans="2:15">
      <c r="B34">
        <f>+Sheet3!A34</f>
        <v>1979</v>
      </c>
      <c r="C34">
        <f>ROUND('dat_file 1980'!C34/'dat_file 1980'!C$76,4)</f>
        <v>0.3216</v>
      </c>
      <c r="D34">
        <f>ROUND('dat_file 1980'!D34/'dat_file 1980'!D$76,4)</f>
        <v>0.2863</v>
      </c>
      <c r="E34">
        <f>ROUND('dat_file 1980'!E34/'dat_file 1980'!E$76,4)</f>
        <v>0.26790000000000003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1980'!H$76,4)</f>
        <v>0.39729999999999999</v>
      </c>
      <c r="I34">
        <f>ROUND('dat_file 1980'!I34/'dat_file 1980'!I$76,4)</f>
        <v>2.5171999999999999</v>
      </c>
      <c r="K34" t="str">
        <f>"ELSE IF ref_year="&amp;'dat_file 1980'!B34&amp;" THEN cpi_u_rs_18="&amp;ROUND('dat_file 1980'!$D$73/'dat_file 1980'!D34,3)&amp;";"</f>
        <v>ELSE IF ref_year=1979 THEN cpi_u_rs_18=3.229;</v>
      </c>
      <c r="O34" t="str">
        <f>"ELSE IF ref_year="&amp;'dat_file 1980'!B34&amp;" THEN cpi_u_rs_adj_18="&amp;ROUND('dat_file 1980'!$H$73/'dat_file 1980'!H34,3)&amp;";"</f>
        <v>ELSE IF ref_year=1979 THEN cpi_u_rs_adj_18=2.383;</v>
      </c>
    </row>
    <row r="35" spans="2:15">
      <c r="B35">
        <f>+Sheet3!A35</f>
        <v>1980</v>
      </c>
      <c r="C35">
        <f>ROUND('dat_file 1980'!C35/'dat_file 1980'!C$76,4)</f>
        <v>0.35620000000000002</v>
      </c>
      <c r="D35">
        <f>ROUND('dat_file 1980'!D35/'dat_file 1980'!D$76,4)</f>
        <v>0.31840000000000002</v>
      </c>
      <c r="E35">
        <f>ROUND('dat_file 1980'!E35/'dat_file 1980'!E$76,4)</f>
        <v>0.30409999999999998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1980'!H$76,4)</f>
        <v>0.43859999999999999</v>
      </c>
      <c r="I35">
        <f>ROUND('dat_file 1980'!I35/'dat_file 1980'!I$76,4)</f>
        <v>2.2801</v>
      </c>
      <c r="K35" t="str">
        <f>"ELSE IF ref_year="&amp;'dat_file 1980'!B35&amp;" THEN cpi_u_rs_18="&amp;ROUND('dat_file 1980'!$D$73/'dat_file 1980'!D35,3)&amp;";"</f>
        <v>ELSE IF ref_year=1980 THEN cpi_u_rs_18=2.904;</v>
      </c>
      <c r="O35" t="str">
        <f>"ELSE IF ref_year="&amp;'dat_file 1980'!B35&amp;" THEN cpi_u_rs_adj_18="&amp;ROUND('dat_file 1980'!$H$73/'dat_file 1980'!H35,3)&amp;";"</f>
        <v>ELSE IF ref_year=1980 THEN cpi_u_rs_adj_18=2.158;</v>
      </c>
    </row>
    <row r="36" spans="2:15">
      <c r="B36">
        <f>+Sheet3!A36</f>
        <v>1981</v>
      </c>
      <c r="C36">
        <f>ROUND('dat_file 1980'!C36/'dat_file 1980'!C$76,4)</f>
        <v>0.3881</v>
      </c>
      <c r="D36">
        <f>ROUND('dat_file 1980'!D36/'dat_file 1980'!D$76,4)</f>
        <v>0.34839999999999999</v>
      </c>
      <c r="E36">
        <f>ROUND('dat_file 1980'!E36/'dat_file 1980'!E$76,4)</f>
        <v>0.33550000000000002</v>
      </c>
      <c r="F36">
        <f>'dat_file 1980'!F36</f>
        <v>0.40329999999999999</v>
      </c>
      <c r="G36">
        <f>'dat_file 1980'!G36</f>
        <v>0.3674</v>
      </c>
      <c r="H36">
        <f>ROUND('dat_file 1980'!H36/'dat_file 1980'!H$76,4)</f>
        <v>0.47649999999999998</v>
      </c>
      <c r="I36">
        <f>ROUND('dat_file 1980'!I36/'dat_file 1980'!I$76,4)</f>
        <v>2.0988000000000002</v>
      </c>
      <c r="K36" t="str">
        <f>"ELSE IF ref_year="&amp;'dat_file 1980'!B36&amp;" THEN cpi_u_rs_18="&amp;ROUND('dat_file 1980'!$D$73/'dat_file 1980'!D36,3)&amp;";"</f>
        <v>ELSE IF ref_year=1981 THEN cpi_u_rs_18=2.654;</v>
      </c>
      <c r="O36" t="str">
        <f>"ELSE IF ref_year="&amp;'dat_file 1980'!B36&amp;" THEN cpi_u_rs_adj_18="&amp;ROUND('dat_file 1980'!$H$73/'dat_file 1980'!H36,3)&amp;";"</f>
        <v>ELSE IF ref_year=1981 THEN cpi_u_rs_adj_18=1.987;</v>
      </c>
    </row>
    <row r="37" spans="2:15">
      <c r="B37">
        <f>+Sheet3!A37</f>
        <v>1982</v>
      </c>
      <c r="C37">
        <f>ROUND('dat_file 1980'!C37/'dat_file 1980'!C$76,4)</f>
        <v>0.40960000000000002</v>
      </c>
      <c r="D37">
        <f>ROUND('dat_file 1980'!D37/'dat_file 1980'!D$76,4)</f>
        <v>0.3695</v>
      </c>
      <c r="E37">
        <f>ROUND('dat_file 1980'!E37/'dat_file 1980'!E$76,4)</f>
        <v>0.35610000000000003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1980'!H$76,4)</f>
        <v>0.50139999999999996</v>
      </c>
      <c r="I37">
        <f>ROUND('dat_file 1980'!I37/'dat_file 1980'!I$76,4)</f>
        <v>1.9943</v>
      </c>
      <c r="K37" t="str">
        <f>"ELSE IF ref_year="&amp;'dat_file 1980'!B37&amp;" THEN cpi_u_rs_18="&amp;ROUND('dat_file 1980'!$D$73/'dat_file 1980'!D37,3)&amp;";"</f>
        <v>ELSE IF ref_year=1982 THEN cpi_u_rs_18=2.502;</v>
      </c>
      <c r="O37" t="str">
        <f>"ELSE IF ref_year="&amp;'dat_file 1980'!B37&amp;" THEN cpi_u_rs_adj_18="&amp;ROUND('dat_file 1980'!$H$73/'dat_file 1980'!H37,3)&amp;";"</f>
        <v>ELSE IF ref_year=1982 THEN cpi_u_rs_adj_18=1.888;</v>
      </c>
    </row>
    <row r="38" spans="2:15">
      <c r="B38">
        <f>+Sheet3!A38</f>
        <v>1983</v>
      </c>
      <c r="C38">
        <f>ROUND('dat_file 1980'!C38/'dat_file 1980'!C$76,4)</f>
        <v>0.42709999999999998</v>
      </c>
      <c r="D38">
        <f>ROUND('dat_file 1980'!D38/'dat_file 1980'!D$76,4)</f>
        <v>0.38529999999999998</v>
      </c>
      <c r="E38">
        <f>ROUND('dat_file 1980'!E38/'dat_file 1980'!E$76,4)</f>
        <v>0.36759999999999998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1980'!H$76,4)</f>
        <v>0.51880000000000004</v>
      </c>
      <c r="I38">
        <f>ROUND('dat_file 1980'!I38/'dat_file 1980'!I$76,4)</f>
        <v>1.9274</v>
      </c>
      <c r="K38" t="str">
        <f>"ELSE IF ref_year="&amp;'dat_file 1980'!B38&amp;" THEN cpi_u_rs_18="&amp;ROUND('dat_file 1980'!$D$73/'dat_file 1980'!D38,3)&amp;";"</f>
        <v>ELSE IF ref_year=1983 THEN cpi_u_rs_18=2.4;</v>
      </c>
      <c r="O38" t="str">
        <f>"ELSE IF ref_year="&amp;'dat_file 1980'!B38&amp;" THEN cpi_u_rs_adj_18="&amp;ROUND('dat_file 1980'!$H$73/'dat_file 1980'!H38,3)&amp;";"</f>
        <v>ELSE IF ref_year=1983 THEN cpi_u_rs_adj_18=1.824;</v>
      </c>
    </row>
    <row r="39" spans="2:15">
      <c r="B39">
        <f>+Sheet3!A39</f>
        <v>1984</v>
      </c>
      <c r="C39">
        <f>ROUND('dat_file 1980'!C39/'dat_file 1980'!C$76,4)</f>
        <v>0.44319999999999998</v>
      </c>
      <c r="D39">
        <f>ROUND('dat_file 1980'!D39/'dat_file 1980'!D$76,4)</f>
        <v>0.40129999999999999</v>
      </c>
      <c r="E39">
        <f>ROUND('dat_file 1980'!E39/'dat_file 1980'!E$76,4)</f>
        <v>0.38340000000000002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1980'!H$76,4)</f>
        <v>0.5363</v>
      </c>
      <c r="I39">
        <f>ROUND('dat_file 1980'!I39/'dat_file 1980'!I$76,4)</f>
        <v>1.8647</v>
      </c>
      <c r="K39" t="str">
        <f>"ELSE IF ref_year="&amp;'dat_file 1980'!B39&amp;" THEN cpi_u_rs_18="&amp;ROUND('dat_file 1980'!$D$73/'dat_file 1980'!D39,3)&amp;";"</f>
        <v>ELSE IF ref_year=1984 THEN cpi_u_rs_18=2.304;</v>
      </c>
      <c r="O39" t="str">
        <f>"ELSE IF ref_year="&amp;'dat_file 1980'!B39&amp;" THEN cpi_u_rs_adj_18="&amp;ROUND('dat_file 1980'!$H$73/'dat_file 1980'!H39,3)&amp;";"</f>
        <v>ELSE IF ref_year=1984 THEN cpi_u_rs_adj_18=1.765;</v>
      </c>
    </row>
    <row r="40" spans="2:15">
      <c r="B40">
        <f>+Sheet3!A40</f>
        <v>1985</v>
      </c>
      <c r="C40">
        <f>ROUND('dat_file 1980'!C40/'dat_file 1980'!C$76,4)</f>
        <v>0.45860000000000001</v>
      </c>
      <c r="D40">
        <f>ROUND('dat_file 1980'!D40/'dat_file 1980'!D$76,4)</f>
        <v>0.4148</v>
      </c>
      <c r="E40">
        <f>ROUND('dat_file 1980'!E40/'dat_file 1980'!E$76,4)</f>
        <v>0.39710000000000001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1980'!H$76,4)</f>
        <v>0.55010000000000003</v>
      </c>
      <c r="I40">
        <f>ROUND('dat_file 1980'!I40/'dat_file 1980'!I$76,4)</f>
        <v>1.8180000000000001</v>
      </c>
      <c r="K40" t="str">
        <f>"ELSE IF ref_year="&amp;'dat_file 1980'!B40&amp;" THEN cpi_u_rs_18="&amp;ROUND('dat_file 1980'!$D$73/'dat_file 1980'!D40,3)&amp;";"</f>
        <v>ELSE IF ref_year=1985 THEN cpi_u_rs_18=2.229;</v>
      </c>
      <c r="O40" t="str">
        <f>"ELSE IF ref_year="&amp;'dat_file 1980'!B40&amp;" THEN cpi_u_rs_adj_18="&amp;ROUND('dat_file 1980'!$H$73/'dat_file 1980'!H40,3)&amp;";"</f>
        <v>ELSE IF ref_year=1985 THEN cpi_u_rs_adj_18=1.721;</v>
      </c>
    </row>
    <row r="41" spans="2:15">
      <c r="B41">
        <f>+Sheet3!A41</f>
        <v>1986</v>
      </c>
      <c r="C41">
        <f>ROUND('dat_file 1980'!C41/'dat_file 1980'!C$76,4)</f>
        <v>0.46860000000000002</v>
      </c>
      <c r="D41">
        <f>ROUND('dat_file 1980'!D41/'dat_file 1980'!D$76,4)</f>
        <v>0.42180000000000001</v>
      </c>
      <c r="E41">
        <f>ROUND('dat_file 1980'!E41/'dat_file 1980'!E$76,4)</f>
        <v>0.40450000000000003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1980'!H$76,4)</f>
        <v>0.55500000000000005</v>
      </c>
      <c r="I41">
        <f>ROUND('dat_file 1980'!I41/'dat_file 1980'!I$76,4)</f>
        <v>1.8019000000000001</v>
      </c>
      <c r="K41" t="str">
        <f>"ELSE IF ref_year="&amp;'dat_file 1980'!B41&amp;" THEN cpi_u_rs_18="&amp;ROUND('dat_file 1980'!$D$73/'dat_file 1980'!D41,3)&amp;";"</f>
        <v>ELSE IF ref_year=1986 THEN cpi_u_rs_18=2.192;</v>
      </c>
      <c r="O41" t="str">
        <f>"ELSE IF ref_year="&amp;'dat_file 1980'!B41&amp;" THEN cpi_u_rs_adj_18="&amp;ROUND('dat_file 1980'!$H$73/'dat_file 1980'!H41,3)&amp;";"</f>
        <v>ELSE IF ref_year=1986 THEN cpi_u_rs_adj_18=1.706;</v>
      </c>
    </row>
    <row r="42" spans="2:15">
      <c r="B42">
        <f>+Sheet3!A42</f>
        <v>1987</v>
      </c>
      <c r="C42">
        <f>ROUND('dat_file 1980'!C42/'dat_file 1980'!C$76,4)</f>
        <v>0.48309999999999997</v>
      </c>
      <c r="D42">
        <f>ROUND('dat_file 1980'!D42/'dat_file 1980'!D$76,4)</f>
        <v>0.43609999999999999</v>
      </c>
      <c r="E42">
        <f>ROUND('dat_file 1980'!E42/'dat_file 1980'!E$76,4)</f>
        <v>0.41920000000000002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1980'!H$76,4)</f>
        <v>0.56930000000000003</v>
      </c>
      <c r="I42">
        <f>ROUND('dat_file 1980'!I42/'dat_file 1980'!I$76,4)</f>
        <v>1.7565</v>
      </c>
      <c r="K42" t="str">
        <f>"ELSE IF ref_year="&amp;'dat_file 1980'!B42&amp;" THEN cpi_u_rs_18="&amp;ROUND('dat_file 1980'!$D$73/'dat_file 1980'!D42,3)&amp;";"</f>
        <v>ELSE IF ref_year=1987 THEN cpi_u_rs_18=2.12;</v>
      </c>
      <c r="O42" t="str">
        <f>"ELSE IF ref_year="&amp;'dat_file 1980'!B42&amp;" THEN cpi_u_rs_adj_18="&amp;ROUND('dat_file 1980'!$H$73/'dat_file 1980'!H42,3)&amp;";"</f>
        <v>ELSE IF ref_year=1987 THEN cpi_u_rs_adj_18=1.663;</v>
      </c>
    </row>
    <row r="43" spans="2:15">
      <c r="B43">
        <f>+Sheet3!A43</f>
        <v>1988</v>
      </c>
      <c r="C43">
        <f>ROUND('dat_file 1980'!C43/'dat_file 1980'!C$76,4)</f>
        <v>0.502</v>
      </c>
      <c r="D43">
        <f>ROUND('dat_file 1980'!D43/'dat_file 1980'!D$76,4)</f>
        <v>0.4521</v>
      </c>
      <c r="E43">
        <f>ROUND('dat_file 1980'!E43/'dat_file 1980'!E$76,4)</f>
        <v>0.43659999999999999</v>
      </c>
      <c r="F43">
        <f>'dat_file 1980'!F43</f>
        <v>0.31080000000000002</v>
      </c>
      <c r="G43">
        <f>'dat_file 1980'!G43</f>
        <v>0.2823</v>
      </c>
      <c r="H43">
        <f>ROUND('dat_file 1980'!H43/'dat_file 1980'!H$76,4)</f>
        <v>0.5857</v>
      </c>
      <c r="I43">
        <f>ROUND('dat_file 1980'!I43/'dat_file 1980'!I$76,4)</f>
        <v>1.7074</v>
      </c>
      <c r="K43" t="str">
        <f>"ELSE IF ref_year="&amp;'dat_file 1980'!B43&amp;" THEN cpi_u_rs_18="&amp;ROUND('dat_file 1980'!$D$73/'dat_file 1980'!D43,3)&amp;";"</f>
        <v>ELSE IF ref_year=1988 THEN cpi_u_rs_18=2.045;</v>
      </c>
      <c r="O43" t="str">
        <f>"ELSE IF ref_year="&amp;'dat_file 1980'!B43&amp;" THEN cpi_u_rs_adj_18="&amp;ROUND('dat_file 1980'!$H$73/'dat_file 1980'!H43,3)&amp;";"</f>
        <v>ELSE IF ref_year=1988 THEN cpi_u_rs_adj_18=1.616;</v>
      </c>
    </row>
    <row r="44" spans="2:15">
      <c r="B44">
        <f>+Sheet3!A44</f>
        <v>1989</v>
      </c>
      <c r="C44">
        <f>ROUND('dat_file 1980'!C44/'dat_file 1980'!C$76,4)</f>
        <v>0.52390000000000003</v>
      </c>
      <c r="D44">
        <f>ROUND('dat_file 1980'!D44/'dat_file 1980'!D$76,4)</f>
        <v>0.47170000000000001</v>
      </c>
      <c r="E44">
        <f>ROUND('dat_file 1980'!E44/'dat_file 1980'!E$76,4)</f>
        <v>0.45760000000000001</v>
      </c>
      <c r="F44">
        <f>'dat_file 1980'!F44</f>
        <v>0.2979</v>
      </c>
      <c r="G44">
        <f>'dat_file 1980'!G44</f>
        <v>0.26939999999999997</v>
      </c>
      <c r="H44">
        <f>ROUND('dat_file 1980'!H44/'dat_file 1980'!H$76,4)</f>
        <v>0.60629999999999995</v>
      </c>
      <c r="I44">
        <f>ROUND('dat_file 1980'!I44/'dat_file 1980'!I$76,4)</f>
        <v>1.6493</v>
      </c>
      <c r="K44" t="str">
        <f>"ELSE IF ref_year="&amp;'dat_file 1980'!B44&amp;" THEN cpi_u_rs_18="&amp;ROUND('dat_file 1980'!$D$73/'dat_file 1980'!D44,3)&amp;";"</f>
        <v>ELSE IF ref_year=1989 THEN cpi_u_rs_18=1.96;</v>
      </c>
      <c r="O44" t="str">
        <f>"ELSE IF ref_year="&amp;'dat_file 1980'!B44&amp;" THEN cpi_u_rs_adj_18="&amp;ROUND('dat_file 1980'!$H$73/'dat_file 1980'!H44,3)&amp;";"</f>
        <v>ELSE IF ref_year=1989 THEN cpi_u_rs_adj_18=1.561;</v>
      </c>
    </row>
    <row r="45" spans="2:15">
      <c r="B45">
        <f>+Sheet3!A45</f>
        <v>1990</v>
      </c>
      <c r="C45">
        <f>ROUND('dat_file 1980'!C45/'dat_file 1980'!C$76,4)</f>
        <v>0.54690000000000005</v>
      </c>
      <c r="D45">
        <f>ROUND('dat_file 1980'!D45/'dat_file 1980'!D$76,4)</f>
        <v>0.495</v>
      </c>
      <c r="E45">
        <f>ROUND('dat_file 1980'!E45/'dat_file 1980'!E$76,4)</f>
        <v>0.48230000000000001</v>
      </c>
      <c r="F45">
        <f>'dat_file 1980'!F45</f>
        <v>0.28389999999999999</v>
      </c>
      <c r="G45">
        <f>'dat_file 1980'!G45</f>
        <v>0.2555</v>
      </c>
      <c r="H45">
        <f>ROUND('dat_file 1980'!H45/'dat_file 1980'!H$76,4)</f>
        <v>0.63139999999999996</v>
      </c>
      <c r="I45">
        <f>ROUND('dat_file 1980'!I45/'dat_file 1980'!I$76,4)</f>
        <v>1.5837000000000001</v>
      </c>
      <c r="K45" t="str">
        <f>"ELSE IF ref_year="&amp;'dat_file 1980'!B45&amp;" THEN cpi_u_rs_18="&amp;ROUND('dat_file 1980'!$D$73/'dat_file 1980'!D45,3)&amp;";"</f>
        <v>ELSE IF ref_year=1990 THEN cpi_u_rs_18=1.868;</v>
      </c>
      <c r="O45" t="str">
        <f>"ELSE IF ref_year="&amp;'dat_file 1980'!B45&amp;" THEN cpi_u_rs_adj_18="&amp;ROUND('dat_file 1980'!$H$73/'dat_file 1980'!H45,3)&amp;";"</f>
        <v>ELSE IF ref_year=1990 THEN cpi_u_rs_adj_18=1.499;</v>
      </c>
    </row>
    <row r="46" spans="2:15">
      <c r="B46">
        <f>+Sheet3!A46</f>
        <v>1991</v>
      </c>
      <c r="C46">
        <f>ROUND('dat_file 1980'!C46/'dat_file 1980'!C$76,4)</f>
        <v>0.56520000000000004</v>
      </c>
      <c r="D46">
        <f>ROUND('dat_file 1980'!D46/'dat_file 1980'!D$76,4)</f>
        <v>0.51300000000000001</v>
      </c>
      <c r="E46">
        <f>ROUND('dat_file 1980'!E46/'dat_file 1980'!E$76,4)</f>
        <v>0.50260000000000005</v>
      </c>
      <c r="F46">
        <f>'dat_file 1980'!F46</f>
        <v>0.27389999999999998</v>
      </c>
      <c r="G46">
        <f>'dat_file 1980'!G46</f>
        <v>0.2452</v>
      </c>
      <c r="H46">
        <f>ROUND('dat_file 1980'!H46/'dat_file 1980'!H$76,4)</f>
        <v>0.64939999999999998</v>
      </c>
      <c r="I46">
        <f>ROUND('dat_file 1980'!I46/'dat_file 1980'!I$76,4)</f>
        <v>1.54</v>
      </c>
      <c r="K46" t="str">
        <f>"ELSE IF ref_year="&amp;'dat_file 1980'!B46&amp;" THEN cpi_u_rs_18="&amp;ROUND('dat_file 1980'!$D$73/'dat_file 1980'!D46,3)&amp;";"</f>
        <v>ELSE IF ref_year=1991 THEN cpi_u_rs_18=1.802;</v>
      </c>
      <c r="O46" t="str">
        <f>"ELSE IF ref_year="&amp;'dat_file 1980'!B46&amp;" THEN cpi_u_rs_adj_18="&amp;ROUND('dat_file 1980'!$H$73/'dat_file 1980'!H46,3)&amp;";"</f>
        <v>ELSE IF ref_year=1991 THEN cpi_u_rs_adj_18=1.458;</v>
      </c>
    </row>
    <row r="47" spans="2:15">
      <c r="B47">
        <f>+Sheet3!A47</f>
        <v>1992</v>
      </c>
      <c r="C47">
        <f>ROUND('dat_file 1980'!C47/'dat_file 1980'!C$76,4)</f>
        <v>0.58020000000000005</v>
      </c>
      <c r="D47">
        <f>ROUND('dat_file 1980'!D47/'dat_file 1980'!D$76,4)</f>
        <v>0.52580000000000005</v>
      </c>
      <c r="E47">
        <f>ROUND('dat_file 1980'!E47/'dat_file 1980'!E$76,4)</f>
        <v>0.51780000000000004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1980'!H$76,4)</f>
        <v>0.6603</v>
      </c>
      <c r="I47">
        <f>ROUND('dat_file 1980'!I47/'dat_file 1980'!I$76,4)</f>
        <v>1.5144</v>
      </c>
      <c r="K47" t="str">
        <f>"ELSE IF ref_year="&amp;'dat_file 1980'!B47&amp;" THEN cpi_u_rs_18="&amp;ROUND('dat_file 1980'!$D$73/'dat_file 1980'!D47,3)&amp;";"</f>
        <v>ELSE IF ref_year=1992 THEN cpi_u_rs_18=1.758;</v>
      </c>
      <c r="O47" t="str">
        <f>"ELSE IF ref_year="&amp;'dat_file 1980'!B47&amp;" THEN cpi_u_rs_adj_18="&amp;ROUND('dat_file 1980'!$H$73/'dat_file 1980'!H47,3)&amp;";"</f>
        <v>ELSE IF ref_year=1992 THEN cpi_u_rs_adj_18=1.434;</v>
      </c>
    </row>
    <row r="48" spans="2:15">
      <c r="B48">
        <f>+Sheet3!A48</f>
        <v>1993</v>
      </c>
      <c r="C48">
        <f>ROUND('dat_file 1980'!C48/'dat_file 1980'!C$76,4)</f>
        <v>0.59470000000000001</v>
      </c>
      <c r="D48">
        <f>ROUND('dat_file 1980'!D48/'dat_file 1980'!D$76,4)</f>
        <v>0.53910000000000002</v>
      </c>
      <c r="E48">
        <f>ROUND('dat_file 1980'!E48/'dat_file 1980'!E$76,4)</f>
        <v>0.5333</v>
      </c>
      <c r="F48">
        <f>'dat_file 1980'!F48</f>
        <v>0.26069999999999999</v>
      </c>
      <c r="G48">
        <f>'dat_file 1980'!G48</f>
        <v>0.2311</v>
      </c>
      <c r="H48">
        <f>ROUND('dat_file 1980'!H48/'dat_file 1980'!H$76,4)</f>
        <v>0.67169999999999996</v>
      </c>
      <c r="I48">
        <f>ROUND('dat_file 1980'!I48/'dat_file 1980'!I$76,4)</f>
        <v>1.4886999999999999</v>
      </c>
      <c r="K48" t="str">
        <f>"ELSE IF ref_year="&amp;'dat_file 1980'!B48&amp;" THEN cpi_u_rs_18="&amp;ROUND('dat_file 1980'!$D$73/'dat_file 1980'!D48,3)&amp;";"</f>
        <v>ELSE IF ref_year=1993 THEN cpi_u_rs_18=1.715;</v>
      </c>
      <c r="O48" t="str">
        <f>"ELSE IF ref_year="&amp;'dat_file 1980'!B48&amp;" THEN cpi_u_rs_adj_18="&amp;ROUND('dat_file 1980'!$H$73/'dat_file 1980'!H48,3)&amp;";"</f>
        <v>ELSE IF ref_year=1993 THEN cpi_u_rs_adj_18=1.409;</v>
      </c>
    </row>
    <row r="49" spans="2:15">
      <c r="B49">
        <f>+Sheet3!A49</f>
        <v>1994</v>
      </c>
      <c r="C49">
        <f>ROUND('dat_file 1980'!C49/'dat_file 1980'!C$76,4)</f>
        <v>0.60709999999999997</v>
      </c>
      <c r="D49">
        <f>ROUND('dat_file 1980'!D49/'dat_file 1980'!D$76,4)</f>
        <v>0.5504</v>
      </c>
      <c r="E49">
        <f>ROUND('dat_file 1980'!E49/'dat_file 1980'!E$76,4)</f>
        <v>0.54690000000000005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1980'!H$76,4)</f>
        <v>0.6804</v>
      </c>
      <c r="I49">
        <f>ROUND('dat_file 1980'!I49/'dat_file 1980'!I$76,4)</f>
        <v>1.4697</v>
      </c>
      <c r="K49" t="str">
        <f>"ELSE IF ref_year="&amp;'dat_file 1980'!B49&amp;" THEN cpi_u_rs_18="&amp;ROUND('dat_file 1980'!$D$73/'dat_file 1980'!D49,3)&amp;";"</f>
        <v>ELSE IF ref_year=1994 THEN cpi_u_rs_18=1.68;</v>
      </c>
      <c r="O49" t="str">
        <f>"ELSE IF ref_year="&amp;'dat_file 1980'!B49&amp;" THEN cpi_u_rs_adj_18="&amp;ROUND('dat_file 1980'!$H$73/'dat_file 1980'!H49,3)&amp;";"</f>
        <v>ELSE IF ref_year=1994 THEN cpi_u_rs_adj_18=1.391;</v>
      </c>
    </row>
    <row r="50" spans="2:15">
      <c r="B50">
        <f>+Sheet3!A50</f>
        <v>1995</v>
      </c>
      <c r="C50">
        <f>ROUND('dat_file 1980'!C50/'dat_file 1980'!C$76,4)</f>
        <v>0.61990000000000001</v>
      </c>
      <c r="D50">
        <f>ROUND('dat_file 1980'!D50/'dat_file 1980'!D$76,4)</f>
        <v>0.56359999999999999</v>
      </c>
      <c r="E50">
        <f>ROUND('dat_file 1980'!E50/'dat_file 1980'!E$76,4)</f>
        <v>0.56240000000000001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1980'!H$76,4)</f>
        <v>0.69140000000000001</v>
      </c>
      <c r="I50">
        <f>ROUND('dat_file 1980'!I50/'dat_file 1980'!I$76,4)</f>
        <v>1.4463999999999999</v>
      </c>
      <c r="K50" t="str">
        <f>"ELSE IF ref_year="&amp;'dat_file 1980'!B50&amp;" THEN cpi_u_rs_18="&amp;ROUND('dat_file 1980'!$D$73/'dat_file 1980'!D50,3)&amp;";"</f>
        <v>ELSE IF ref_year=1995 THEN cpi_u_rs_18=1.64;</v>
      </c>
      <c r="O50" t="str">
        <f>"ELSE IF ref_year="&amp;'dat_file 1980'!B50&amp;" THEN cpi_u_rs_adj_18="&amp;ROUND('dat_file 1980'!$H$73/'dat_file 1980'!H50,3)&amp;";"</f>
        <v>ELSE IF ref_year=1995 THEN cpi_u_rs_adj_18=1.369;</v>
      </c>
    </row>
    <row r="51" spans="2:15">
      <c r="B51">
        <f>+Sheet3!A51</f>
        <v>1996</v>
      </c>
      <c r="C51">
        <f>ROUND('dat_file 1980'!C51/'dat_file 1980'!C$76,4)</f>
        <v>0.6331</v>
      </c>
      <c r="D51">
        <f>ROUND('dat_file 1980'!D51/'dat_file 1980'!D$76,4)</f>
        <v>0.57869999999999999</v>
      </c>
      <c r="E51">
        <f>ROUND('dat_file 1980'!E51/'dat_file 1980'!E$76,4)</f>
        <v>0.57899999999999996</v>
      </c>
      <c r="F51">
        <f>'dat_file 1980'!F51</f>
        <v>0.2429</v>
      </c>
      <c r="G51">
        <f>'dat_file 1980'!G51</f>
        <v>0.21290000000000001</v>
      </c>
      <c r="H51">
        <f>ROUND('dat_file 1980'!H51/'dat_file 1980'!H$76,4)</f>
        <v>0.70430000000000004</v>
      </c>
      <c r="I51">
        <f>ROUND('dat_file 1980'!I51/'dat_file 1980'!I$76,4)</f>
        <v>1.4198999999999999</v>
      </c>
      <c r="K51" t="str">
        <f>"ELSE IF ref_year="&amp;'dat_file 1980'!B51&amp;" THEN cpi_u_rs_18="&amp;ROUND('dat_file 1980'!$D$73/'dat_file 1980'!D51,3)&amp;";"</f>
        <v>ELSE IF ref_year=1996 THEN cpi_u_rs_18=1.598;</v>
      </c>
      <c r="O51" t="str">
        <f>"ELSE IF ref_year="&amp;'dat_file 1980'!B51&amp;" THEN cpi_u_rs_adj_18="&amp;ROUND('dat_file 1980'!$H$73/'dat_file 1980'!H51,3)&amp;";"</f>
        <v>ELSE IF ref_year=1996 THEN cpi_u_rs_adj_18=1.344;</v>
      </c>
    </row>
    <row r="52" spans="2:15">
      <c r="B52">
        <f>+Sheet3!A52</f>
        <v>1997</v>
      </c>
      <c r="C52">
        <f>ROUND('dat_file 1980'!C52/'dat_file 1980'!C$76,4)</f>
        <v>0.64410000000000001</v>
      </c>
      <c r="D52">
        <f>ROUND('dat_file 1980'!D52/'dat_file 1980'!D$76,4)</f>
        <v>0.59119999999999995</v>
      </c>
      <c r="E52">
        <f>ROUND('dat_file 1980'!E52/'dat_file 1980'!E$76,4)</f>
        <v>0.59230000000000005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1980'!H$76,4)</f>
        <v>0.71389999999999998</v>
      </c>
      <c r="I52">
        <f>ROUND('dat_file 1980'!I52/'dat_file 1980'!I$76,4)</f>
        <v>1.4008</v>
      </c>
      <c r="K52" t="str">
        <f>"ELSE IF ref_year="&amp;'dat_file 1980'!B52&amp;" THEN cpi_u_rs_18="&amp;ROUND('dat_file 1980'!$D$73/'dat_file 1980'!D52,3)&amp;";"</f>
        <v>ELSE IF ref_year=1997 THEN cpi_u_rs_18=1.564;</v>
      </c>
      <c r="O52" t="str">
        <f>"ELSE IF ref_year="&amp;'dat_file 1980'!B52&amp;" THEN cpi_u_rs_adj_18="&amp;ROUND('dat_file 1980'!$H$73/'dat_file 1980'!H52,3)&amp;";"</f>
        <v>ELSE IF ref_year=1997 THEN cpi_u_rs_adj_18=1.326;</v>
      </c>
    </row>
    <row r="53" spans="2:15">
      <c r="B53">
        <f>+Sheet3!A53</f>
        <v>1998</v>
      </c>
      <c r="C53">
        <f>ROUND('dat_file 1980'!C53/'dat_file 1980'!C$76,4)</f>
        <v>0.64929999999999999</v>
      </c>
      <c r="D53">
        <f>ROUND('dat_file 1980'!D53/'dat_file 1980'!D$76,4)</f>
        <v>0.59919999999999995</v>
      </c>
      <c r="E53">
        <f>ROUND('dat_file 1980'!E53/'dat_file 1980'!E$76,4)</f>
        <v>0.60160000000000002</v>
      </c>
      <c r="F53">
        <f>'dat_file 1980'!F53</f>
        <v>0.23449999999999999</v>
      </c>
      <c r="G53">
        <f>'dat_file 1980'!G53</f>
        <v>0.2049</v>
      </c>
      <c r="H53">
        <f>ROUND('dat_file 1980'!H53/'dat_file 1980'!H$76,4)</f>
        <v>0.71789999999999998</v>
      </c>
      <c r="I53">
        <f>ROUND('dat_file 1980'!I53/'dat_file 1980'!I$76,4)</f>
        <v>1.393</v>
      </c>
      <c r="K53" t="str">
        <f>"ELSE IF ref_year="&amp;'dat_file 1980'!B53&amp;" THEN cpi_u_rs_18="&amp;ROUND('dat_file 1980'!$D$73/'dat_file 1980'!D53,3)&amp;";"</f>
        <v>ELSE IF ref_year=1998 THEN cpi_u_rs_18=1.543;</v>
      </c>
      <c r="O53" t="str">
        <f>"ELSE IF ref_year="&amp;'dat_file 1980'!B53&amp;" THEN cpi_u_rs_adj_18="&amp;ROUND('dat_file 1980'!$H$73/'dat_file 1980'!H53,3)&amp;";"</f>
        <v>ELSE IF ref_year=1998 THEN cpi_u_rs_adj_18=1.319;</v>
      </c>
    </row>
    <row r="54" spans="2:15">
      <c r="B54">
        <f>+Sheet3!A54</f>
        <v>1999</v>
      </c>
      <c r="C54">
        <f>ROUND('dat_file 1980'!C54/'dat_file 1980'!C$76,4)</f>
        <v>0.65869999999999995</v>
      </c>
      <c r="D54">
        <f>ROUND('dat_file 1980'!D54/'dat_file 1980'!D$76,4)</f>
        <v>0.61170000000000002</v>
      </c>
      <c r="E54">
        <f>ROUND('dat_file 1980'!E54/'dat_file 1980'!E$76,4)</f>
        <v>0.61480000000000001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1980'!H$76,4)</f>
        <v>0.72709999999999997</v>
      </c>
      <c r="I54">
        <f>ROUND('dat_file 1980'!I54/'dat_file 1980'!I$76,4)</f>
        <v>1.3753</v>
      </c>
      <c r="K54" t="str">
        <f>"ELSE IF ref_year="&amp;'dat_file 1980'!B54&amp;" THEN cpi_u_rs_18="&amp;ROUND('dat_file 1980'!$D$73/'dat_file 1980'!D54,3)&amp;";"</f>
        <v>ELSE IF ref_year=1999 THEN cpi_u_rs_18=1.511;</v>
      </c>
      <c r="O54" t="str">
        <f>"ELSE IF ref_year="&amp;'dat_file 1980'!B54&amp;" THEN cpi_u_rs_adj_18="&amp;ROUND('dat_file 1980'!$H$73/'dat_file 1980'!H54,3)&amp;";"</f>
        <v>ELSE IF ref_year=1999 THEN cpi_u_rs_adj_18=1.302;</v>
      </c>
    </row>
    <row r="55" spans="2:15">
      <c r="B55">
        <f>+Sheet3!A55</f>
        <v>2000</v>
      </c>
      <c r="C55">
        <f>ROUND('dat_file 1980'!C55/'dat_file 1980'!C$76,4)</f>
        <v>0.6754</v>
      </c>
      <c r="D55">
        <f>ROUND('dat_file 1980'!D55/'dat_file 1980'!D$76,4)</f>
        <v>0.63249999999999995</v>
      </c>
      <c r="E55">
        <f>ROUND('dat_file 1980'!E55/'dat_file 1980'!E$76,4)</f>
        <v>0.63549999999999995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1980'!H$76,4)</f>
        <v>0.746</v>
      </c>
      <c r="I55">
        <f>ROUND('dat_file 1980'!I55/'dat_file 1980'!I$76,4)</f>
        <v>1.3404</v>
      </c>
      <c r="K55" t="str">
        <f>"ELSE IF ref_year="&amp;'dat_file 1980'!B55&amp;" THEN cpi_u_rs_18="&amp;ROUND('dat_file 1980'!$D$73/'dat_file 1980'!D55,3)&amp;";"</f>
        <v>ELSE IF ref_year=2000 THEN cpi_u_rs_18=1.462;</v>
      </c>
      <c r="O55" t="str">
        <f>"ELSE IF ref_year="&amp;'dat_file 1980'!B55&amp;" THEN cpi_u_rs_adj_18="&amp;ROUND('dat_file 1980'!$H$73/'dat_file 1980'!H55,3)&amp;";"</f>
        <v>ELSE IF ref_year=2000 THEN cpi_u_rs_adj_18=1.269;</v>
      </c>
    </row>
    <row r="56" spans="2:15">
      <c r="B56">
        <f>+Sheet3!A56</f>
        <v>2001</v>
      </c>
      <c r="C56">
        <f>ROUND('dat_file 1980'!C56/'dat_file 1980'!C$76,4)</f>
        <v>0.68899999999999995</v>
      </c>
      <c r="D56">
        <f>ROUND('dat_file 1980'!D56/'dat_file 1980'!D$76,4)</f>
        <v>0.65059999999999996</v>
      </c>
      <c r="E56">
        <f>ROUND('dat_file 1980'!E56/'dat_file 1980'!E$76,4)</f>
        <v>0.65359999999999996</v>
      </c>
      <c r="F56">
        <f>'dat_file 1980'!F56</f>
        <v>0.216</v>
      </c>
      <c r="G56">
        <f>'dat_file 1980'!G56</f>
        <v>0.18859999999999999</v>
      </c>
      <c r="H56">
        <f>ROUND('dat_file 1980'!H56/'dat_file 1980'!H$76,4)</f>
        <v>0.76129999999999998</v>
      </c>
      <c r="I56">
        <f>ROUND('dat_file 1980'!I56/'dat_file 1980'!I$76,4)</f>
        <v>1.3134999999999999</v>
      </c>
      <c r="K56" t="str">
        <f>"ELSE IF ref_year="&amp;'dat_file 1980'!B56&amp;" THEN cpi_u_rs_18="&amp;ROUND('dat_file 1980'!$D$73/'dat_file 1980'!D56,3)&amp;";"</f>
        <v>ELSE IF ref_year=2001 THEN cpi_u_rs_18=1.421;</v>
      </c>
      <c r="O56" t="str">
        <f>"ELSE IF ref_year="&amp;'dat_file 1980'!B56&amp;" THEN cpi_u_rs_adj_18="&amp;ROUND('dat_file 1980'!$H$73/'dat_file 1980'!H56,3)&amp;";"</f>
        <v>ELSE IF ref_year=2001 THEN cpi_u_rs_adj_18=1.243;</v>
      </c>
    </row>
    <row r="57" spans="2:15">
      <c r="B57">
        <f>+Sheet3!A57</f>
        <v>2002</v>
      </c>
      <c r="C57">
        <f>ROUND('dat_file 1980'!C57/'dat_file 1980'!C$76,4)</f>
        <v>0.69799999999999995</v>
      </c>
      <c r="D57">
        <f>ROUND('dat_file 1980'!D57/'dat_file 1980'!D$76,4)</f>
        <v>0.66080000000000005</v>
      </c>
      <c r="E57">
        <f>ROUND('dat_file 1980'!E57/'dat_file 1980'!E$76,4)</f>
        <v>0.66390000000000005</v>
      </c>
      <c r="F57">
        <f>'dat_file 1980'!F57</f>
        <v>0.2127</v>
      </c>
      <c r="G57">
        <f>'dat_file 1980'!G57</f>
        <v>0.1857</v>
      </c>
      <c r="H57">
        <f>ROUND('dat_file 1980'!H57/'dat_file 1980'!H$76,4)</f>
        <v>0.76719999999999999</v>
      </c>
      <c r="I57">
        <f>ROUND('dat_file 1980'!I57/'dat_file 1980'!I$76,4)</f>
        <v>1.3033999999999999</v>
      </c>
      <c r="K57" t="str">
        <f>"ELSE IF ref_year="&amp;'dat_file 1980'!B57&amp;" THEN cpi_u_rs_18="&amp;ROUND('dat_file 1980'!$D$73/'dat_file 1980'!D57,3)&amp;";"</f>
        <v>ELSE IF ref_year=2002 THEN cpi_u_rs_18=1.399;</v>
      </c>
      <c r="O57" t="str">
        <f>"ELSE IF ref_year="&amp;'dat_file 1980'!B57&amp;" THEN cpi_u_rs_adj_18="&amp;ROUND('dat_file 1980'!$H$73/'dat_file 1980'!H57,3)&amp;";"</f>
        <v>ELSE IF ref_year=2002 THEN cpi_u_rs_adj_18=1.234;</v>
      </c>
    </row>
    <row r="58" spans="2:15">
      <c r="B58">
        <f>+Sheet3!A58</f>
        <v>2003</v>
      </c>
      <c r="C58">
        <f>ROUND('dat_file 1980'!C58/'dat_file 1980'!C$76,4)</f>
        <v>0.71260000000000001</v>
      </c>
      <c r="D58">
        <f>ROUND('dat_file 1980'!D58/'dat_file 1980'!D$76,4)</f>
        <v>0.67579999999999996</v>
      </c>
      <c r="E58">
        <f>ROUND('dat_file 1980'!E58/'dat_file 1980'!E$76,4)</f>
        <v>0.67900000000000005</v>
      </c>
      <c r="F58">
        <f>'dat_file 1980'!F58</f>
        <v>0.2079</v>
      </c>
      <c r="G58">
        <f>'dat_file 1980'!G58</f>
        <v>0.18149999999999999</v>
      </c>
      <c r="H58">
        <f>ROUND('dat_file 1980'!H58/'dat_file 1980'!H$76,4)</f>
        <v>0.77859999999999996</v>
      </c>
      <c r="I58">
        <f>ROUND('dat_file 1980'!I58/'dat_file 1980'!I$76,4)</f>
        <v>1.2844</v>
      </c>
      <c r="K58" t="str">
        <f>"ELSE IF ref_year="&amp;'dat_file 1980'!B58&amp;" THEN cpi_u_rs_18="&amp;ROUND('dat_file 1980'!$D$73/'dat_file 1980'!D58,3)&amp;";"</f>
        <v>ELSE IF ref_year=2003 THEN cpi_u_rs_18=1.368;</v>
      </c>
      <c r="O58" t="str">
        <f>"ELSE IF ref_year="&amp;'dat_file 1980'!B58&amp;" THEN cpi_u_rs_adj_18="&amp;ROUND('dat_file 1980'!$H$73/'dat_file 1980'!H58,3)&amp;";"</f>
        <v>ELSE IF ref_year=2003 THEN cpi_u_rs_adj_18=1.216;</v>
      </c>
    </row>
    <row r="59" spans="2:15">
      <c r="B59">
        <f>+Sheet3!A59</f>
        <v>2004</v>
      </c>
      <c r="C59">
        <f>ROUND('dat_file 1980'!C59/'dat_file 1980'!C$76,4)</f>
        <v>0.73029999999999995</v>
      </c>
      <c r="D59">
        <f>ROUND('dat_file 1980'!D59/'dat_file 1980'!D$76,4)</f>
        <v>0.69389999999999996</v>
      </c>
      <c r="E59">
        <f>ROUND('dat_file 1980'!E59/'dat_file 1980'!E$76,4)</f>
        <v>0.69710000000000005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1980'!H$76,4)</f>
        <v>0.79310000000000003</v>
      </c>
      <c r="I59">
        <f>ROUND('dat_file 1980'!I59/'dat_file 1980'!I$76,4)</f>
        <v>1.2607999999999999</v>
      </c>
      <c r="K59" t="str">
        <f>"ELSE IF ref_year="&amp;'dat_file 1980'!B59&amp;" THEN cpi_u_rs_18="&amp;ROUND('dat_file 1980'!$D$73/'dat_file 1980'!D59,3)&amp;";"</f>
        <v>ELSE IF ref_year=2004 THEN cpi_u_rs_18=1.332;</v>
      </c>
      <c r="O59" t="str">
        <f>"ELSE IF ref_year="&amp;'dat_file 1980'!B59&amp;" THEN cpi_u_rs_adj_18="&amp;ROUND('dat_file 1980'!$H$73/'dat_file 1980'!H59,3)&amp;";"</f>
        <v>ELSE IF ref_year=2004 THEN cpi_u_rs_adj_18=1.193;</v>
      </c>
    </row>
    <row r="60" spans="2:15">
      <c r="B60">
        <f>+Sheet3!A60</f>
        <v>2005</v>
      </c>
      <c r="C60">
        <f>ROUND('dat_file 1980'!C60/'dat_file 1980'!C$76,4)</f>
        <v>0.75139999999999996</v>
      </c>
      <c r="D60">
        <f>ROUND('dat_file 1980'!D60/'dat_file 1980'!D$76,4)</f>
        <v>0.71740000000000004</v>
      </c>
      <c r="E60">
        <f>ROUND('dat_file 1980'!E60/'dat_file 1980'!E$76,4)</f>
        <v>0.72070000000000001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1980'!H$76,4)</f>
        <v>0.81369999999999998</v>
      </c>
      <c r="I60">
        <f>ROUND('dat_file 1980'!I60/'dat_file 1980'!I$76,4)</f>
        <v>1.2290000000000001</v>
      </c>
      <c r="K60" t="str">
        <f>"ELSE IF ref_year="&amp;'dat_file 1980'!B60&amp;" THEN cpi_u_rs_18="&amp;ROUND('dat_file 1980'!$D$73/'dat_file 1980'!D60,3)&amp;";"</f>
        <v>ELSE IF ref_year=2005 THEN cpi_u_rs_18=1.289;</v>
      </c>
      <c r="O60" t="str">
        <f>"ELSE IF ref_year="&amp;'dat_file 1980'!B60&amp;" THEN cpi_u_rs_adj_18="&amp;ROUND('dat_file 1980'!$H$73/'dat_file 1980'!H60,3)&amp;";"</f>
        <v>ELSE IF ref_year=2005 THEN cpi_u_rs_adj_18=1.163;</v>
      </c>
    </row>
    <row r="61" spans="2:15">
      <c r="B61">
        <f>+Sheet3!A61</f>
        <v>2006</v>
      </c>
      <c r="C61">
        <f>ROUND('dat_file 1980'!C61/'dat_file 1980'!C$76,4)</f>
        <v>0.77249999999999996</v>
      </c>
      <c r="D61">
        <f>ROUND('dat_file 1980'!D61/'dat_file 1980'!D$76,4)</f>
        <v>0.74070000000000003</v>
      </c>
      <c r="E61">
        <f>ROUND('dat_file 1980'!E61/'dat_file 1980'!E$76,4)</f>
        <v>0.74399999999999999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1980'!H$76,4)</f>
        <v>0.83360000000000001</v>
      </c>
      <c r="I61">
        <f>ROUND('dat_file 1980'!I61/'dat_file 1980'!I$76,4)</f>
        <v>1.1996</v>
      </c>
      <c r="K61" t="str">
        <f>"ELSE IF ref_year="&amp;'dat_file 1980'!B61&amp;" THEN cpi_u_rs_18="&amp;ROUND('dat_file 1980'!$D$73/'dat_file 1980'!D61,3)&amp;";"</f>
        <v>ELSE IF ref_year=2006 THEN cpi_u_rs_18=1.248;</v>
      </c>
      <c r="O61" t="str">
        <f>"ELSE IF ref_year="&amp;'dat_file 1980'!B61&amp;" THEN cpi_u_rs_adj_18="&amp;ROUND('dat_file 1980'!$H$73/'dat_file 1980'!H61,3)&amp;";"</f>
        <v>ELSE IF ref_year=2006 THEN cpi_u_rs_adj_18=1.136;</v>
      </c>
    </row>
    <row r="62" spans="2:15">
      <c r="B62">
        <f>+Sheet3!A62</f>
        <v>2007</v>
      </c>
      <c r="C62">
        <f>ROUND('dat_file 1980'!C62/'dat_file 1980'!C$76,4)</f>
        <v>0.7923</v>
      </c>
      <c r="D62">
        <f>ROUND('dat_file 1980'!D62/'dat_file 1980'!D$76,4)</f>
        <v>0.76180000000000003</v>
      </c>
      <c r="E62">
        <f>ROUND('dat_file 1980'!E62/'dat_file 1980'!E$76,4)</f>
        <v>0.76519999999999999</v>
      </c>
      <c r="F62">
        <f>'dat_file 1980'!F62</f>
        <v>0.1845</v>
      </c>
      <c r="G62">
        <f>'dat_file 1980'!G62</f>
        <v>0.16109999999999999</v>
      </c>
      <c r="H62">
        <f>ROUND('dat_file 1980'!H62/'dat_file 1980'!H$76,4)</f>
        <v>0.85060000000000002</v>
      </c>
      <c r="I62">
        <f>ROUND('dat_file 1980'!I62/'dat_file 1980'!I$76,4)</f>
        <v>1.1756</v>
      </c>
      <c r="K62" t="str">
        <f>"ELSE IF ref_year="&amp;'dat_file 1980'!B62&amp;" THEN cpi_u_rs_18="&amp;ROUND('dat_file 1980'!$D$73/'dat_file 1980'!D62,3)&amp;";"</f>
        <v>ELSE IF ref_year=2007 THEN cpi_u_rs_18=1.214;</v>
      </c>
      <c r="O62" t="str">
        <f>"ELSE IF ref_year="&amp;'dat_file 1980'!B62&amp;" THEN cpi_u_rs_adj_18="&amp;ROUND('dat_file 1980'!$H$73/'dat_file 1980'!H62,3)&amp;";"</f>
        <v>ELSE IF ref_year=2007 THEN cpi_u_rs_adj_18=1.113;</v>
      </c>
    </row>
    <row r="63" spans="2:15">
      <c r="B63">
        <f>+Sheet3!A63</f>
        <v>2008</v>
      </c>
      <c r="C63">
        <f>ROUND('dat_file 1980'!C63/'dat_file 1980'!C$76,4)</f>
        <v>0.81579999999999997</v>
      </c>
      <c r="D63">
        <f>ROUND('dat_file 1980'!D63/'dat_file 1980'!D$76,4)</f>
        <v>0.79110000000000003</v>
      </c>
      <c r="E63">
        <f>ROUND('dat_file 1980'!E63/'dat_file 1980'!E$76,4)</f>
        <v>0.79459999999999997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1980'!H$76,4)</f>
        <v>0.87649999999999995</v>
      </c>
      <c r="I63">
        <f>ROUND('dat_file 1980'!I63/'dat_file 1980'!I$76,4)</f>
        <v>1.1408</v>
      </c>
      <c r="K63" t="str">
        <f>"ELSE IF ref_year="&amp;'dat_file 1980'!B63&amp;" THEN cpi_u_rs_18="&amp;ROUND('dat_file 1980'!$D$73/'dat_file 1980'!D63,3)&amp;";"</f>
        <v>ELSE IF ref_year=2008 THEN cpi_u_rs_18=1.169;</v>
      </c>
      <c r="O63" t="str">
        <f>"ELSE IF ref_year="&amp;'dat_file 1980'!B63&amp;" THEN cpi_u_rs_adj_18="&amp;ROUND('dat_file 1980'!$H$73/'dat_file 1980'!H63,3)&amp;";"</f>
        <v>ELSE IF ref_year=2008 THEN cpi_u_rs_adj_18=1.08;</v>
      </c>
    </row>
    <row r="64" spans="2:15">
      <c r="B64">
        <f>+Sheet3!A64</f>
        <v>2009</v>
      </c>
      <c r="C64">
        <f>ROUND('dat_file 1980'!C64/'dat_file 1980'!C$76,4)</f>
        <v>0.8135</v>
      </c>
      <c r="D64">
        <f>ROUND('dat_file 1980'!D64/'dat_file 1980'!D$76,4)</f>
        <v>0.7883</v>
      </c>
      <c r="E64">
        <f>ROUND('dat_file 1980'!E64/'dat_file 1980'!E$76,4)</f>
        <v>0.79169999999999996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1980'!H$76,4)</f>
        <v>0.86650000000000005</v>
      </c>
      <c r="I64">
        <f>ROUND('dat_file 1980'!I64/'dat_file 1980'!I$76,4)</f>
        <v>1.1540999999999999</v>
      </c>
      <c r="K64" t="str">
        <f>"ELSE IF ref_year="&amp;'dat_file 1980'!B64&amp;" THEN cpi_u_rs_18="&amp;ROUND('dat_file 1980'!$D$73/'dat_file 1980'!D64,3)&amp;";"</f>
        <v>ELSE IF ref_year=2009 THEN cpi_u_rs_18=1.173;</v>
      </c>
      <c r="O64" t="str">
        <f>"ELSE IF ref_year="&amp;'dat_file 1980'!B64&amp;" THEN cpi_u_rs_adj_18="&amp;ROUND('dat_file 1980'!$H$73/'dat_file 1980'!H64,3)&amp;";"</f>
        <v>ELSE IF ref_year=2009 THEN cpi_u_rs_adj_18=1.092;</v>
      </c>
    </row>
    <row r="65" spans="2:15">
      <c r="B65">
        <f>+Sheet3!A65</f>
        <v>2010</v>
      </c>
      <c r="C65">
        <f>ROUND('dat_file 1980'!C65/'dat_file 1980'!C$76,4)</f>
        <v>0.82809999999999995</v>
      </c>
      <c r="D65">
        <f>ROUND('dat_file 1980'!D65/'dat_file 1980'!D$76,4)</f>
        <v>0.80110000000000003</v>
      </c>
      <c r="E65">
        <f>ROUND('dat_file 1980'!E65/'dat_file 1980'!E$76,4)</f>
        <v>0.80469999999999997</v>
      </c>
      <c r="F65">
        <f>'dat_file 1980'!F65</f>
        <v>0.1754</v>
      </c>
      <c r="G65">
        <f>'dat_file 1980'!G65</f>
        <v>0.1532</v>
      </c>
      <c r="H65">
        <f>ROUND('dat_file 1980'!H65/'dat_file 1980'!H$76,4)</f>
        <v>0.87360000000000004</v>
      </c>
      <c r="I65">
        <f>ROUND('dat_file 1980'!I65/'dat_file 1980'!I$76,4)</f>
        <v>1.1447000000000001</v>
      </c>
      <c r="K65" t="str">
        <f>"ELSE IF ref_year="&amp;'dat_file 1980'!B65&amp;" THEN cpi_u_rs_18="&amp;ROUND('dat_file 1980'!$D$73/'dat_file 1980'!D65,3)&amp;";"</f>
        <v>ELSE IF ref_year=2010 THEN cpi_u_rs_18=1.154;</v>
      </c>
      <c r="O65" t="str">
        <f>"ELSE IF ref_year="&amp;'dat_file 1980'!B65&amp;" THEN cpi_u_rs_adj_18="&amp;ROUND('dat_file 1980'!$H$73/'dat_file 1980'!H65,3)&amp;";"</f>
        <v>ELSE IF ref_year=2010 THEN cpi_u_rs_adj_18=1.084;</v>
      </c>
    </row>
    <row r="66" spans="2:15">
      <c r="B66">
        <f>+Sheet3!A66</f>
        <v>2011</v>
      </c>
      <c r="C66">
        <f>ROUND('dat_file 1980'!C66/'dat_file 1980'!C$76,4)</f>
        <v>0.84909999999999997</v>
      </c>
      <c r="D66">
        <f>ROUND('dat_file 1980'!D66/'dat_file 1980'!D$76,4)</f>
        <v>0.82669999999999999</v>
      </c>
      <c r="E66">
        <f>ROUND('dat_file 1980'!E66/'dat_file 1980'!E$76,4)</f>
        <v>0.83009999999999995</v>
      </c>
      <c r="F66">
        <f>'dat_file 1980'!F66</f>
        <v>0.17</v>
      </c>
      <c r="G66">
        <f>'dat_file 1980'!G66</f>
        <v>0.14849999999999999</v>
      </c>
      <c r="H66">
        <f>ROUND('dat_file 1980'!H66/'dat_file 1980'!H$76,4)</f>
        <v>0.89439999999999997</v>
      </c>
      <c r="I66">
        <f>ROUND('dat_file 1980'!I66/'dat_file 1980'!I$76,4)</f>
        <v>1.1180000000000001</v>
      </c>
      <c r="K66" t="str">
        <f>"ELSE IF ref_year="&amp;'dat_file 1980'!B66&amp;" THEN cpi_u_rs_18="&amp;ROUND('dat_file 1980'!$D$73/'dat_file 1980'!D66,3)&amp;";"</f>
        <v>ELSE IF ref_year=2011 THEN cpi_u_rs_18=1.118;</v>
      </c>
      <c r="O66" t="str">
        <f>"ELSE IF ref_year="&amp;'dat_file 1980'!B66&amp;" THEN cpi_u_rs_adj_18="&amp;ROUND('dat_file 1980'!$H$73/'dat_file 1980'!H66,3)&amp;";"</f>
        <v>ELSE IF ref_year=2011 THEN cpi_u_rs_adj_18=1.058;</v>
      </c>
    </row>
    <row r="67" spans="2:15">
      <c r="B67">
        <f>+Sheet3!A67</f>
        <v>2012</v>
      </c>
      <c r="C67">
        <f>ROUND('dat_file 1980'!C67/'dat_file 1980'!C$76,4)</f>
        <v>0.8649</v>
      </c>
      <c r="D67">
        <f>ROUND('dat_file 1980'!D67/'dat_file 1980'!D$76,4)</f>
        <v>0.84399999999999997</v>
      </c>
      <c r="E67">
        <f>ROUND('dat_file 1980'!E67/'dat_file 1980'!E$76,4)</f>
        <v>0.84730000000000005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1980'!H$76,4)</f>
        <v>0.90600000000000003</v>
      </c>
      <c r="I67">
        <f>ROUND('dat_file 1980'!I67/'dat_file 1980'!I$76,4)</f>
        <v>1.1036999999999999</v>
      </c>
      <c r="K67" t="str">
        <f>"ELSE IF ref_year="&amp;'dat_file 1980'!B67&amp;" THEN cpi_u_rs_18="&amp;ROUND('dat_file 1980'!$D$73/'dat_file 1980'!D67,3)&amp;";"</f>
        <v>ELSE IF ref_year=2012 THEN cpi_u_rs_18=1.096;</v>
      </c>
      <c r="O67" t="str">
        <f>"ELSE IF ref_year="&amp;'dat_file 1980'!B67&amp;" THEN cpi_u_rs_adj_18="&amp;ROUND('dat_file 1980'!$H$73/'dat_file 1980'!H67,3)&amp;";"</f>
        <v>ELSE IF ref_year=2012 THEN cpi_u_rs_adj_18=1.045;</v>
      </c>
    </row>
    <row r="68" spans="2:15">
      <c r="B68">
        <f>+Sheet3!A68</f>
        <v>2013</v>
      </c>
      <c r="C68">
        <f>ROUND('dat_file 1980'!C68/'dat_file 1980'!C$76,4)</f>
        <v>0.87660000000000005</v>
      </c>
      <c r="D68">
        <f>ROUND('dat_file 1980'!D68/'dat_file 1980'!D$76,4)</f>
        <v>0.85670000000000002</v>
      </c>
      <c r="E68">
        <f>ROUND('dat_file 1980'!E68/'dat_file 1980'!E$76,4)</f>
        <v>0.85970000000000002</v>
      </c>
      <c r="F68">
        <f>'dat_file 1980'!F68</f>
        <v>0.16400000000000001</v>
      </c>
      <c r="G68">
        <f>'dat_file 1980'!G68</f>
        <v>0.1434</v>
      </c>
      <c r="H68">
        <f>ROUND('dat_file 1980'!H68/'dat_file 1980'!H$76,4)</f>
        <v>0.91249999999999998</v>
      </c>
      <c r="I68">
        <f>ROUND('dat_file 1980'!I68/'dat_file 1980'!I$76,4)</f>
        <v>1.0959000000000001</v>
      </c>
      <c r="K68" t="str">
        <f>"ELSE IF ref_year="&amp;'dat_file 1980'!B68&amp;" THEN cpi_u_rs_18="&amp;ROUND('dat_file 1980'!$D$73/'dat_file 1980'!D68,3)&amp;";"</f>
        <v>ELSE IF ref_year=2013 THEN cpi_u_rs_18=1.079;</v>
      </c>
      <c r="O68" t="str">
        <f>"ELSE IF ref_year="&amp;'dat_file 1980'!B68&amp;" THEN cpi_u_rs_adj_18="&amp;ROUND('dat_file 1980'!$H$73/'dat_file 1980'!H68,3)&amp;";"</f>
        <v>ELSE IF ref_year=2013 THEN cpi_u_rs_adj_18=1.037;</v>
      </c>
    </row>
    <row r="69" spans="2:15">
      <c r="B69">
        <f>+Sheet3!A69</f>
        <v>2014</v>
      </c>
      <c r="C69">
        <f>ROUND('dat_file 1980'!C69/'dat_file 1980'!C$76,4)</f>
        <v>0.88990000000000002</v>
      </c>
      <c r="D69">
        <f>ROUND('dat_file 1980'!D69/'dat_file 1980'!D$76,4)</f>
        <v>0.871</v>
      </c>
      <c r="E69">
        <f>ROUND('dat_file 1980'!E69/'dat_file 1980'!E$76,4)</f>
        <v>0.87370000000000003</v>
      </c>
      <c r="F69">
        <f>'dat_file 1980'!F69</f>
        <v>0.1613</v>
      </c>
      <c r="G69">
        <f>'dat_file 1980'!G69</f>
        <v>0.1411</v>
      </c>
      <c r="H69">
        <f>ROUND('dat_file 1980'!H69/'dat_file 1980'!H$76,4)</f>
        <v>0.9204</v>
      </c>
      <c r="I69">
        <f>ROUND('dat_file 1980'!I69/'dat_file 1980'!I$76,4)</f>
        <v>1.0865</v>
      </c>
      <c r="K69" t="str">
        <f>"ELSE IF ref_year="&amp;'dat_file 1980'!B69&amp;" THEN cpi_u_rs_18="&amp;ROUND('dat_file 1980'!$D$73/'dat_file 1980'!D69,3)&amp;";"</f>
        <v>ELSE IF ref_year=2014 THEN cpi_u_rs_18=1.062;</v>
      </c>
      <c r="O69" t="str">
        <f>"ELSE IF ref_year="&amp;'dat_file 1980'!B69&amp;" THEN cpi_u_rs_adj_18="&amp;ROUND('dat_file 1980'!$H$73/'dat_file 1980'!H69,3)&amp;";"</f>
        <v>ELSE IF ref_year=2014 THEN cpi_u_rs_adj_18=1.028;</v>
      </c>
    </row>
    <row r="70" spans="2:15">
      <c r="B70">
        <f>+Sheet3!A70</f>
        <v>2015</v>
      </c>
      <c r="C70">
        <f>ROUND('dat_file 1980'!C70/'dat_file 1980'!C$76,4)</f>
        <v>0.89180000000000004</v>
      </c>
      <c r="D70">
        <f>ROUND('dat_file 1980'!D70/'dat_file 1980'!D$76,4)</f>
        <v>0.87250000000000005</v>
      </c>
      <c r="E70">
        <f>ROUND('dat_file 1980'!E70/'dat_file 1980'!E$76,4)</f>
        <v>0.87470000000000003</v>
      </c>
      <c r="F70">
        <f>'dat_file 1980'!F70</f>
        <v>0.16109999999999999</v>
      </c>
      <c r="G70">
        <f>'dat_file 1980'!G70</f>
        <v>0.1409</v>
      </c>
      <c r="H70">
        <f>ROUND('dat_file 1980'!H70/'dat_file 1980'!H$76,4)</f>
        <v>0.91459999999999997</v>
      </c>
      <c r="I70">
        <f>ROUND('dat_file 1980'!I70/'dat_file 1980'!I$76,4)</f>
        <v>1.0933999999999999</v>
      </c>
      <c r="K70" t="str">
        <f>"ELSE IF ref_year="&amp;'dat_file 1980'!B70&amp;" THEN cpi_u_rs_18="&amp;ROUND('dat_file 1980'!$D$73/'dat_file 1980'!D70,3)&amp;";"</f>
        <v>ELSE IF ref_year=2015 THEN cpi_u_rs_18=1.06;</v>
      </c>
      <c r="O70" t="str">
        <f>"ELSE IF ref_year="&amp;'dat_file 1980'!B70&amp;" THEN cpi_u_rs_adj_18="&amp;ROUND('dat_file 1980'!$H$73/'dat_file 1980'!H70,3)&amp;";"</f>
        <v>ELSE IF ref_year=2015 THEN cpi_u_rs_adj_18=1.035;</v>
      </c>
    </row>
    <row r="71" spans="2:15">
      <c r="B71">
        <f>+Sheet3!A71</f>
        <v>2016</v>
      </c>
      <c r="C71">
        <f>ROUND('dat_file 1980'!C71/'dat_file 1980'!C$76,4)</f>
        <v>0.90080000000000005</v>
      </c>
      <c r="D71">
        <f>ROUND('dat_file 1980'!D71/'dat_file 1980'!D$76,4)</f>
        <v>0.88380000000000003</v>
      </c>
      <c r="E71">
        <f>ROUND('dat_file 1980'!E71/'dat_file 1980'!E$76,4)</f>
        <v>0.88570000000000004</v>
      </c>
      <c r="F71">
        <f>'dat_file 1980'!F71</f>
        <v>0.159</v>
      </c>
      <c r="G71">
        <f>'dat_file 1980'!G71</f>
        <v>0.13919999999999999</v>
      </c>
      <c r="H71">
        <f>ROUND('dat_file 1980'!H71/'dat_file 1980'!H$76,4)</f>
        <v>0.91910000000000003</v>
      </c>
      <c r="I71">
        <f>ROUND('dat_file 1980'!I71/'dat_file 1980'!I$76,4)</f>
        <v>1.0880000000000001</v>
      </c>
      <c r="K71" t="str">
        <f>"ELSE IF ref_year="&amp;'dat_file 1980'!B71&amp;" THEN cpi_u_rs_18="&amp;ROUND('dat_file 1980'!$D$73/'dat_file 1980'!D71,3)&amp;";"</f>
        <v>ELSE IF ref_year=2016 THEN cpi_u_rs_18=1.046;</v>
      </c>
      <c r="O71" t="str">
        <f>"ELSE IF ref_year="&amp;'dat_file 1980'!B71&amp;" THEN cpi_u_rs_adj_18="&amp;ROUND('dat_file 1980'!$H$73/'dat_file 1980'!H71,3)&amp;";"</f>
        <v>ELSE IF ref_year=2016 THEN cpi_u_rs_adj_18=1.03;</v>
      </c>
    </row>
    <row r="72" spans="2:15">
      <c r="B72">
        <f>+Sheet3!A72</f>
        <v>2017</v>
      </c>
      <c r="C72">
        <f>ROUND('dat_file 1980'!C72/'dat_file 1980'!C$76,4)</f>
        <v>0.9173</v>
      </c>
      <c r="D72">
        <f>ROUND('dat_file 1980'!D72/'dat_file 1980'!D$76,4)</f>
        <v>0.90259999999999996</v>
      </c>
      <c r="E72">
        <f>ROUND('dat_file 1980'!E72/'dat_file 1980'!E$76,4)</f>
        <v>0.90459999999999996</v>
      </c>
      <c r="F72">
        <f>'dat_file 1980'!F72</f>
        <v>0.15570000000000001</v>
      </c>
      <c r="G72">
        <f>'dat_file 1980'!G72</f>
        <v>0.1363</v>
      </c>
      <c r="H72">
        <f>ROUND('dat_file 1980'!H72/'dat_file 1980'!H$76,4)</f>
        <v>0.93130000000000002</v>
      </c>
      <c r="I72">
        <f>ROUND('dat_file 1980'!I72/'dat_file 1980'!I$76,4)</f>
        <v>1.0738000000000001</v>
      </c>
      <c r="K72" t="str">
        <f>"ELSE IF ref_year="&amp;'dat_file 1980'!B72&amp;" THEN cpi_u_rs_18="&amp;ROUND('dat_file 1980'!$D$73/'dat_file 1980'!D72,3)&amp;";"</f>
        <v>ELSE IF ref_year=2017 THEN cpi_u_rs_18=1.024;</v>
      </c>
      <c r="O72" t="str">
        <f>"ELSE IF ref_year="&amp;'dat_file 1980'!B72&amp;" THEN cpi_u_rs_adj_18="&amp;ROUND('dat_file 1980'!$H$73/'dat_file 1980'!H72,3)&amp;";"</f>
        <v>ELSE IF ref_year=2017 THEN cpi_u_rs_adj_18=1.016;</v>
      </c>
    </row>
    <row r="73" spans="2:15">
      <c r="B73">
        <f>+Sheet3!A73</f>
        <v>2018</v>
      </c>
      <c r="C73">
        <f>ROUND('dat_file 1980'!C73/'dat_file 1980'!C$76,4)</f>
        <v>0.93679999999999997</v>
      </c>
      <c r="D73">
        <f>ROUND('dat_file 1980'!D73/'dat_file 1980'!D$76,4)</f>
        <v>0.92459999999999998</v>
      </c>
      <c r="E73">
        <f>ROUND('dat_file 1980'!E73/'dat_file 1980'!E$76,4)</f>
        <v>0.92669999999999997</v>
      </c>
      <c r="F73">
        <f>'dat_file 1980'!F73</f>
        <v>0.152</v>
      </c>
      <c r="G73">
        <f>'dat_file 1980'!G73</f>
        <v>0.13300000000000001</v>
      </c>
      <c r="H73">
        <f>ROUND('dat_file 1980'!H73/'dat_file 1980'!H$76,4)</f>
        <v>0.9466</v>
      </c>
      <c r="I73">
        <f>ROUND('dat_file 1980'!I73/'dat_file 1980'!I$76,4)</f>
        <v>1.0564</v>
      </c>
      <c r="K73" t="str">
        <f>"ELSE IF ref_year="&amp;'dat_file 1980'!B73&amp;" THEN cpi_u_rs_18="&amp;ROUND('dat_file 1980'!$D$73/'dat_file 1980'!D73,3)&amp;";"</f>
        <v>ELSE IF ref_year=2018 THEN cpi_u_rs_18=1;</v>
      </c>
      <c r="O73" t="str">
        <f>"ELSE IF ref_year="&amp;'dat_file 1980'!B73&amp;" THEN cpi_u_rs_adj_18="&amp;ROUND('dat_file 1980'!$H$73/'dat_file 1980'!H73,3)&amp;";"</f>
        <v>ELSE IF ref_year=2018 THEN cpi_u_rs_adj_18=1;</v>
      </c>
    </row>
    <row r="74" spans="2:15">
      <c r="B74">
        <f>+Sheet3!A74</f>
        <v>2019</v>
      </c>
      <c r="C74">
        <f>ROUND('dat_file 1980'!C74/'dat_file 1980'!C$76,4)</f>
        <v>0.95079999999999998</v>
      </c>
      <c r="D74">
        <f>ROUND('dat_file 1980'!D74/'dat_file 1980'!D$76,4)</f>
        <v>0.94140000000000001</v>
      </c>
      <c r="E74">
        <f>ROUND('dat_file 1980'!E74/'dat_file 1980'!E$76,4)</f>
        <v>0.94350000000000001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1980'!H$76,4)</f>
        <v>0.95620000000000005</v>
      </c>
      <c r="I74">
        <f>ROUND('dat_file 1980'!I74/'dat_file 1980'!I$76,4)</f>
        <v>1.0458000000000001</v>
      </c>
    </row>
    <row r="75" spans="2:15">
      <c r="B75">
        <f>+Sheet3!A75</f>
        <v>2020</v>
      </c>
      <c r="C75">
        <f>ROUND('dat_file 1980'!C75/'dat_file 1980'!C$76,4)</f>
        <v>0.96130000000000004</v>
      </c>
      <c r="D75">
        <f>ROUND('dat_file 1980'!D75/'dat_file 1980'!D$76,4)</f>
        <v>0.95389999999999997</v>
      </c>
      <c r="E75">
        <f>ROUND('dat_file 1980'!E75/'dat_file 1980'!E$76,4)</f>
        <v>0.95509999999999995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1980'!H$76,4)</f>
        <v>0.96130000000000004</v>
      </c>
      <c r="I75">
        <f>ROUND('dat_file 1980'!I75/'dat_file 1980'!I$76,4)</f>
        <v>1.0403</v>
      </c>
    </row>
    <row r="76" spans="2:15">
      <c r="B76">
        <f>+Sheet3!A76</f>
        <v>2021</v>
      </c>
      <c r="C76">
        <f>ROUND('dat_file 1980'!C76/'dat_file 1980'!C$76,4)</f>
        <v>1</v>
      </c>
      <c r="D76">
        <f>ROUND('dat_file 1980'!D76/'dat_file 1980'!D$76,4)</f>
        <v>1</v>
      </c>
      <c r="E76">
        <f>ROUND('dat_file 1980'!E76/'dat_file 1980'!E$76,4)</f>
        <v>1</v>
      </c>
      <c r="F76">
        <f>'dat_file 1980'!F76</f>
        <v>0.14050000000000001</v>
      </c>
      <c r="G76">
        <f>'dat_file 1980'!G76</f>
        <v>0.12330000000000001</v>
      </c>
      <c r="H76">
        <f>ROUND('dat_file 1980'!H76/'dat_file 1980'!H$76,4)</f>
        <v>1</v>
      </c>
      <c r="I76">
        <f>ROUND('dat_file 1980'!I76/'dat_file 1980'!I$76,4)</f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6:N69"/>
  <sheetViews>
    <sheetView topLeftCell="A52" workbookViewId="0"/>
  </sheetViews>
  <sheetFormatPr defaultRowHeight="12.75"/>
  <sheetData>
    <row r="6" spans="5:10">
      <c r="F6" t="s">
        <v>45</v>
      </c>
      <c r="G6" t="s">
        <v>51</v>
      </c>
      <c r="I6" t="s">
        <v>36</v>
      </c>
      <c r="J6" t="s">
        <v>51</v>
      </c>
    </row>
    <row r="7" spans="5:10">
      <c r="E7">
        <v>1947</v>
      </c>
      <c r="F7">
        <f>'CPI-U-RS'!D7</f>
        <v>37.5</v>
      </c>
      <c r="I7">
        <v>22.3</v>
      </c>
    </row>
    <row r="8" spans="5:10">
      <c r="E8">
        <v>1948</v>
      </c>
      <c r="F8">
        <f>'CPI-U-RS'!D8</f>
        <v>40.5</v>
      </c>
      <c r="G8">
        <f t="shared" ref="G8:G39" si="0">+F8/F7-1</f>
        <v>8.0000000000000071E-2</v>
      </c>
      <c r="I8">
        <v>24.1</v>
      </c>
      <c r="J8">
        <f t="shared" ref="J8:J39" si="1">+I8/I7-1</f>
        <v>8.0717488789237679E-2</v>
      </c>
    </row>
    <row r="9" spans="5:10">
      <c r="E9">
        <v>1949</v>
      </c>
      <c r="F9">
        <f>'CPI-U-RS'!D9</f>
        <v>40</v>
      </c>
      <c r="G9">
        <f t="shared" si="0"/>
        <v>-1.2345679012345734E-2</v>
      </c>
      <c r="I9">
        <v>23.8</v>
      </c>
      <c r="J9">
        <f t="shared" si="1"/>
        <v>-1.2448132780083054E-2</v>
      </c>
    </row>
    <row r="10" spans="5:10">
      <c r="E10">
        <v>1950</v>
      </c>
      <c r="F10">
        <f>'CPI-U-RS'!D10</f>
        <v>40.5</v>
      </c>
      <c r="G10">
        <f t="shared" si="0"/>
        <v>1.2499999999999956E-2</v>
      </c>
      <c r="I10">
        <v>24.1</v>
      </c>
      <c r="J10">
        <f t="shared" si="1"/>
        <v>1.2605042016806678E-2</v>
      </c>
    </row>
    <row r="11" spans="5:10">
      <c r="E11">
        <v>1951</v>
      </c>
      <c r="F11">
        <f>'CPI-U-RS'!D11</f>
        <v>43.7</v>
      </c>
      <c r="G11">
        <f t="shared" si="0"/>
        <v>7.9012345679012386E-2</v>
      </c>
      <c r="I11">
        <v>26</v>
      </c>
      <c r="J11">
        <f t="shared" si="1"/>
        <v>7.8838174273858863E-2</v>
      </c>
    </row>
    <row r="12" spans="5:10">
      <c r="E12">
        <v>1952</v>
      </c>
      <c r="F12">
        <f>'CPI-U-RS'!D12</f>
        <v>44.5</v>
      </c>
      <c r="G12">
        <f t="shared" si="0"/>
        <v>1.8306636155606348E-2</v>
      </c>
      <c r="I12">
        <v>26.5</v>
      </c>
      <c r="J12">
        <f t="shared" si="1"/>
        <v>1.9230769230769162E-2</v>
      </c>
    </row>
    <row r="13" spans="5:10">
      <c r="E13">
        <v>1953</v>
      </c>
      <c r="F13">
        <f>'CPI-U-RS'!D13</f>
        <v>44.8</v>
      </c>
      <c r="G13">
        <f t="shared" si="0"/>
        <v>6.741573033707704E-3</v>
      </c>
      <c r="I13">
        <v>26.7</v>
      </c>
      <c r="J13">
        <f t="shared" si="1"/>
        <v>7.547169811320753E-3</v>
      </c>
    </row>
    <row r="14" spans="5:10">
      <c r="E14">
        <v>1954</v>
      </c>
      <c r="F14">
        <f>'CPI-U-RS'!D14</f>
        <v>45.2</v>
      </c>
      <c r="G14">
        <f t="shared" si="0"/>
        <v>8.9285714285716189E-3</v>
      </c>
      <c r="I14">
        <v>26.9</v>
      </c>
      <c r="J14">
        <f t="shared" si="1"/>
        <v>7.4906367041198685E-3</v>
      </c>
    </row>
    <row r="15" spans="5:10">
      <c r="E15">
        <v>1955</v>
      </c>
      <c r="F15">
        <f>'CPI-U-RS'!D15</f>
        <v>45</v>
      </c>
      <c r="G15">
        <f t="shared" si="0"/>
        <v>-4.4247787610620648E-3</v>
      </c>
      <c r="I15">
        <v>26.8</v>
      </c>
      <c r="J15">
        <f t="shared" si="1"/>
        <v>-3.7174721189590088E-3</v>
      </c>
    </row>
    <row r="16" spans="5:10">
      <c r="E16">
        <v>1956</v>
      </c>
      <c r="F16">
        <f>'CPI-U-RS'!D16</f>
        <v>45.7</v>
      </c>
      <c r="G16">
        <f t="shared" si="0"/>
        <v>1.5555555555555545E-2</v>
      </c>
      <c r="I16">
        <v>27.2</v>
      </c>
      <c r="J16">
        <f t="shared" si="1"/>
        <v>1.4925373134328401E-2</v>
      </c>
    </row>
    <row r="17" spans="5:12">
      <c r="E17">
        <v>1957</v>
      </c>
      <c r="F17">
        <f>'CPI-U-RS'!D17</f>
        <v>47.2</v>
      </c>
      <c r="G17">
        <f t="shared" si="0"/>
        <v>3.2822757111597323E-2</v>
      </c>
      <c r="I17">
        <v>28.1</v>
      </c>
      <c r="J17">
        <f t="shared" si="1"/>
        <v>3.3088235294117752E-2</v>
      </c>
    </row>
    <row r="18" spans="5:12">
      <c r="E18">
        <v>1958</v>
      </c>
      <c r="F18">
        <f>'CPI-U-RS'!D18</f>
        <v>48.5</v>
      </c>
      <c r="G18">
        <f t="shared" si="0"/>
        <v>2.754237288135597E-2</v>
      </c>
      <c r="I18">
        <v>28.9</v>
      </c>
      <c r="J18">
        <f t="shared" si="1"/>
        <v>2.8469750889679624E-2</v>
      </c>
    </row>
    <row r="19" spans="5:12">
      <c r="E19">
        <v>1959</v>
      </c>
      <c r="F19">
        <f>'CPI-U-RS'!D19</f>
        <v>48.9</v>
      </c>
      <c r="G19">
        <f t="shared" si="0"/>
        <v>8.2474226804123418E-3</v>
      </c>
      <c r="I19">
        <v>29.1</v>
      </c>
      <c r="J19">
        <f t="shared" si="1"/>
        <v>6.9204152249136008E-3</v>
      </c>
    </row>
    <row r="20" spans="5:12">
      <c r="E20">
        <v>1960</v>
      </c>
      <c r="F20">
        <f>'CPI-U-RS'!D20</f>
        <v>49.7</v>
      </c>
      <c r="G20">
        <f t="shared" si="0"/>
        <v>1.6359918200409052E-2</v>
      </c>
      <c r="I20">
        <v>29.6</v>
      </c>
      <c r="J20">
        <f t="shared" si="1"/>
        <v>1.7182130584192379E-2</v>
      </c>
      <c r="L20">
        <f t="shared" ref="L20:L29" si="2">+G20-J20</f>
        <v>-8.2221238378332728E-4</v>
      </c>
    </row>
    <row r="21" spans="5:12">
      <c r="E21">
        <v>1961</v>
      </c>
      <c r="F21">
        <f>'CPI-U-RS'!D21</f>
        <v>50.2</v>
      </c>
      <c r="G21">
        <f t="shared" si="0"/>
        <v>1.0060362173038184E-2</v>
      </c>
      <c r="I21">
        <v>29.9</v>
      </c>
      <c r="J21">
        <f t="shared" si="1"/>
        <v>1.0135135135135087E-2</v>
      </c>
      <c r="L21">
        <f t="shared" si="2"/>
        <v>-7.4772962096902873E-5</v>
      </c>
    </row>
    <row r="22" spans="5:12">
      <c r="E22">
        <v>1962</v>
      </c>
      <c r="F22">
        <f>'CPI-U-RS'!D22</f>
        <v>50.7</v>
      </c>
      <c r="G22">
        <f t="shared" si="0"/>
        <v>9.960159362549792E-3</v>
      </c>
      <c r="I22">
        <v>30.2</v>
      </c>
      <c r="J22">
        <f t="shared" si="1"/>
        <v>1.0033444816053505E-2</v>
      </c>
      <c r="L22">
        <f t="shared" si="2"/>
        <v>-7.3285453503713072E-5</v>
      </c>
    </row>
    <row r="23" spans="5:12">
      <c r="E23">
        <v>1963</v>
      </c>
      <c r="F23">
        <f>'CPI-U-RS'!D23</f>
        <v>51.4</v>
      </c>
      <c r="G23">
        <f t="shared" si="0"/>
        <v>1.3806706114398271E-2</v>
      </c>
      <c r="I23">
        <v>30.6</v>
      </c>
      <c r="J23">
        <f t="shared" si="1"/>
        <v>1.3245033112582849E-2</v>
      </c>
      <c r="L23">
        <f t="shared" si="2"/>
        <v>5.6167300181542146E-4</v>
      </c>
    </row>
    <row r="24" spans="5:12">
      <c r="E24">
        <v>1964</v>
      </c>
      <c r="F24">
        <f>'CPI-U-RS'!D24</f>
        <v>52.1</v>
      </c>
      <c r="G24">
        <f t="shared" si="0"/>
        <v>1.3618677042801508E-2</v>
      </c>
      <c r="I24">
        <v>31</v>
      </c>
      <c r="J24">
        <f t="shared" si="1"/>
        <v>1.3071895424836555E-2</v>
      </c>
      <c r="L24">
        <f t="shared" si="2"/>
        <v>5.4678161796495317E-4</v>
      </c>
    </row>
    <row r="25" spans="5:12">
      <c r="E25">
        <v>1965</v>
      </c>
      <c r="F25">
        <f>'CPI-U-RS'!D25</f>
        <v>52.9</v>
      </c>
      <c r="G25">
        <f t="shared" si="0"/>
        <v>1.5355086372360827E-2</v>
      </c>
      <c r="I25">
        <v>31.5</v>
      </c>
      <c r="J25">
        <f t="shared" si="1"/>
        <v>1.6129032258064502E-2</v>
      </c>
      <c r="L25">
        <f t="shared" si="2"/>
        <v>-7.7394588570367517E-4</v>
      </c>
    </row>
    <row r="26" spans="5:12">
      <c r="E26">
        <v>1966</v>
      </c>
      <c r="F26">
        <f>'CPI-U-RS'!D26</f>
        <v>54.4</v>
      </c>
      <c r="G26">
        <f t="shared" si="0"/>
        <v>2.8355387523629538E-2</v>
      </c>
      <c r="I26">
        <v>32.4</v>
      </c>
      <c r="J26">
        <f t="shared" si="1"/>
        <v>2.857142857142847E-2</v>
      </c>
      <c r="L26">
        <f t="shared" si="2"/>
        <v>-2.1604104779893163E-4</v>
      </c>
    </row>
    <row r="27" spans="5:12">
      <c r="E27">
        <v>1967</v>
      </c>
      <c r="F27">
        <f>'CPI-U-RS'!D27</f>
        <v>56.1</v>
      </c>
      <c r="G27">
        <f t="shared" si="0"/>
        <v>3.125E-2</v>
      </c>
      <c r="I27">
        <v>33.4</v>
      </c>
      <c r="J27">
        <f t="shared" si="1"/>
        <v>3.0864197530864113E-2</v>
      </c>
      <c r="L27">
        <f t="shared" si="2"/>
        <v>3.8580246913588745E-4</v>
      </c>
    </row>
    <row r="28" spans="5:12">
      <c r="E28">
        <v>1968</v>
      </c>
      <c r="F28">
        <f>'CPI-U-RS'!D28</f>
        <v>58.3</v>
      </c>
      <c r="G28">
        <f t="shared" si="0"/>
        <v>3.9215686274509665E-2</v>
      </c>
      <c r="I28">
        <v>34.799999999999997</v>
      </c>
      <c r="J28">
        <f t="shared" si="1"/>
        <v>4.1916167664670656E-2</v>
      </c>
      <c r="L28">
        <f t="shared" si="2"/>
        <v>-2.7004813901609914E-3</v>
      </c>
    </row>
    <row r="29" spans="5:12">
      <c r="E29">
        <v>1969</v>
      </c>
      <c r="F29">
        <f>'CPI-U-RS'!D29</f>
        <v>60.9</v>
      </c>
      <c r="G29">
        <f t="shared" si="0"/>
        <v>4.4596912521440935E-2</v>
      </c>
      <c r="I29">
        <v>36.700000000000003</v>
      </c>
      <c r="J29">
        <f t="shared" si="1"/>
        <v>5.4597701149425415E-2</v>
      </c>
      <c r="L29">
        <f t="shared" si="2"/>
        <v>-1.000078862798448E-2</v>
      </c>
    </row>
    <row r="30" spans="5:12">
      <c r="E30">
        <v>1970</v>
      </c>
      <c r="F30">
        <f>'CPI-U-RS'!D30</f>
        <v>63.9</v>
      </c>
      <c r="G30">
        <f t="shared" si="0"/>
        <v>4.9261083743842304E-2</v>
      </c>
      <c r="H30">
        <f>AVERAGE(G20:G29)</f>
        <v>2.2257889558513776E-2</v>
      </c>
      <c r="I30">
        <v>38.799999999999997</v>
      </c>
      <c r="J30">
        <f t="shared" si="1"/>
        <v>5.7220708446866331E-2</v>
      </c>
      <c r="K30">
        <f>AVERAGE(J20:J29)</f>
        <v>2.3574616624725354E-2</v>
      </c>
      <c r="L30">
        <f>+H30-K30</f>
        <v>-1.3167270662115781E-3</v>
      </c>
    </row>
    <row r="31" spans="5:12">
      <c r="E31">
        <v>1971</v>
      </c>
      <c r="F31">
        <f>'CPI-U-RS'!D31</f>
        <v>66.7</v>
      </c>
      <c r="G31">
        <f t="shared" si="0"/>
        <v>4.3818466353677588E-2</v>
      </c>
      <c r="I31">
        <v>40.5</v>
      </c>
      <c r="J31">
        <f t="shared" si="1"/>
        <v>4.3814432989690788E-2</v>
      </c>
      <c r="L31">
        <f t="shared" ref="L31:L39" si="3">+G31-J31</f>
        <v>4.033363986799543E-6</v>
      </c>
    </row>
    <row r="32" spans="5:12">
      <c r="E32">
        <v>1972</v>
      </c>
      <c r="F32">
        <f>'CPI-U-RS'!D32</f>
        <v>68.7</v>
      </c>
      <c r="G32">
        <f t="shared" si="0"/>
        <v>2.998500749625177E-2</v>
      </c>
      <c r="I32">
        <v>41.8</v>
      </c>
      <c r="J32">
        <f t="shared" si="1"/>
        <v>3.2098765432098775E-2</v>
      </c>
      <c r="L32">
        <f t="shared" si="3"/>
        <v>-2.1137579358470049E-3</v>
      </c>
    </row>
    <row r="33" spans="5:13">
      <c r="E33">
        <v>1973</v>
      </c>
      <c r="F33">
        <f>'CPI-U-RS'!D33</f>
        <v>73</v>
      </c>
      <c r="G33">
        <f t="shared" si="0"/>
        <v>6.2590975254730674E-2</v>
      </c>
      <c r="I33">
        <v>44.4</v>
      </c>
      <c r="J33">
        <f t="shared" si="1"/>
        <v>6.2200956937799035E-2</v>
      </c>
      <c r="L33">
        <f t="shared" si="3"/>
        <v>3.9001831693163957E-4</v>
      </c>
    </row>
    <row r="34" spans="5:13">
      <c r="E34">
        <v>1974</v>
      </c>
      <c r="F34">
        <f>'CPI-U-RS'!D34</f>
        <v>80.3</v>
      </c>
      <c r="G34">
        <f t="shared" si="0"/>
        <v>9.9999999999999867E-2</v>
      </c>
      <c r="I34">
        <v>49.3</v>
      </c>
      <c r="J34">
        <f t="shared" si="1"/>
        <v>0.11036036036036023</v>
      </c>
      <c r="L34">
        <f t="shared" si="3"/>
        <v>-1.0360360360360366E-2</v>
      </c>
    </row>
    <row r="35" spans="5:13">
      <c r="E35">
        <v>1975</v>
      </c>
      <c r="F35">
        <f>'CPI-U-RS'!D35</f>
        <v>86.9</v>
      </c>
      <c r="G35">
        <f t="shared" si="0"/>
        <v>8.2191780821917915E-2</v>
      </c>
      <c r="I35">
        <v>53.8</v>
      </c>
      <c r="J35">
        <f t="shared" si="1"/>
        <v>9.1277890466531453E-2</v>
      </c>
      <c r="L35">
        <f t="shared" si="3"/>
        <v>-9.0861096446135381E-3</v>
      </c>
    </row>
    <row r="36" spans="5:13">
      <c r="E36">
        <v>1976</v>
      </c>
      <c r="F36">
        <f>'CPI-U-RS'!D36</f>
        <v>91.9</v>
      </c>
      <c r="G36">
        <f t="shared" si="0"/>
        <v>5.7537399309551152E-2</v>
      </c>
      <c r="I36">
        <v>56.9</v>
      </c>
      <c r="J36">
        <f t="shared" si="1"/>
        <v>5.762081784386619E-2</v>
      </c>
      <c r="L36">
        <f t="shared" si="3"/>
        <v>-8.3418534315038428E-5</v>
      </c>
    </row>
    <row r="37" spans="5:13">
      <c r="E37">
        <v>1977</v>
      </c>
      <c r="F37">
        <f>'CPI-U-RS'!D37</f>
        <v>97.7</v>
      </c>
      <c r="G37">
        <f t="shared" si="0"/>
        <v>6.3112078346028166E-2</v>
      </c>
      <c r="I37">
        <v>60.6</v>
      </c>
      <c r="J37">
        <f t="shared" si="1"/>
        <v>6.5026362038664409E-2</v>
      </c>
      <c r="L37">
        <f t="shared" si="3"/>
        <v>-1.9142836926362428E-3</v>
      </c>
      <c r="M37">
        <f>AVERAGE(L30:L33)</f>
        <v>-7.5910833028503596E-4</v>
      </c>
    </row>
    <row r="38" spans="5:13">
      <c r="E38">
        <v>1978</v>
      </c>
      <c r="F38">
        <f>'CPI-U-RS'!D38</f>
        <v>104.4</v>
      </c>
      <c r="G38">
        <f t="shared" si="0"/>
        <v>6.8577277379733959E-2</v>
      </c>
      <c r="I38">
        <v>65.2</v>
      </c>
      <c r="J38">
        <f t="shared" si="1"/>
        <v>7.5907590759075827E-2</v>
      </c>
      <c r="L38">
        <f t="shared" si="3"/>
        <v>-7.3303133793418684E-3</v>
      </c>
    </row>
    <row r="39" spans="5:13">
      <c r="E39">
        <v>1979</v>
      </c>
      <c r="F39">
        <f>'CPI-U-RS'!D39</f>
        <v>114.3</v>
      </c>
      <c r="G39">
        <f t="shared" si="0"/>
        <v>9.4827586206896575E-2</v>
      </c>
      <c r="I39">
        <v>72.599999999999994</v>
      </c>
      <c r="J39">
        <f t="shared" si="1"/>
        <v>0.11349693251533721</v>
      </c>
      <c r="L39">
        <f t="shared" si="3"/>
        <v>-1.8669346308440637E-2</v>
      </c>
    </row>
    <row r="40" spans="5:13">
      <c r="E40">
        <v>1980</v>
      </c>
      <c r="F40">
        <f>'CPI-U-RS'!D40</f>
        <v>127.1</v>
      </c>
      <c r="G40">
        <f t="shared" ref="G40:G65" si="4">+F40/F39-1</f>
        <v>0.11198600174978135</v>
      </c>
      <c r="H40">
        <f>AVERAGE(G30:G39)</f>
        <v>6.5190165491262997E-2</v>
      </c>
      <c r="I40">
        <v>82.4</v>
      </c>
      <c r="J40">
        <f t="shared" ref="J40:J65" si="5">+I40/I39-1</f>
        <v>0.13498622589531695</v>
      </c>
      <c r="K40">
        <f>AVERAGE(J30:J39)</f>
        <v>7.0902481779029025E-2</v>
      </c>
      <c r="L40">
        <f>+H40-K40</f>
        <v>-5.7123162877660283E-3</v>
      </c>
    </row>
    <row r="41" spans="5:13">
      <c r="E41">
        <v>1981</v>
      </c>
      <c r="F41">
        <f>'CPI-U-RS'!D41</f>
        <v>139.1</v>
      </c>
      <c r="G41">
        <f t="shared" si="4"/>
        <v>9.4413847364280157E-2</v>
      </c>
      <c r="I41">
        <v>90.9</v>
      </c>
      <c r="J41">
        <f t="shared" si="5"/>
        <v>0.10315533980582514</v>
      </c>
    </row>
    <row r="42" spans="5:13">
      <c r="E42">
        <v>1982</v>
      </c>
      <c r="F42">
        <f>'CPI-U-RS'!D42</f>
        <v>147.5</v>
      </c>
      <c r="G42">
        <f t="shared" si="4"/>
        <v>6.038820992092031E-2</v>
      </c>
      <c r="I42">
        <v>96.5</v>
      </c>
      <c r="J42">
        <f t="shared" si="5"/>
        <v>6.1606160616061612E-2</v>
      </c>
    </row>
    <row r="43" spans="5:13">
      <c r="E43">
        <v>1983</v>
      </c>
      <c r="F43">
        <f>'CPI-U-RS'!D43</f>
        <v>153.80000000000001</v>
      </c>
      <c r="G43">
        <f t="shared" si="4"/>
        <v>4.2711864406779654E-2</v>
      </c>
      <c r="I43">
        <v>99.6</v>
      </c>
      <c r="J43">
        <f t="shared" si="5"/>
        <v>3.2124352331606154E-2</v>
      </c>
    </row>
    <row r="44" spans="5:13">
      <c r="E44">
        <v>1984</v>
      </c>
      <c r="F44">
        <f>'CPI-U-RS'!D44</f>
        <v>160.19999999999999</v>
      </c>
      <c r="G44">
        <f t="shared" si="4"/>
        <v>4.1612483745123496E-2</v>
      </c>
      <c r="I44">
        <v>103.9</v>
      </c>
      <c r="J44">
        <f t="shared" si="5"/>
        <v>4.3172690763052302E-2</v>
      </c>
    </row>
    <row r="45" spans="5:13">
      <c r="E45">
        <v>1985</v>
      </c>
      <c r="F45">
        <f>'CPI-U-RS'!D45</f>
        <v>165.6</v>
      </c>
      <c r="G45">
        <f t="shared" si="4"/>
        <v>3.3707865168539408E-2</v>
      </c>
      <c r="I45">
        <v>107.6</v>
      </c>
      <c r="J45">
        <f t="shared" si="5"/>
        <v>3.5611164581328181E-2</v>
      </c>
    </row>
    <row r="46" spans="5:13">
      <c r="E46">
        <v>1986</v>
      </c>
      <c r="F46">
        <f>'CPI-U-RS'!D46</f>
        <v>168.4</v>
      </c>
      <c r="G46">
        <f t="shared" si="4"/>
        <v>1.6908212560386549E-2</v>
      </c>
      <c r="I46">
        <v>109.6</v>
      </c>
      <c r="J46">
        <f t="shared" si="5"/>
        <v>1.8587360594795488E-2</v>
      </c>
    </row>
    <row r="47" spans="5:13">
      <c r="E47">
        <v>1987</v>
      </c>
      <c r="F47">
        <f>'CPI-U-RS'!D47</f>
        <v>174.1</v>
      </c>
      <c r="G47">
        <f t="shared" si="4"/>
        <v>3.3847980997624649E-2</v>
      </c>
      <c r="I47">
        <v>113.6</v>
      </c>
      <c r="J47">
        <f t="shared" si="5"/>
        <v>3.649635036496357E-2</v>
      </c>
    </row>
    <row r="48" spans="5:13">
      <c r="E48">
        <v>1988</v>
      </c>
      <c r="F48">
        <f>'CPI-U-RS'!D48</f>
        <v>180.5</v>
      </c>
      <c r="G48">
        <f t="shared" si="4"/>
        <v>3.6760482481332568E-2</v>
      </c>
      <c r="I48">
        <v>118.3</v>
      </c>
      <c r="J48">
        <f t="shared" si="5"/>
        <v>4.1373239436619746E-2</v>
      </c>
    </row>
    <row r="49" spans="5:14">
      <c r="E49">
        <v>1989</v>
      </c>
      <c r="F49">
        <f>'CPI-U-RS'!D49</f>
        <v>188.3</v>
      </c>
      <c r="G49">
        <f t="shared" si="4"/>
        <v>4.3213296398892043E-2</v>
      </c>
      <c r="I49">
        <v>124</v>
      </c>
      <c r="J49">
        <f t="shared" si="5"/>
        <v>4.8182586644125225E-2</v>
      </c>
    </row>
    <row r="50" spans="5:14">
      <c r="E50">
        <v>1990</v>
      </c>
      <c r="F50">
        <f>'CPI-U-RS'!D50</f>
        <v>197.6</v>
      </c>
      <c r="G50">
        <f t="shared" si="4"/>
        <v>4.9389272437599496E-2</v>
      </c>
      <c r="H50">
        <f>AVERAGE(G40:G49)</f>
        <v>5.1555024479366017E-2</v>
      </c>
      <c r="I50">
        <v>130.69999999999999</v>
      </c>
      <c r="J50">
        <f t="shared" si="5"/>
        <v>5.4032258064516059E-2</v>
      </c>
      <c r="K50">
        <f>AVERAGE(J40:J49)</f>
        <v>5.5529547103369437E-2</v>
      </c>
      <c r="L50">
        <f>+H50-K50</f>
        <v>-3.9745226240034195E-3</v>
      </c>
    </row>
    <row r="51" spans="5:14">
      <c r="E51">
        <v>1991</v>
      </c>
      <c r="F51">
        <f>'CPI-U-RS'!D51</f>
        <v>204.8</v>
      </c>
      <c r="G51">
        <f t="shared" si="4"/>
        <v>3.6437246963562764E-2</v>
      </c>
      <c r="I51">
        <v>136.19999999999999</v>
      </c>
      <c r="J51">
        <f t="shared" si="5"/>
        <v>4.2081101759755102E-2</v>
      </c>
    </row>
    <row r="52" spans="5:14">
      <c r="E52">
        <v>1992</v>
      </c>
      <c r="F52">
        <f>'CPI-U-RS'!D52</f>
        <v>209.9</v>
      </c>
      <c r="G52">
        <f t="shared" si="4"/>
        <v>2.490234375E-2</v>
      </c>
      <c r="I52">
        <v>140.30000000000001</v>
      </c>
      <c r="J52">
        <f t="shared" si="5"/>
        <v>3.0102790014684411E-2</v>
      </c>
    </row>
    <row r="53" spans="5:14">
      <c r="E53">
        <v>1993</v>
      </c>
      <c r="F53">
        <f>'CPI-U-RS'!D53</f>
        <v>215.2</v>
      </c>
      <c r="G53">
        <f t="shared" si="4"/>
        <v>2.5250119104335278E-2</v>
      </c>
      <c r="I53">
        <v>144.5</v>
      </c>
      <c r="J53">
        <f t="shared" si="5"/>
        <v>2.9935851746258013E-2</v>
      </c>
    </row>
    <row r="54" spans="5:14">
      <c r="E54">
        <v>1994</v>
      </c>
      <c r="F54">
        <f>'CPI-U-RS'!D54</f>
        <v>219.7</v>
      </c>
      <c r="G54">
        <f t="shared" si="4"/>
        <v>2.091078066914509E-2</v>
      </c>
      <c r="I54">
        <v>148.19999999999999</v>
      </c>
      <c r="J54">
        <f t="shared" si="5"/>
        <v>2.5605536332179879E-2</v>
      </c>
    </row>
    <row r="55" spans="5:14">
      <c r="E55">
        <v>1995</v>
      </c>
      <c r="F55">
        <f>'CPI-U-RS'!D55</f>
        <v>225</v>
      </c>
      <c r="G55">
        <f t="shared" si="4"/>
        <v>2.4123805188893899E-2</v>
      </c>
      <c r="I55">
        <v>152.4</v>
      </c>
      <c r="J55">
        <f t="shared" si="5"/>
        <v>2.8340080971660075E-2</v>
      </c>
    </row>
    <row r="56" spans="5:14">
      <c r="E56">
        <v>1996</v>
      </c>
      <c r="F56">
        <f>'CPI-U-RS'!D56</f>
        <v>231</v>
      </c>
      <c r="G56">
        <f t="shared" si="4"/>
        <v>2.6666666666666616E-2</v>
      </c>
      <c r="I56">
        <v>156.9</v>
      </c>
      <c r="J56">
        <f t="shared" si="5"/>
        <v>2.9527559055118058E-2</v>
      </c>
    </row>
    <row r="57" spans="5:14">
      <c r="E57">
        <v>1997</v>
      </c>
      <c r="F57">
        <f>'CPI-U-RS'!D57</f>
        <v>236</v>
      </c>
      <c r="G57">
        <f t="shared" si="4"/>
        <v>2.1645021645021689E-2</v>
      </c>
      <c r="I57">
        <v>160.5</v>
      </c>
      <c r="J57">
        <f t="shared" si="5"/>
        <v>2.2944550669216079E-2</v>
      </c>
      <c r="N57">
        <f t="shared" ref="N57:N65" si="6">+G57-J57</f>
        <v>-1.2995290241943902E-3</v>
      </c>
    </row>
    <row r="58" spans="5:14">
      <c r="E58">
        <v>1998</v>
      </c>
      <c r="F58">
        <f>'CPI-U-RS'!D58</f>
        <v>239.2</v>
      </c>
      <c r="G58">
        <f t="shared" si="4"/>
        <v>1.3559322033898313E-2</v>
      </c>
      <c r="I58">
        <v>163</v>
      </c>
      <c r="J58">
        <f t="shared" si="5"/>
        <v>1.5576323987538832E-2</v>
      </c>
      <c r="N58">
        <f t="shared" si="6"/>
        <v>-2.0170019536405182E-3</v>
      </c>
    </row>
    <row r="59" spans="5:14">
      <c r="E59">
        <v>1999</v>
      </c>
      <c r="F59">
        <f>'CPI-U-RS'!D59</f>
        <v>244.2</v>
      </c>
      <c r="G59">
        <f t="shared" si="4"/>
        <v>2.0903010033444858E-2</v>
      </c>
      <c r="I59">
        <v>166.6</v>
      </c>
      <c r="J59">
        <f t="shared" si="5"/>
        <v>2.208588957055202E-2</v>
      </c>
      <c r="N59">
        <f t="shared" si="6"/>
        <v>-1.1828795371071621E-3</v>
      </c>
    </row>
    <row r="60" spans="5:14">
      <c r="E60">
        <v>2000</v>
      </c>
      <c r="F60">
        <f>'CPI-U-RS'!D60</f>
        <v>252.5</v>
      </c>
      <c r="G60">
        <f t="shared" si="4"/>
        <v>3.3988533988533964E-2</v>
      </c>
      <c r="H60">
        <f>AVERAGE(G50:G59)</f>
        <v>2.6378758849256799E-2</v>
      </c>
      <c r="I60">
        <v>172.2</v>
      </c>
      <c r="J60">
        <f t="shared" si="5"/>
        <v>3.3613445378151141E-2</v>
      </c>
      <c r="K60">
        <f>AVERAGE(J50:J59)</f>
        <v>3.0023194217147851E-2</v>
      </c>
      <c r="L60">
        <f>+H60-K60</f>
        <v>-3.6444353678910524E-3</v>
      </c>
      <c r="N60">
        <f t="shared" si="6"/>
        <v>3.7508861038282326E-4</v>
      </c>
    </row>
    <row r="61" spans="5:14">
      <c r="E61">
        <v>2001</v>
      </c>
      <c r="F61">
        <f>'CPI-U-RS'!D61</f>
        <v>259.7</v>
      </c>
      <c r="G61">
        <f t="shared" si="4"/>
        <v>2.851485148514854E-2</v>
      </c>
      <c r="I61">
        <v>177.1</v>
      </c>
      <c r="J61">
        <f t="shared" si="5"/>
        <v>2.8455284552845628E-2</v>
      </c>
      <c r="N61">
        <f t="shared" si="6"/>
        <v>5.9566932302912434E-5</v>
      </c>
    </row>
    <row r="62" spans="5:14">
      <c r="E62">
        <v>2002</v>
      </c>
      <c r="F62">
        <f>'CPI-U-RS'!D62</f>
        <v>263.8</v>
      </c>
      <c r="G62">
        <f t="shared" si="4"/>
        <v>1.578744705429358E-2</v>
      </c>
      <c r="I62">
        <v>179.9</v>
      </c>
      <c r="J62">
        <f t="shared" si="5"/>
        <v>1.5810276679842028E-2</v>
      </c>
      <c r="N62">
        <f t="shared" si="6"/>
        <v>-2.2829625548448362E-5</v>
      </c>
    </row>
    <row r="63" spans="5:14">
      <c r="E63">
        <v>2003</v>
      </c>
      <c r="F63">
        <f>'CPI-U-RS'!D63</f>
        <v>269.8</v>
      </c>
      <c r="G63">
        <f t="shared" si="4"/>
        <v>2.2744503411675554E-2</v>
      </c>
      <c r="I63">
        <v>184</v>
      </c>
      <c r="J63">
        <f t="shared" si="5"/>
        <v>2.2790439132851503E-2</v>
      </c>
      <c r="N63">
        <f t="shared" si="6"/>
        <v>-4.593572117594924E-5</v>
      </c>
    </row>
    <row r="64" spans="5:14">
      <c r="E64">
        <v>2004</v>
      </c>
      <c r="F64">
        <f>'CPI-U-RS'!D64</f>
        <v>277</v>
      </c>
      <c r="G64">
        <f t="shared" si="4"/>
        <v>2.6686434395848835E-2</v>
      </c>
      <c r="I64">
        <v>188.9</v>
      </c>
      <c r="J64">
        <f t="shared" si="5"/>
        <v>2.6630434782608736E-2</v>
      </c>
      <c r="N64">
        <f t="shared" si="6"/>
        <v>5.5999613240098611E-5</v>
      </c>
    </row>
    <row r="65" spans="5:14">
      <c r="E65">
        <v>2005</v>
      </c>
      <c r="F65">
        <f>'CPI-U-RS'!D65</f>
        <v>286.39999999999998</v>
      </c>
      <c r="G65">
        <f t="shared" si="4"/>
        <v>3.3935018050541332E-2</v>
      </c>
      <c r="I65">
        <v>195.3</v>
      </c>
      <c r="J65">
        <f t="shared" si="5"/>
        <v>3.3880359978824881E-2</v>
      </c>
      <c r="N65">
        <f t="shared" si="6"/>
        <v>5.4658071716451317E-5</v>
      </c>
    </row>
    <row r="66" spans="5:14">
      <c r="H66">
        <f>AVERAGE(G60:G65)</f>
        <v>2.6942798064340301E-2</v>
      </c>
      <c r="K66">
        <f>AVERAGE(J60:J65)</f>
        <v>2.6863373417520653E-2</v>
      </c>
      <c r="L66">
        <f>+H66-K66</f>
        <v>7.9424646819648004E-5</v>
      </c>
    </row>
    <row r="67" spans="5:14">
      <c r="E67">
        <f>COUNT(E30:E65)</f>
        <v>36</v>
      </c>
      <c r="G67">
        <f>AVERAGE(G20:G65)</f>
        <v>3.9466851568913865E-2</v>
      </c>
      <c r="J67">
        <f>AVERAGE(J20:J65)</f>
        <v>4.264083995104001E-2</v>
      </c>
    </row>
    <row r="68" spans="5:14">
      <c r="E68">
        <f>2005-1960</f>
        <v>45</v>
      </c>
      <c r="H68">
        <f>2005-1960</f>
        <v>45</v>
      </c>
      <c r="J68">
        <f>+G67-J67</f>
        <v>-3.1739883821261458E-3</v>
      </c>
    </row>
    <row r="69" spans="5:14">
      <c r="F69">
        <f>(LN(F65)-LN(F20))/E68</f>
        <v>3.8919655599642389E-2</v>
      </c>
      <c r="I69">
        <f>(LN(I65)-LN(I20))/H68</f>
        <v>4.1928055034502629E-2</v>
      </c>
      <c r="J69">
        <f>+F69-I69</f>
        <v>-3.00839943486024E-3</v>
      </c>
    </row>
  </sheetData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6D64-263A-47FE-8EF5-10E96D653D61}">
  <dimension ref="B1:J75"/>
  <sheetViews>
    <sheetView topLeftCell="A67" workbookViewId="0">
      <selection activeCell="B73" sqref="B73:J75"/>
    </sheetView>
  </sheetViews>
  <sheetFormatPr defaultColWidth="9.28515625" defaultRowHeight="12.75"/>
  <sheetData>
    <row r="1" spans="2:10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s="31" t="s">
        <v>94</v>
      </c>
      <c r="J1" t="s">
        <v>96</v>
      </c>
    </row>
    <row r="2" spans="2:10">
      <c r="B2">
        <f>+Sheet3!A2</f>
        <v>1947</v>
      </c>
      <c r="C2">
        <f>ROUND('dat_file 1980'!C2/'dat_file 1980'!C$49,4)</f>
        <v>0.1779</v>
      </c>
      <c r="D2">
        <f>ROUND('dat_file 1980'!D2/'dat_file 1980'!D$49,4)</f>
        <v>0.17069999999999999</v>
      </c>
      <c r="E2">
        <f>ROUND('dat_file 1980'!E2/'dat_file 1980'!E$49,4)</f>
        <v>0.15049999999999999</v>
      </c>
      <c r="F2">
        <f>'dat_file 1980'!F2</f>
        <v>1.496</v>
      </c>
      <c r="G2">
        <f>'dat_file 1980'!G2</f>
        <v>1.4978</v>
      </c>
      <c r="H2">
        <f>ROUND('dat_file 1980'!H2/'dat_file 1980'!H$49,4)</f>
        <v>0.2681</v>
      </c>
      <c r="I2">
        <f>1/H2</f>
        <v>3.7299515106303618</v>
      </c>
      <c r="J2">
        <f>ROUND('dat_file 1980'!J2/'dat_file 1980'!J$49,4)</f>
        <v>0.25559999999999999</v>
      </c>
    </row>
    <row r="3" spans="2:10">
      <c r="B3">
        <f>+Sheet3!A3</f>
        <v>1948</v>
      </c>
      <c r="C3">
        <f>ROUND('dat_file 1980'!C3/'dat_file 1980'!C$49,4)</f>
        <v>0.188</v>
      </c>
      <c r="D3">
        <f>ROUND('dat_file 1980'!D3/'dat_file 1980'!D$49,4)</f>
        <v>0.18429999999999999</v>
      </c>
      <c r="E3">
        <f>ROUND('dat_file 1980'!E3/'dat_file 1980'!E$49,4)</f>
        <v>0.16259999999999999</v>
      </c>
      <c r="F3">
        <f>'dat_file 1980'!F3</f>
        <v>1.3852</v>
      </c>
      <c r="G3">
        <f>'dat_file 1980'!G3</f>
        <v>1.3858999999999999</v>
      </c>
      <c r="H3">
        <f>ROUND('dat_file 1980'!H3/'dat_file 1980'!H$49,4)</f>
        <v>0.28660000000000002</v>
      </c>
      <c r="I3">
        <f t="shared" ref="I3" si="0">1/H3</f>
        <v>3.4891835310537331</v>
      </c>
      <c r="J3">
        <f>ROUND('dat_file 1980'!J3/'dat_file 1980'!J$49,4)</f>
        <v>0.27289999999999998</v>
      </c>
    </row>
    <row r="4" spans="2:10">
      <c r="B4">
        <f>+Sheet3!A4</f>
        <v>1949</v>
      </c>
      <c r="C4">
        <f>ROUND('dat_file 1980'!C4/'dat_file 1980'!C$49,4)</f>
        <v>0.18659999999999999</v>
      </c>
      <c r="D4">
        <f>ROUND('dat_file 1980'!D4/'dat_file 1980'!D$49,4)</f>
        <v>0.18210000000000001</v>
      </c>
      <c r="E4">
        <f>ROUND('dat_file 1980'!E4/'dat_file 1980'!E$49,4)</f>
        <v>0.16059999999999999</v>
      </c>
      <c r="F4">
        <f>'dat_file 1980'!F4</f>
        <v>1.4025000000000001</v>
      </c>
      <c r="G4">
        <f>'dat_file 1980'!G4</f>
        <v>1.4034</v>
      </c>
      <c r="H4">
        <f>ROUND('dat_file 1980'!H4/'dat_file 1980'!H$49,4)</f>
        <v>0.27989999999999998</v>
      </c>
      <c r="I4">
        <f t="shared" ref="I4" si="1">1/H4</f>
        <v>3.5727045373347628</v>
      </c>
      <c r="J4">
        <f>ROUND('dat_file 1980'!J4/'dat_file 1980'!J$49,4)</f>
        <v>0.26669999999999999</v>
      </c>
    </row>
    <row r="5" spans="2:10">
      <c r="B5">
        <f>+Sheet3!A5</f>
        <v>1950</v>
      </c>
      <c r="C5">
        <f>ROUND('dat_file 1980'!C5/'dat_file 1980'!C$49,4)</f>
        <v>0.1888</v>
      </c>
      <c r="D5">
        <f>ROUND('dat_file 1980'!D5/'dat_file 1980'!D$49,4)</f>
        <v>0.18429999999999999</v>
      </c>
      <c r="E5">
        <f>ROUND('dat_file 1980'!E5/'dat_file 1980'!E$49,4)</f>
        <v>0.16259999999999999</v>
      </c>
      <c r="F5">
        <f>'dat_file 1980'!F5</f>
        <v>1.3852</v>
      </c>
      <c r="G5">
        <f>'dat_file 1980'!G5</f>
        <v>1.3858999999999999</v>
      </c>
      <c r="H5">
        <f>ROUND('dat_file 1980'!H5/'dat_file 1980'!H$49,4)</f>
        <v>0.28039999999999998</v>
      </c>
      <c r="I5">
        <f t="shared" ref="I5" si="2">1/H5</f>
        <v>3.566333808844508</v>
      </c>
      <c r="J5">
        <f>ROUND('dat_file 1980'!J5/'dat_file 1980'!J$49,4)</f>
        <v>0.26669999999999999</v>
      </c>
    </row>
    <row r="6" spans="2:10">
      <c r="B6">
        <f>+Sheet3!A6</f>
        <v>1951</v>
      </c>
      <c r="C6">
        <f>ROUND('dat_file 1980'!C6/'dat_file 1980'!C$49,4)</f>
        <v>0.2016</v>
      </c>
      <c r="D6">
        <f>ROUND('dat_file 1980'!D6/'dat_file 1980'!D$49,4)</f>
        <v>0.19889999999999999</v>
      </c>
      <c r="E6">
        <f>ROUND('dat_file 1980'!E6/'dat_file 1980'!E$49,4)</f>
        <v>0.1754</v>
      </c>
      <c r="F6">
        <f>'dat_file 1980'!F6</f>
        <v>1.2838000000000001</v>
      </c>
      <c r="G6">
        <f>'dat_file 1980'!G6</f>
        <v>1.2846</v>
      </c>
      <c r="H6">
        <f>ROUND('dat_file 1980'!H6/'dat_file 1980'!H$49,4)</f>
        <v>0.2994</v>
      </c>
      <c r="I6">
        <f t="shared" ref="I6" si="3">1/H6</f>
        <v>3.3400133600534403</v>
      </c>
      <c r="J6">
        <f>ROUND('dat_file 1980'!J6/'dat_file 1980'!J$49,4)</f>
        <v>0.2853</v>
      </c>
    </row>
    <row r="7" spans="2:10">
      <c r="B7">
        <f>+Sheet3!A7</f>
        <v>1952</v>
      </c>
      <c r="C7">
        <f>ROUND('dat_file 1980'!C7/'dat_file 1980'!C$49,4)</f>
        <v>0.20580000000000001</v>
      </c>
      <c r="D7">
        <f>ROUND('dat_file 1980'!D7/'dat_file 1980'!D$49,4)</f>
        <v>0.20250000000000001</v>
      </c>
      <c r="E7">
        <f>ROUND('dat_file 1980'!E7/'dat_file 1980'!E$49,4)</f>
        <v>0.17879999999999999</v>
      </c>
      <c r="F7">
        <f>'dat_file 1980'!F7</f>
        <v>1.2606999999999999</v>
      </c>
      <c r="G7">
        <f>'dat_file 1980'!G7</f>
        <v>1.2604</v>
      </c>
      <c r="H7">
        <f>ROUND('dat_file 1980'!H7/'dat_file 1980'!H$49,4)</f>
        <v>0.30159999999999998</v>
      </c>
      <c r="I7">
        <f t="shared" ref="I7" si="4">1/H7</f>
        <v>3.3156498673740056</v>
      </c>
      <c r="J7">
        <f>ROUND('dat_file 1980'!J7/'dat_file 1980'!J$49,4)</f>
        <v>0.28710000000000002</v>
      </c>
    </row>
    <row r="8" spans="2:10">
      <c r="B8">
        <f>+Sheet3!A8</f>
        <v>1953</v>
      </c>
      <c r="C8">
        <f>ROUND('dat_file 1980'!C8/'dat_file 1980'!C$49,4)</f>
        <v>0.20849999999999999</v>
      </c>
      <c r="D8">
        <f>ROUND('dat_file 1980'!D8/'dat_file 1980'!D$49,4)</f>
        <v>0.2039</v>
      </c>
      <c r="E8">
        <f>ROUND('dat_file 1980'!E8/'dat_file 1980'!E$49,4)</f>
        <v>0.1802</v>
      </c>
      <c r="F8">
        <f>'dat_file 1980'!F8</f>
        <v>1.2522</v>
      </c>
      <c r="G8">
        <f>'dat_file 1980'!G8</f>
        <v>1.2508999999999999</v>
      </c>
      <c r="H8">
        <f>ROUND('dat_file 1980'!H8/'dat_file 1980'!H$49,4)</f>
        <v>0.30030000000000001</v>
      </c>
      <c r="I8">
        <f t="shared" ref="I8" si="5">1/H8</f>
        <v>3.33000333000333</v>
      </c>
      <c r="J8">
        <f>ROUND('dat_file 1980'!J8/'dat_file 1980'!J$49,4)</f>
        <v>0.28589999999999999</v>
      </c>
    </row>
    <row r="9" spans="2:10">
      <c r="B9">
        <f>+Sheet3!A9</f>
        <v>1954</v>
      </c>
      <c r="C9">
        <f>ROUND('dat_file 1980'!C9/'dat_file 1980'!C$49,4)</f>
        <v>0.21029999999999999</v>
      </c>
      <c r="D9">
        <f>ROUND('dat_file 1980'!D9/'dat_file 1980'!D$49,4)</f>
        <v>0.20569999999999999</v>
      </c>
      <c r="E9">
        <f>ROUND('dat_file 1980'!E9/'dat_file 1980'!E$49,4)</f>
        <v>0.18149999999999999</v>
      </c>
      <c r="F9">
        <f>'dat_file 1980'!F9</f>
        <v>1.2412000000000001</v>
      </c>
      <c r="G9">
        <f>'dat_file 1980'!G9</f>
        <v>1.2416</v>
      </c>
      <c r="H9">
        <f>ROUND('dat_file 1980'!H9/'dat_file 1980'!H$49,4)</f>
        <v>0.29970000000000002</v>
      </c>
      <c r="I9">
        <f t="shared" ref="I9" si="6">1/H9</f>
        <v>3.3366700033366699</v>
      </c>
      <c r="J9">
        <f>ROUND('dat_file 1980'!J9/'dat_file 1980'!J$49,4)</f>
        <v>0.2853</v>
      </c>
    </row>
    <row r="10" spans="2:10">
      <c r="B10">
        <f>+Sheet3!A10</f>
        <v>1955</v>
      </c>
      <c r="C10">
        <f>ROUND('dat_file 1980'!C10/'dat_file 1980'!C$49,4)</f>
        <v>0.21110000000000001</v>
      </c>
      <c r="D10">
        <f>ROUND('dat_file 1980'!D10/'dat_file 1980'!D$49,4)</f>
        <v>0.20480000000000001</v>
      </c>
      <c r="E10">
        <f>ROUND('dat_file 1980'!E10/'dat_file 1980'!E$49,4)</f>
        <v>0.18079999999999999</v>
      </c>
      <c r="F10">
        <f>'dat_file 1980'!F10</f>
        <v>1.2466999999999999</v>
      </c>
      <c r="G10">
        <f>'dat_file 1980'!G10</f>
        <v>1.2463</v>
      </c>
      <c r="H10">
        <f>ROUND('dat_file 1980'!H10/'dat_file 1980'!H$49,4)</f>
        <v>0.29509999999999997</v>
      </c>
      <c r="I10">
        <f t="shared" ref="I10" si="7">1/H10</f>
        <v>3.3886818027787196</v>
      </c>
      <c r="J10">
        <f>ROUND('dat_file 1980'!J10/'dat_file 1980'!J$49,4)</f>
        <v>0.28089999999999998</v>
      </c>
    </row>
    <row r="11" spans="2:10">
      <c r="B11">
        <f>+Sheet3!A11</f>
        <v>1956</v>
      </c>
      <c r="C11">
        <f>ROUND('dat_file 1980'!C11/'dat_file 1980'!C$49,4)</f>
        <v>0.21529999999999999</v>
      </c>
      <c r="D11">
        <f>ROUND('dat_file 1980'!D11/'dat_file 1980'!D$49,4)</f>
        <v>0.20799999999999999</v>
      </c>
      <c r="E11">
        <f>ROUND('dat_file 1980'!E11/'dat_file 1980'!E$49,4)</f>
        <v>0.1835</v>
      </c>
      <c r="F11">
        <f>'dat_file 1980'!F11</f>
        <v>1.2276</v>
      </c>
      <c r="G11">
        <f>'dat_file 1980'!G11</f>
        <v>1.2279</v>
      </c>
      <c r="H11">
        <f>ROUND('dat_file 1980'!H11/'dat_file 1980'!H$49,4)</f>
        <v>0.2964</v>
      </c>
      <c r="I11">
        <f t="shared" ref="I11" si="8">1/H11</f>
        <v>3.3738191632928474</v>
      </c>
      <c r="J11">
        <f>ROUND('dat_file 1980'!J11/'dat_file 1980'!J$49,4)</f>
        <v>0.28220000000000001</v>
      </c>
    </row>
    <row r="12" spans="2:10">
      <c r="B12">
        <f>+Sheet3!A12</f>
        <v>1957</v>
      </c>
      <c r="C12">
        <f>ROUND('dat_file 1980'!C12/'dat_file 1980'!C$49,4)</f>
        <v>0.2218</v>
      </c>
      <c r="D12">
        <f>ROUND('dat_file 1980'!D12/'dat_file 1980'!D$49,4)</f>
        <v>0.21490000000000001</v>
      </c>
      <c r="E12">
        <f>ROUND('dat_file 1980'!E12/'dat_file 1980'!E$49,4)</f>
        <v>0.18959999999999999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1980'!H$49,4)</f>
        <v>0.3029</v>
      </c>
      <c r="I12">
        <f t="shared" ref="I12" si="9">1/H12</f>
        <v>3.301419610432486</v>
      </c>
      <c r="J12">
        <f>ROUND('dat_file 1980'!J12/'dat_file 1980'!J$49,4)</f>
        <v>0.28839999999999999</v>
      </c>
    </row>
    <row r="13" spans="2:10">
      <c r="B13">
        <f>+Sheet3!A13</f>
        <v>1958</v>
      </c>
      <c r="C13">
        <f>ROUND('dat_file 1980'!C13/'dat_file 1980'!C$49,4)</f>
        <v>0.22700000000000001</v>
      </c>
      <c r="D13">
        <f>ROUND('dat_file 1980'!D13/'dat_file 1980'!D$49,4)</f>
        <v>0.2208</v>
      </c>
      <c r="E13">
        <f>ROUND('dat_file 1980'!E13/'dat_file 1980'!E$49,4)</f>
        <v>0.19500000000000001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1980'!H$49,4)</f>
        <v>0.30790000000000001</v>
      </c>
      <c r="I13">
        <f t="shared" ref="I13" si="10">1/H13</f>
        <v>3.2478077297823966</v>
      </c>
      <c r="J13">
        <f>ROUND('dat_file 1980'!J13/'dat_file 1980'!J$49,4)</f>
        <v>0.29330000000000001</v>
      </c>
    </row>
    <row r="14" spans="2:10">
      <c r="B14">
        <f>+Sheet3!A14</f>
        <v>1959</v>
      </c>
      <c r="C14">
        <f>ROUND('dat_file 1980'!C14/'dat_file 1980'!C$49,4)</f>
        <v>0.23039999999999999</v>
      </c>
      <c r="D14">
        <f>ROUND('dat_file 1980'!D14/'dat_file 1980'!D$49,4)</f>
        <v>0.22259999999999999</v>
      </c>
      <c r="E14">
        <f>ROUND('dat_file 1980'!E14/'dat_file 1980'!E$49,4)</f>
        <v>0.19639999999999999</v>
      </c>
      <c r="F14">
        <f>'dat_file 1980'!F14</f>
        <v>1.1472</v>
      </c>
      <c r="G14">
        <f>'dat_file 1980'!G14</f>
        <v>1.1477999999999999</v>
      </c>
      <c r="H14">
        <f>ROUND('dat_file 1980'!H14/'dat_file 1980'!H$49,4)</f>
        <v>0.30709999999999998</v>
      </c>
      <c r="I14">
        <f t="shared" ref="I14" si="11">1/H14</f>
        <v>3.2562683165092805</v>
      </c>
      <c r="J14">
        <f>ROUND('dat_file 1980'!J14/'dat_file 1980'!J$49,4)</f>
        <v>0.29210000000000003</v>
      </c>
    </row>
    <row r="15" spans="2:10">
      <c r="B15">
        <f>+Sheet3!A15</f>
        <v>1960</v>
      </c>
      <c r="C15">
        <f>ROUND('dat_file 1980'!C15/'dat_file 1980'!C$49,4)</f>
        <v>0.23419999999999999</v>
      </c>
      <c r="D15">
        <f>ROUND('dat_file 1980'!D15/'dat_file 1980'!D$49,4)</f>
        <v>0.22620000000000001</v>
      </c>
      <c r="E15">
        <f>ROUND('dat_file 1980'!E15/'dat_file 1980'!E$49,4)</f>
        <v>0.19969999999999999</v>
      </c>
      <c r="F15">
        <f>'dat_file 1980'!F15</f>
        <v>1.1288</v>
      </c>
      <c r="G15">
        <f>'dat_file 1980'!G15</f>
        <v>1.1284000000000001</v>
      </c>
      <c r="H15">
        <f>ROUND('dat_file 1980'!H15/'dat_file 1980'!H$49,4)</f>
        <v>0.30869999999999997</v>
      </c>
      <c r="I15">
        <f t="shared" ref="I15" si="12">1/H15</f>
        <v>3.2393909944930357</v>
      </c>
      <c r="J15">
        <f>ROUND('dat_file 1980'!J15/'dat_file 1980'!J$49,4)</f>
        <v>0.29389999999999999</v>
      </c>
    </row>
    <row r="16" spans="2:10">
      <c r="B16">
        <f>+Sheet3!A16</f>
        <v>1961</v>
      </c>
      <c r="C16">
        <f>ROUND('dat_file 1980'!C16/'dat_file 1980'!C$49,4)</f>
        <v>0.23669999999999999</v>
      </c>
      <c r="D16">
        <f>ROUND('dat_file 1980'!D16/'dat_file 1980'!D$49,4)</f>
        <v>0.22850000000000001</v>
      </c>
      <c r="E16">
        <f>ROUND('dat_file 1980'!E16/'dat_file 1980'!E$49,4)</f>
        <v>0.20180000000000001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1980'!H$49,4)</f>
        <v>0.30840000000000001</v>
      </c>
      <c r="I16">
        <f t="shared" ref="I16" si="13">1/H16</f>
        <v>3.2425421530479897</v>
      </c>
      <c r="J16">
        <f>ROUND('dat_file 1980'!J16/'dat_file 1980'!J$49,4)</f>
        <v>0.29389999999999999</v>
      </c>
    </row>
    <row r="17" spans="2:10">
      <c r="B17">
        <f>+Sheet3!A17</f>
        <v>1962</v>
      </c>
      <c r="C17">
        <f>ROUND('dat_file 1980'!C17/'dat_file 1980'!C$49,4)</f>
        <v>0.2394</v>
      </c>
      <c r="D17">
        <f>ROUND('dat_file 1980'!D17/'dat_file 1980'!D$49,4)</f>
        <v>0.23080000000000001</v>
      </c>
      <c r="E17">
        <f>ROUND('dat_file 1980'!E17/'dat_file 1980'!E$49,4)</f>
        <v>0.20380000000000001</v>
      </c>
      <c r="F17">
        <f>'dat_file 1980'!F17</f>
        <v>1.1065</v>
      </c>
      <c r="G17">
        <f>'dat_file 1980'!G17</f>
        <v>1.1060000000000001</v>
      </c>
      <c r="H17">
        <f>ROUND('dat_file 1980'!H17/'dat_file 1980'!H$49,4)</f>
        <v>0.30809999999999998</v>
      </c>
      <c r="I17">
        <f t="shared" ref="I17" si="14">1/H17</f>
        <v>3.2456994482310941</v>
      </c>
      <c r="J17">
        <f>ROUND('dat_file 1980'!J17/'dat_file 1980'!J$49,4)</f>
        <v>0.29330000000000001</v>
      </c>
    </row>
    <row r="18" spans="2:10">
      <c r="B18">
        <f>+Sheet3!A18</f>
        <v>1963</v>
      </c>
      <c r="C18">
        <f>ROUND('dat_file 1980'!C18/'dat_file 1980'!C$49,4)</f>
        <v>0.24229999999999999</v>
      </c>
      <c r="D18">
        <f>ROUND('dat_file 1980'!D18/'dat_file 1980'!D$49,4)</f>
        <v>0.2339</v>
      </c>
      <c r="E18">
        <f>ROUND('dat_file 1980'!E18/'dat_file 1980'!E$49,4)</f>
        <v>0.20649999999999999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1980'!H$49,4)</f>
        <v>0.30890000000000001</v>
      </c>
      <c r="I18">
        <f t="shared" ref="I18" si="15">1/H18</f>
        <v>3.2372936225315634</v>
      </c>
      <c r="J18">
        <f>ROUND('dat_file 1980'!J18/'dat_file 1980'!J$49,4)</f>
        <v>0.29389999999999999</v>
      </c>
    </row>
    <row r="19" spans="2:10">
      <c r="B19">
        <f>+Sheet3!A19</f>
        <v>1964</v>
      </c>
      <c r="C19">
        <f>ROUND('dat_file 1980'!C19/'dat_file 1980'!C$49,4)</f>
        <v>0.24579999999999999</v>
      </c>
      <c r="D19">
        <f>ROUND('dat_file 1980'!D19/'dat_file 1980'!D$49,4)</f>
        <v>0.23710000000000001</v>
      </c>
      <c r="E19">
        <f>ROUND('dat_file 1980'!E19/'dat_file 1980'!E$49,4)</f>
        <v>0.2092</v>
      </c>
      <c r="F19">
        <f>'dat_file 1980'!F19</f>
        <v>1.0768</v>
      </c>
      <c r="G19">
        <f>'dat_file 1980'!G19</f>
        <v>1.0773999999999999</v>
      </c>
      <c r="H19">
        <f>ROUND('dat_file 1980'!H19/'dat_file 1980'!H$49,4)</f>
        <v>0.30980000000000002</v>
      </c>
      <c r="I19">
        <f t="shared" ref="I19" si="16">1/H19</f>
        <v>3.2278889606197545</v>
      </c>
      <c r="J19">
        <f>ROUND('dat_file 1980'!J19/'dat_file 1980'!J$49,4)</f>
        <v>0.29520000000000002</v>
      </c>
    </row>
    <row r="20" spans="2:10">
      <c r="B20">
        <f>+Sheet3!A20</f>
        <v>1965</v>
      </c>
      <c r="C20">
        <f>ROUND('dat_file 1980'!C20/'dat_file 1980'!C$49,4)</f>
        <v>0.24929999999999999</v>
      </c>
      <c r="D20">
        <f>ROUND('dat_file 1980'!D20/'dat_file 1980'!D$49,4)</f>
        <v>0.24079999999999999</v>
      </c>
      <c r="E20">
        <f>ROUND('dat_file 1980'!E20/'dat_file 1980'!E$49,4)</f>
        <v>0.21260000000000001</v>
      </c>
      <c r="F20">
        <f>'dat_file 1980'!F20</f>
        <v>1.0605</v>
      </c>
      <c r="G20">
        <f>'dat_file 1980'!G20</f>
        <v>1.0603</v>
      </c>
      <c r="H20">
        <f>ROUND('dat_file 1980'!H20/'dat_file 1980'!H$49,4)</f>
        <v>0.31109999999999999</v>
      </c>
      <c r="I20">
        <f t="shared" ref="I20" si="17">1/H20</f>
        <v>3.2144005143040824</v>
      </c>
      <c r="J20">
        <f>ROUND('dat_file 1980'!J20/'dat_file 1980'!J$49,4)</f>
        <v>0.2964</v>
      </c>
    </row>
    <row r="21" spans="2:10">
      <c r="B21">
        <f>+Sheet3!A21</f>
        <v>1966</v>
      </c>
      <c r="C21">
        <f>ROUND('dat_file 1980'!C21/'dat_file 1980'!C$49,4)</f>
        <v>0.25559999999999999</v>
      </c>
      <c r="D21">
        <f>ROUND('dat_file 1980'!D21/'dat_file 1980'!D$49,4)</f>
        <v>0.24759999999999999</v>
      </c>
      <c r="E21">
        <f>ROUND('dat_file 1980'!E21/'dat_file 1980'!E$49,4)</f>
        <v>0.21859999999999999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1980'!H$49,4)</f>
        <v>0.31659999999999999</v>
      </c>
      <c r="I21">
        <f t="shared" ref="I21" si="18">1/H21</f>
        <v>3.1585596967782692</v>
      </c>
      <c r="J21">
        <f>ROUND('dat_file 1980'!J21/'dat_file 1980'!J$49,4)</f>
        <v>0.3014</v>
      </c>
    </row>
    <row r="22" spans="2:10">
      <c r="B22">
        <f>+Sheet3!A22</f>
        <v>1967</v>
      </c>
      <c r="C22">
        <f>ROUND('dat_file 1980'!C22/'dat_file 1980'!C$49,4)</f>
        <v>0.2621</v>
      </c>
      <c r="D22">
        <f>ROUND('dat_file 1980'!D22/'dat_file 1980'!D$49,4)</f>
        <v>0.25540000000000002</v>
      </c>
      <c r="E22">
        <f>ROUND('dat_file 1980'!E22/'dat_file 1980'!E$49,4)</f>
        <v>0.22539999999999999</v>
      </c>
      <c r="F22">
        <f>'dat_file 1980'!F22</f>
        <v>1</v>
      </c>
      <c r="G22">
        <f>'dat_file 1980'!G22</f>
        <v>1</v>
      </c>
      <c r="H22">
        <f>ROUND('dat_file 1980'!H22/'dat_file 1980'!H$49,4)</f>
        <v>0.32290000000000002</v>
      </c>
      <c r="I22">
        <f t="shared" ref="I22" si="19">1/H22</f>
        <v>3.0969340353050478</v>
      </c>
      <c r="J22">
        <f>ROUND('dat_file 1980'!J22/'dat_file 1980'!J$49,4)</f>
        <v>0.3075</v>
      </c>
    </row>
    <row r="23" spans="2:10">
      <c r="B23">
        <f>+Sheet3!A23</f>
        <v>1968</v>
      </c>
      <c r="C23">
        <f>ROUND('dat_file 1980'!C23/'dat_file 1980'!C$49,4)</f>
        <v>0.27229999999999999</v>
      </c>
      <c r="D23">
        <f>ROUND('dat_file 1980'!D23/'dat_file 1980'!D$49,4)</f>
        <v>0.26540000000000002</v>
      </c>
      <c r="E23">
        <f>ROUND('dat_file 1980'!E23/'dat_file 1980'!E$49,4)</f>
        <v>0.23480000000000001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1980'!H$49,4)</f>
        <v>0.33200000000000002</v>
      </c>
      <c r="I23">
        <f t="shared" ref="I23" si="20">1/H23</f>
        <v>3.012048192771084</v>
      </c>
      <c r="J23">
        <f>ROUND('dat_file 1980'!J23/'dat_file 1980'!J$49,4)</f>
        <v>0.31619999999999998</v>
      </c>
    </row>
    <row r="24" spans="2:10">
      <c r="B24">
        <f>+Sheet3!A24</f>
        <v>1969</v>
      </c>
      <c r="C24">
        <f>ROUND('dat_file 1980'!C24/'dat_file 1980'!C$49,4)</f>
        <v>0.28460000000000002</v>
      </c>
      <c r="D24">
        <f>ROUND('dat_file 1980'!D24/'dat_file 1980'!D$49,4)</f>
        <v>0.2772</v>
      </c>
      <c r="E24">
        <f>ROUND('dat_file 1980'!E24/'dat_file 1980'!E$49,4)</f>
        <v>0.2477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1980'!H$49,4)</f>
        <v>0.34320000000000001</v>
      </c>
      <c r="I24">
        <f t="shared" ref="I24" si="21">1/H24</f>
        <v>2.9137529137529139</v>
      </c>
      <c r="J24">
        <f>ROUND('dat_file 1980'!J24/'dat_file 1980'!J$49,4)</f>
        <v>0.32669999999999999</v>
      </c>
    </row>
    <row r="25" spans="2:10">
      <c r="B25">
        <f>+Sheet3!A25</f>
        <v>1970</v>
      </c>
      <c r="C25">
        <f>ROUND('dat_file 1980'!C25/'dat_file 1980'!C$49,4)</f>
        <v>0.2979</v>
      </c>
      <c r="D25">
        <f>ROUND('dat_file 1980'!D25/'dat_file 1980'!D$49,4)</f>
        <v>0.29089999999999999</v>
      </c>
      <c r="E25">
        <f>ROUND('dat_file 1980'!E25/'dat_file 1980'!E$49,4)</f>
        <v>0.26179999999999998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1980'!H$49,4)</f>
        <v>0.35630000000000001</v>
      </c>
      <c r="I25">
        <f t="shared" ref="I25" si="22">1/H25</f>
        <v>2.8066236317709796</v>
      </c>
      <c r="J25">
        <f>ROUND('dat_file 1980'!J25/'dat_file 1980'!J$49,4)</f>
        <v>0.33910000000000001</v>
      </c>
    </row>
    <row r="26" spans="2:10">
      <c r="B26">
        <f>+Sheet3!A26</f>
        <v>1971</v>
      </c>
      <c r="C26">
        <f>ROUND('dat_file 1980'!C26/'dat_file 1980'!C$49,4)</f>
        <v>0.3105</v>
      </c>
      <c r="D26">
        <f>ROUND('dat_file 1980'!D26/'dat_file 1980'!D$49,4)</f>
        <v>0.30359999999999998</v>
      </c>
      <c r="E26">
        <f>ROUND('dat_file 1980'!E26/'dat_file 1980'!E$49,4)</f>
        <v>0.27329999999999999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1980'!H$49,4)</f>
        <v>0.36809999999999998</v>
      </c>
      <c r="I26">
        <f t="shared" ref="I26" si="23">1/H26</f>
        <v>2.7166530834012499</v>
      </c>
      <c r="J26">
        <f>ROUND('dat_file 1980'!J26/'dat_file 1980'!J$49,4)</f>
        <v>0.35020000000000001</v>
      </c>
    </row>
    <row r="27" spans="2:10">
      <c r="B27">
        <f>+Sheet3!A27</f>
        <v>1972</v>
      </c>
      <c r="C27">
        <f>ROUND('dat_file 1980'!C27/'dat_file 1980'!C$49,4)</f>
        <v>0.3211</v>
      </c>
      <c r="D27">
        <f>ROUND('dat_file 1980'!D27/'dat_file 1980'!D$49,4)</f>
        <v>0.31269999999999998</v>
      </c>
      <c r="E27">
        <f>ROUND('dat_file 1980'!E27/'dat_file 1980'!E$49,4)</f>
        <v>0.28210000000000002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1980'!H$49,4)</f>
        <v>0.375</v>
      </c>
      <c r="I27">
        <f t="shared" ref="I27" si="24">1/H27</f>
        <v>2.6666666666666665</v>
      </c>
      <c r="J27">
        <f>ROUND('dat_file 1980'!J27/'dat_file 1980'!J$49,4)</f>
        <v>0.35709999999999997</v>
      </c>
    </row>
    <row r="28" spans="2:10">
      <c r="B28">
        <f>+Sheet3!A28</f>
        <v>1973</v>
      </c>
      <c r="C28">
        <f>ROUND('dat_file 1980'!C28/'dat_file 1980'!C$49,4)</f>
        <v>0.33839999999999998</v>
      </c>
      <c r="D28">
        <f>ROUND('dat_file 1980'!D28/'dat_file 1980'!D$49,4)</f>
        <v>0.33229999999999998</v>
      </c>
      <c r="E28">
        <f>ROUND('dat_file 1980'!E28/'dat_file 1980'!E$49,4)</f>
        <v>0.29959999999999998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1980'!H$49,4)</f>
        <v>0.39439999999999997</v>
      </c>
      <c r="I28">
        <f t="shared" ref="I28" si="25">1/H28</f>
        <v>2.5354969574036512</v>
      </c>
      <c r="J28">
        <f>ROUND('dat_file 1980'!J28/'dat_file 1980'!J$49,4)</f>
        <v>0.37559999999999999</v>
      </c>
    </row>
    <row r="29" spans="2:10">
      <c r="B29">
        <f>+Sheet3!A29</f>
        <v>1974</v>
      </c>
      <c r="C29">
        <f>ROUND('dat_file 1980'!C29/'dat_file 1980'!C$49,4)</f>
        <v>0.37369999999999998</v>
      </c>
      <c r="D29">
        <f>ROUND('dat_file 1980'!D29/'dat_file 1980'!D$49,4)</f>
        <v>0.36549999999999999</v>
      </c>
      <c r="E29">
        <f>ROUND('dat_file 1980'!E29/'dat_file 1980'!E$49,4)</f>
        <v>0.3327</v>
      </c>
      <c r="F29">
        <f>'dat_file 1980'!F29</f>
        <v>0.6986</v>
      </c>
      <c r="G29">
        <f>'dat_file 1980'!G29</f>
        <v>0.67749999999999999</v>
      </c>
      <c r="H29">
        <f>ROUND('dat_file 1980'!H29/'dat_file 1980'!H$49,4)</f>
        <v>0.42949999999999999</v>
      </c>
      <c r="I29">
        <f t="shared" ref="I29" si="26">1/H29</f>
        <v>2.3282887077997674</v>
      </c>
      <c r="J29">
        <f>ROUND('dat_file 1980'!J29/'dat_file 1980'!J$49,4)</f>
        <v>0.40899999999999997</v>
      </c>
    </row>
    <row r="30" spans="2:10">
      <c r="B30">
        <f>+Sheet3!A30</f>
        <v>1975</v>
      </c>
      <c r="C30">
        <f>ROUND('dat_file 1980'!C30/'dat_file 1980'!C$49,4)</f>
        <v>0.40479999999999999</v>
      </c>
      <c r="D30">
        <f>ROUND('dat_file 1980'!D30/'dat_file 1980'!D$49,4)</f>
        <v>0.39550000000000002</v>
      </c>
      <c r="E30">
        <f>ROUND('dat_file 1980'!E30/'dat_file 1980'!E$49,4)</f>
        <v>0.36299999999999999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1980'!H$49,4)</f>
        <v>0.46</v>
      </c>
      <c r="I30">
        <f t="shared" ref="I30" si="27">1/H30</f>
        <v>2.1739130434782608</v>
      </c>
      <c r="J30">
        <f>ROUND('dat_file 1980'!J30/'dat_file 1980'!J$49,4)</f>
        <v>0.43809999999999999</v>
      </c>
    </row>
    <row r="31" spans="2:10">
      <c r="B31">
        <f>+Sheet3!A31</f>
        <v>1976</v>
      </c>
      <c r="C31">
        <f>ROUND('dat_file 1980'!C31/'dat_file 1980'!C$49,4)</f>
        <v>0.42699999999999999</v>
      </c>
      <c r="D31">
        <f>ROUND('dat_file 1980'!D31/'dat_file 1980'!D$49,4)</f>
        <v>0.41830000000000001</v>
      </c>
      <c r="E31">
        <f>ROUND('dat_file 1980'!E31/'dat_file 1980'!E$49,4)</f>
        <v>0.38390000000000002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1980'!H$49,4)</f>
        <v>0.48139999999999999</v>
      </c>
      <c r="I31">
        <f t="shared" ref="I31" si="28">1/H31</f>
        <v>2.0772746157041961</v>
      </c>
      <c r="J31">
        <f>ROUND('dat_file 1980'!J31/'dat_file 1980'!J$49,4)</f>
        <v>0.45850000000000002</v>
      </c>
    </row>
    <row r="32" spans="2:10">
      <c r="B32">
        <f>+Sheet3!A32</f>
        <v>1977</v>
      </c>
      <c r="C32">
        <f>ROUND('dat_file 1980'!C32/'dat_file 1980'!C$49,4)</f>
        <v>0.45479999999999998</v>
      </c>
      <c r="D32">
        <f>ROUND('dat_file 1980'!D32/'dat_file 1980'!D$49,4)</f>
        <v>0.44469999999999998</v>
      </c>
      <c r="E32">
        <f>ROUND('dat_file 1980'!E32/'dat_file 1980'!E$49,4)</f>
        <v>0.40889999999999999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1980'!H$49,4)</f>
        <v>0.50649999999999995</v>
      </c>
      <c r="I32">
        <f t="shared" ref="I32" si="29">1/H32</f>
        <v>1.974333662388944</v>
      </c>
      <c r="J32">
        <f>ROUND('dat_file 1980'!J32/'dat_file 1980'!J$49,4)</f>
        <v>0.48209999999999997</v>
      </c>
    </row>
    <row r="33" spans="2:10">
      <c r="B33">
        <f>+Sheet3!A33</f>
        <v>1978</v>
      </c>
      <c r="C33">
        <f>ROUND('dat_file 1980'!C33/'dat_file 1980'!C$49,4)</f>
        <v>0.4864</v>
      </c>
      <c r="D33">
        <f>ROUND('dat_file 1980'!D33/'dat_file 1980'!D$49,4)</f>
        <v>0.47520000000000001</v>
      </c>
      <c r="E33">
        <f>ROUND('dat_file 1980'!E33/'dat_file 1980'!E$49,4)</f>
        <v>0.44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1980'!H$49,4)</f>
        <v>0.53720000000000001</v>
      </c>
      <c r="I33">
        <f t="shared" ref="I33" si="30">1/H33</f>
        <v>1.8615040953090096</v>
      </c>
      <c r="J33">
        <f>ROUND('dat_file 1980'!J33/'dat_file 1980'!J$49,4)</f>
        <v>0.51300000000000001</v>
      </c>
    </row>
    <row r="34" spans="2:10">
      <c r="B34">
        <f>+Sheet3!A34</f>
        <v>1979</v>
      </c>
      <c r="C34">
        <f>ROUND('dat_file 1980'!C34/'dat_file 1980'!C$49,4)</f>
        <v>0.52969999999999995</v>
      </c>
      <c r="D34">
        <f>ROUND('dat_file 1980'!D34/'dat_file 1980'!D$49,4)</f>
        <v>0.5202</v>
      </c>
      <c r="E34">
        <f>ROUND('dat_file 1980'!E34/'dat_file 1980'!E$49,4)</f>
        <v>0.4899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1980'!H$49,4)</f>
        <v>0.58389999999999997</v>
      </c>
      <c r="I34">
        <f t="shared" ref="I34" si="31">1/H34</f>
        <v>1.7126220243192327</v>
      </c>
      <c r="J34">
        <f>ROUND('dat_file 1980'!J34/'dat_file 1980'!J$49,4)</f>
        <v>0.55879999999999996</v>
      </c>
    </row>
    <row r="35" spans="2:10">
      <c r="B35">
        <f>+Sheet3!A35</f>
        <v>1980</v>
      </c>
      <c r="C35">
        <f>ROUND('dat_file 1980'!C35/'dat_file 1980'!C$49,4)</f>
        <v>0.5867</v>
      </c>
      <c r="D35">
        <f>ROUND('dat_file 1980'!D35/'dat_file 1980'!D$49,4)</f>
        <v>0.57850000000000001</v>
      </c>
      <c r="E35">
        <f>ROUND('dat_file 1980'!E35/'dat_file 1980'!E$49,4)</f>
        <v>0.55600000000000005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1980'!H$49,4)</f>
        <v>0.64459999999999995</v>
      </c>
      <c r="I35">
        <f t="shared" ref="I35" si="32">1/H35</f>
        <v>1.5513496742165684</v>
      </c>
      <c r="J35">
        <f>ROUND('dat_file 1980'!J35/'dat_file 1980'!J$49,4)</f>
        <v>0.61880000000000002</v>
      </c>
    </row>
    <row r="36" spans="2:10">
      <c r="B36">
        <f>+Sheet3!A36</f>
        <v>1981</v>
      </c>
      <c r="C36">
        <f>ROUND('dat_file 1980'!C36/'dat_file 1980'!C$49,4)</f>
        <v>0.63919999999999999</v>
      </c>
      <c r="D36">
        <f>ROUND('dat_file 1980'!D36/'dat_file 1980'!D$49,4)</f>
        <v>0.6331</v>
      </c>
      <c r="E36">
        <f>ROUND('dat_file 1980'!E36/'dat_file 1980'!E$49,4)</f>
        <v>0.61339999999999995</v>
      </c>
      <c r="F36">
        <f>'dat_file 1980'!F36</f>
        <v>0.40329999999999999</v>
      </c>
      <c r="G36">
        <f>'dat_file 1980'!G36</f>
        <v>0.3674</v>
      </c>
      <c r="H36">
        <f>ROUND('dat_file 1980'!H36/'dat_file 1980'!H$49,4)</f>
        <v>0.70030000000000003</v>
      </c>
      <c r="I36">
        <f t="shared" ref="I36" si="33">1/H36</f>
        <v>1.4279594459517349</v>
      </c>
      <c r="J36">
        <f>ROUND('dat_file 1980'!J36/'dat_file 1980'!J$49,4)</f>
        <v>0.67390000000000005</v>
      </c>
    </row>
    <row r="37" spans="2:10">
      <c r="B37">
        <f>+Sheet3!A37</f>
        <v>1982</v>
      </c>
      <c r="C37">
        <f>ROUND('dat_file 1980'!C37/'dat_file 1980'!C$49,4)</f>
        <v>0.67469999999999997</v>
      </c>
      <c r="D37">
        <f>ROUND('dat_file 1980'!D37/'dat_file 1980'!D$49,4)</f>
        <v>0.6714</v>
      </c>
      <c r="E37">
        <f>ROUND('dat_file 1980'!E37/'dat_file 1980'!E$49,4)</f>
        <v>0.6512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1980'!H$49,4)</f>
        <v>0.7369</v>
      </c>
      <c r="I37">
        <f t="shared" ref="I37" si="34">1/H37</f>
        <v>1.3570362328674175</v>
      </c>
      <c r="J37">
        <f>ROUND('dat_file 1980'!J37/'dat_file 1980'!J$49,4)</f>
        <v>0.71160000000000001</v>
      </c>
    </row>
    <row r="38" spans="2:10">
      <c r="B38">
        <f>+Sheet3!A38</f>
        <v>1983</v>
      </c>
      <c r="C38">
        <f>ROUND('dat_file 1980'!C38/'dat_file 1980'!C$49,4)</f>
        <v>0.70340000000000003</v>
      </c>
      <c r="D38">
        <f>ROUND('dat_file 1980'!D38/'dat_file 1980'!D$49,4)</f>
        <v>0.7</v>
      </c>
      <c r="E38">
        <f>ROUND('dat_file 1980'!E38/'dat_file 1980'!E$49,4)</f>
        <v>0.67210000000000003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1980'!H$49,4)</f>
        <v>0.76249999999999996</v>
      </c>
      <c r="I38">
        <f t="shared" ref="I38" si="35">1/H38</f>
        <v>1.3114754098360657</v>
      </c>
      <c r="J38">
        <f>ROUND('dat_file 1980'!J38/'dat_file 1980'!J$49,4)</f>
        <v>0.73819999999999997</v>
      </c>
    </row>
    <row r="39" spans="2:10">
      <c r="B39">
        <f>+Sheet3!A39</f>
        <v>1984</v>
      </c>
      <c r="C39">
        <f>ROUND('dat_file 1980'!C39/'dat_file 1980'!C$49,4)</f>
        <v>0.73</v>
      </c>
      <c r="D39">
        <f>ROUND('dat_file 1980'!D39/'dat_file 1980'!D$49,4)</f>
        <v>0.72909999999999997</v>
      </c>
      <c r="E39">
        <f>ROUND('dat_file 1980'!E39/'dat_file 1980'!E$49,4)</f>
        <v>0.70109999999999995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1980'!H$49,4)</f>
        <v>0.78820000000000001</v>
      </c>
      <c r="I39">
        <f t="shared" ref="I39" si="36">1/H39</f>
        <v>1.2687135244861709</v>
      </c>
      <c r="J39">
        <f>ROUND('dat_file 1980'!J39/'dat_file 1980'!J$49,4)</f>
        <v>0.76549999999999996</v>
      </c>
    </row>
    <row r="40" spans="2:10">
      <c r="B40">
        <f>+Sheet3!A40</f>
        <v>1985</v>
      </c>
      <c r="C40">
        <f>ROUND('dat_file 1980'!C40/'dat_file 1980'!C$49,4)</f>
        <v>0.75549999999999995</v>
      </c>
      <c r="D40">
        <f>ROUND('dat_file 1980'!D40/'dat_file 1980'!D$49,4)</f>
        <v>0.75370000000000004</v>
      </c>
      <c r="E40">
        <f>ROUND('dat_file 1980'!E40/'dat_file 1980'!E$49,4)</f>
        <v>0.72599999999999998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1980'!H$49,4)</f>
        <v>0.80840000000000001</v>
      </c>
      <c r="I40">
        <f t="shared" ref="I40" si="37">1/H40</f>
        <v>1.2370113805047007</v>
      </c>
      <c r="J40">
        <f>ROUND('dat_file 1980'!J40/'dat_file 1980'!J$49,4)</f>
        <v>0.78710000000000002</v>
      </c>
    </row>
    <row r="41" spans="2:10">
      <c r="B41">
        <f>+Sheet3!A41</f>
        <v>1986</v>
      </c>
      <c r="C41">
        <f>ROUND('dat_file 1980'!C41/'dat_file 1980'!C$49,4)</f>
        <v>0.77190000000000003</v>
      </c>
      <c r="D41">
        <f>ROUND('dat_file 1980'!D41/'dat_file 1980'!D$49,4)</f>
        <v>0.76649999999999996</v>
      </c>
      <c r="E41">
        <f>ROUND('dat_file 1980'!E41/'dat_file 1980'!E$49,4)</f>
        <v>0.73960000000000004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1980'!H$49,4)</f>
        <v>0.81569999999999998</v>
      </c>
      <c r="I41">
        <f t="shared" ref="I41" si="38">1/H41</f>
        <v>1.2259409096481551</v>
      </c>
      <c r="J41">
        <f>ROUND('dat_file 1980'!J41/'dat_file 1980'!J$49,4)</f>
        <v>0.7964</v>
      </c>
    </row>
    <row r="42" spans="2:10">
      <c r="B42">
        <f>+Sheet3!A42</f>
        <v>1987</v>
      </c>
      <c r="C42">
        <f>ROUND('dat_file 1980'!C42/'dat_file 1980'!C$49,4)</f>
        <v>0.79569999999999996</v>
      </c>
      <c r="D42">
        <f>ROUND('dat_file 1980'!D42/'dat_file 1980'!D$49,4)</f>
        <v>0.79239999999999999</v>
      </c>
      <c r="E42">
        <f>ROUND('dat_file 1980'!E42/'dat_file 1980'!E$49,4)</f>
        <v>0.76649999999999996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1980'!H$49,4)</f>
        <v>0.8367</v>
      </c>
      <c r="I42">
        <f t="shared" ref="I42" si="39">1/H42</f>
        <v>1.1951715071112705</v>
      </c>
      <c r="J42">
        <f>ROUND('dat_file 1980'!J42/'dat_file 1980'!J$49,4)</f>
        <v>0.81989999999999996</v>
      </c>
    </row>
    <row r="43" spans="2:10">
      <c r="B43">
        <f>+Sheet3!A43</f>
        <v>1988</v>
      </c>
      <c r="C43">
        <f>ROUND('dat_file 1980'!C43/'dat_file 1980'!C$49,4)</f>
        <v>0.82679999999999998</v>
      </c>
      <c r="D43">
        <f>ROUND('dat_file 1980'!D43/'dat_file 1980'!D$49,4)</f>
        <v>0.82150000000000001</v>
      </c>
      <c r="E43">
        <f>ROUND('dat_file 1980'!E43/'dat_file 1980'!E$49,4)</f>
        <v>0.79830000000000001</v>
      </c>
      <c r="F43">
        <f>'dat_file 1980'!F43</f>
        <v>0.31080000000000002</v>
      </c>
      <c r="G43">
        <f>'dat_file 1980'!G43</f>
        <v>0.2823</v>
      </c>
      <c r="H43">
        <f>ROUND('dat_file 1980'!H43/'dat_file 1980'!H$49,4)</f>
        <v>0.86080000000000001</v>
      </c>
      <c r="I43">
        <f t="shared" ref="I43" si="40">1/H43</f>
        <v>1.1617100371747211</v>
      </c>
      <c r="J43">
        <f>ROUND('dat_file 1980'!J43/'dat_file 1980'!J$49,4)</f>
        <v>0.84589999999999999</v>
      </c>
    </row>
    <row r="44" spans="2:10">
      <c r="B44">
        <f>+Sheet3!A44</f>
        <v>1989</v>
      </c>
      <c r="C44">
        <f>ROUND('dat_file 1980'!C44/'dat_file 1980'!C$49,4)</f>
        <v>0.86299999999999999</v>
      </c>
      <c r="D44">
        <f>ROUND('dat_file 1980'!D44/'dat_file 1980'!D$49,4)</f>
        <v>0.85709999999999997</v>
      </c>
      <c r="E44">
        <f>ROUND('dat_file 1980'!E44/'dat_file 1980'!E$49,4)</f>
        <v>0.83679999999999999</v>
      </c>
      <c r="F44">
        <f>'dat_file 1980'!F44</f>
        <v>0.2979</v>
      </c>
      <c r="G44">
        <f>'dat_file 1980'!G44</f>
        <v>0.26939999999999997</v>
      </c>
      <c r="H44">
        <f>ROUND('dat_file 1980'!H44/'dat_file 1980'!H$49,4)</f>
        <v>0.8911</v>
      </c>
      <c r="I44">
        <f t="shared" ref="I44" si="41">1/H44</f>
        <v>1.1222085063404781</v>
      </c>
      <c r="J44">
        <f>ROUND('dat_file 1980'!J44/'dat_file 1980'!J$49,4)</f>
        <v>0.87809999999999999</v>
      </c>
    </row>
    <row r="45" spans="2:10">
      <c r="B45">
        <f>+Sheet3!A45</f>
        <v>1990</v>
      </c>
      <c r="C45">
        <f>ROUND('dat_file 1980'!C45/'dat_file 1980'!C$49,4)</f>
        <v>0.90080000000000005</v>
      </c>
      <c r="D45">
        <f>ROUND('dat_file 1980'!D45/'dat_file 1980'!D$49,4)</f>
        <v>0.89939999999999998</v>
      </c>
      <c r="E45">
        <f>ROUND('dat_file 1980'!E45/'dat_file 1980'!E$49,4)</f>
        <v>0.88200000000000001</v>
      </c>
      <c r="F45">
        <f>'dat_file 1980'!F45</f>
        <v>0.28389999999999999</v>
      </c>
      <c r="G45">
        <f>'dat_file 1980'!G45</f>
        <v>0.2555</v>
      </c>
      <c r="H45">
        <f>ROUND('dat_file 1980'!H45/'dat_file 1980'!H$49,4)</f>
        <v>0.92800000000000005</v>
      </c>
      <c r="I45">
        <f t="shared" ref="I45" si="42">1/H45</f>
        <v>1.0775862068965516</v>
      </c>
      <c r="J45">
        <f>ROUND('dat_file 1980'!J45/'dat_file 1980'!J$49,4)</f>
        <v>0.91710000000000003</v>
      </c>
    </row>
    <row r="46" spans="2:10">
      <c r="B46">
        <f>+Sheet3!A46</f>
        <v>1991</v>
      </c>
      <c r="C46">
        <f>ROUND('dat_file 1980'!C46/'dat_file 1980'!C$49,4)</f>
        <v>0.93089999999999995</v>
      </c>
      <c r="D46">
        <f>ROUND('dat_file 1980'!D46/'dat_file 1980'!D$49,4)</f>
        <v>0.93210000000000004</v>
      </c>
      <c r="E46">
        <f>ROUND('dat_file 1980'!E46/'dat_file 1980'!E$49,4)</f>
        <v>0.91900000000000004</v>
      </c>
      <c r="F46">
        <f>'dat_file 1980'!F46</f>
        <v>0.27389999999999998</v>
      </c>
      <c r="G46">
        <f>'dat_file 1980'!G46</f>
        <v>0.2452</v>
      </c>
      <c r="H46">
        <f>ROUND('dat_file 1980'!H46/'dat_file 1980'!H$49,4)</f>
        <v>0.95440000000000003</v>
      </c>
      <c r="I46">
        <f t="shared" ref="I46" si="43">1/H46</f>
        <v>1.0477787091366304</v>
      </c>
      <c r="J46">
        <f>ROUND('dat_file 1980'!J46/'dat_file 1980'!J$49,4)</f>
        <v>0.94550000000000001</v>
      </c>
    </row>
    <row r="47" spans="2:10">
      <c r="B47">
        <f>+Sheet3!A47</f>
        <v>1992</v>
      </c>
      <c r="C47">
        <f>ROUND('dat_file 1980'!C47/'dat_file 1980'!C$49,4)</f>
        <v>0.95579999999999998</v>
      </c>
      <c r="D47">
        <f>ROUND('dat_file 1980'!D47/'dat_file 1980'!D$49,4)</f>
        <v>0.95540000000000003</v>
      </c>
      <c r="E47">
        <f>ROUND('dat_file 1980'!E47/'dat_file 1980'!E$49,4)</f>
        <v>0.94669999999999999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1980'!H$49,4)</f>
        <v>0.97050000000000003</v>
      </c>
      <c r="I47">
        <f t="shared" ref="I47" si="44">1/H47</f>
        <v>1.0303967027305512</v>
      </c>
      <c r="J47">
        <f>ROUND('dat_file 1980'!J47/'dat_file 1980'!J$49,4)</f>
        <v>0.9647</v>
      </c>
    </row>
    <row r="48" spans="2:10">
      <c r="B48">
        <f>+Sheet3!A48</f>
        <v>1993</v>
      </c>
      <c r="C48">
        <f>ROUND('dat_file 1980'!C48/'dat_file 1980'!C$49,4)</f>
        <v>0.97950000000000004</v>
      </c>
      <c r="D48">
        <f>ROUND('dat_file 1980'!D48/'dat_file 1980'!D$49,4)</f>
        <v>0.97950000000000004</v>
      </c>
      <c r="E48">
        <f>ROUND('dat_file 1980'!E48/'dat_file 1980'!E$49,4)</f>
        <v>0.97499999999999998</v>
      </c>
      <c r="F48">
        <f>'dat_file 1980'!F48</f>
        <v>0.26069999999999999</v>
      </c>
      <c r="G48">
        <f>'dat_file 1980'!G48</f>
        <v>0.2311</v>
      </c>
      <c r="H48">
        <f>ROUND('dat_file 1980'!H48/'dat_file 1980'!H$49,4)</f>
        <v>0.98719999999999997</v>
      </c>
      <c r="I48">
        <f t="shared" ref="I48" si="45">1/H48</f>
        <v>1.012965964343598</v>
      </c>
      <c r="J48">
        <f>ROUND('dat_file 1980'!J48/'dat_file 1980'!J$49,4)</f>
        <v>0.9839</v>
      </c>
    </row>
    <row r="49" spans="2:10">
      <c r="B49">
        <f>+Sheet3!A49</f>
        <v>1994</v>
      </c>
      <c r="C49">
        <f>ROUND('dat_file 1980'!C49/'dat_file 1980'!C$49,4)</f>
        <v>1</v>
      </c>
      <c r="D49">
        <f>ROUND('dat_file 1980'!D49/'dat_file 1980'!D$49,4)</f>
        <v>1</v>
      </c>
      <c r="E49">
        <f>ROUND('dat_file 1980'!E49/'dat_file 1980'!E$49,4)</f>
        <v>1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1980'!H$49,4)</f>
        <v>1</v>
      </c>
      <c r="I49">
        <f t="shared" ref="I49" si="46">1/H49</f>
        <v>1</v>
      </c>
      <c r="J49">
        <f>ROUND('dat_file 1980'!J49/'dat_file 1980'!J$49,4)</f>
        <v>1</v>
      </c>
    </row>
    <row r="50" spans="2:10">
      <c r="B50">
        <f>+Sheet3!A50</f>
        <v>1995</v>
      </c>
      <c r="C50">
        <f>ROUND('dat_file 1980'!C50/'dat_file 1980'!C$49,4)</f>
        <v>1.0210999999999999</v>
      </c>
      <c r="D50">
        <f>ROUND('dat_file 1980'!D50/'dat_file 1980'!D$49,4)</f>
        <v>1.0241</v>
      </c>
      <c r="E50">
        <f>ROUND('dat_file 1980'!E50/'dat_file 1980'!E$49,4)</f>
        <v>1.0284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1980'!H$49,4)</f>
        <v>1.0161</v>
      </c>
      <c r="I50">
        <f t="shared" ref="I50" si="47">1/H50</f>
        <v>0.98415510284420826</v>
      </c>
      <c r="J50">
        <f>ROUND('dat_file 1980'!J50/'dat_file 1980'!J$49,4)</f>
        <v>1.0192000000000001</v>
      </c>
    </row>
    <row r="51" spans="2:10">
      <c r="B51">
        <f>+Sheet3!A51</f>
        <v>1996</v>
      </c>
      <c r="C51">
        <f>ROUND('dat_file 1980'!C51/'dat_file 1980'!C$49,4)</f>
        <v>1.0428999999999999</v>
      </c>
      <c r="D51">
        <f>ROUND('dat_file 1980'!D51/'dat_file 1980'!D$49,4)</f>
        <v>1.0513999999999999</v>
      </c>
      <c r="E51">
        <f>ROUND('dat_file 1980'!E51/'dat_file 1980'!E$49,4)</f>
        <v>1.0587</v>
      </c>
      <c r="F51">
        <f>'dat_file 1980'!F51</f>
        <v>0.2429</v>
      </c>
      <c r="G51">
        <f>'dat_file 1980'!G51</f>
        <v>0.21290000000000001</v>
      </c>
      <c r="H51">
        <f>ROUND('dat_file 1980'!H51/'dat_file 1980'!H$49,4)</f>
        <v>1.0350999999999999</v>
      </c>
      <c r="I51">
        <f t="shared" ref="I51" si="48">1/H51</f>
        <v>0.9660902328277462</v>
      </c>
      <c r="J51">
        <f>ROUND('dat_file 1980'!J51/'dat_file 1980'!J$49,4)</f>
        <v>1.0407999999999999</v>
      </c>
    </row>
    <row r="52" spans="2:10">
      <c r="B52">
        <f>+Sheet3!A52</f>
        <v>1997</v>
      </c>
      <c r="C52">
        <f>ROUND('dat_file 1980'!C52/'dat_file 1980'!C$49,4)</f>
        <v>1.0609999999999999</v>
      </c>
      <c r="D52">
        <f>ROUND('dat_file 1980'!D52/'dat_file 1980'!D$49,4)</f>
        <v>1.0742</v>
      </c>
      <c r="E52">
        <f>ROUND('dat_file 1980'!E52/'dat_file 1980'!E$49,4)</f>
        <v>1.083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1980'!H$49,4)</f>
        <v>1.0491999999999999</v>
      </c>
      <c r="I52">
        <f t="shared" ref="I52" si="49">1/H52</f>
        <v>0.95310712924132679</v>
      </c>
      <c r="J52">
        <f>ROUND('dat_file 1980'!J52/'dat_file 1980'!J$49,4)</f>
        <v>1.0582</v>
      </c>
    </row>
    <row r="53" spans="2:10">
      <c r="B53">
        <f>+Sheet3!A53</f>
        <v>1998</v>
      </c>
      <c r="C53">
        <f>ROUND('dat_file 1980'!C53/'dat_file 1980'!C$49,4)</f>
        <v>1.0694999999999999</v>
      </c>
      <c r="D53">
        <f>ROUND('dat_file 1980'!D53/'dat_file 1980'!D$49,4)</f>
        <v>1.0887</v>
      </c>
      <c r="E53">
        <f>ROUND('dat_file 1980'!E53/'dat_file 1980'!E$49,4)</f>
        <v>1.0999000000000001</v>
      </c>
      <c r="F53">
        <f>'dat_file 1980'!F53</f>
        <v>0.23449999999999999</v>
      </c>
      <c r="G53">
        <f>'dat_file 1980'!G53</f>
        <v>0.2049</v>
      </c>
      <c r="H53">
        <f>ROUND('dat_file 1980'!H53/'dat_file 1980'!H$49,4)</f>
        <v>1.0549999999999999</v>
      </c>
      <c r="I53">
        <f t="shared" ref="I53" si="50">1/H53</f>
        <v>0.94786729857819907</v>
      </c>
      <c r="J53">
        <f>ROUND('dat_file 1980'!J53/'dat_file 1980'!J$49,4)</f>
        <v>1.0674999999999999</v>
      </c>
    </row>
    <row r="54" spans="2:10">
      <c r="B54">
        <f>+Sheet3!A54</f>
        <v>1999</v>
      </c>
      <c r="C54">
        <f>ROUND('dat_file 1980'!C54/'dat_file 1980'!C$49,4)</f>
        <v>1.0851</v>
      </c>
      <c r="D54">
        <f>ROUND('dat_file 1980'!D54/'dat_file 1980'!D$49,4)</f>
        <v>1.1114999999999999</v>
      </c>
      <c r="E54">
        <f>ROUND('dat_file 1980'!E54/'dat_file 1980'!E$49,4)</f>
        <v>1.1242000000000001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1980'!H$49,4)</f>
        <v>1.0686</v>
      </c>
      <c r="I54">
        <f t="shared" ref="I54" si="51">1/H54</f>
        <v>0.93580385551188472</v>
      </c>
      <c r="J54">
        <f>ROUND('dat_file 1980'!J54/'dat_file 1980'!J$49,4)</f>
        <v>1.0842000000000001</v>
      </c>
    </row>
    <row r="55" spans="2:10">
      <c r="B55">
        <f>+Sheet3!A55</f>
        <v>2000</v>
      </c>
      <c r="C55">
        <f>ROUND('dat_file 1980'!C55/'dat_file 1980'!C$49,4)</f>
        <v>1.1125</v>
      </c>
      <c r="D55">
        <f>ROUND('dat_file 1980'!D55/'dat_file 1980'!D$49,4)</f>
        <v>1.1493</v>
      </c>
      <c r="E55">
        <f>ROUND('dat_file 1980'!E55/'dat_file 1980'!E$49,4)</f>
        <v>1.1619999999999999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1980'!H$49,4)</f>
        <v>1.0964</v>
      </c>
      <c r="I55">
        <f t="shared" ref="I55" si="52">1/H55</f>
        <v>0.91207588471360812</v>
      </c>
      <c r="J55">
        <f>ROUND('dat_file 1980'!J55/'dat_file 1980'!J$49,4)</f>
        <v>1.1156999999999999</v>
      </c>
    </row>
    <row r="56" spans="2:10">
      <c r="B56">
        <f>+Sheet3!A56</f>
        <v>2001</v>
      </c>
      <c r="C56">
        <f>ROUND('dat_file 1980'!C56/'dat_file 1980'!C$49,4)</f>
        <v>1.1348</v>
      </c>
      <c r="D56">
        <f>ROUND('dat_file 1980'!D56/'dat_file 1980'!D$49,4)</f>
        <v>1.1820999999999999</v>
      </c>
      <c r="E56">
        <f>ROUND('dat_file 1980'!E56/'dat_file 1980'!E$49,4)</f>
        <v>1.1951000000000001</v>
      </c>
      <c r="F56">
        <f>'dat_file 1980'!F56</f>
        <v>0.216</v>
      </c>
      <c r="G56">
        <f>'dat_file 1980'!G56</f>
        <v>0.18859999999999999</v>
      </c>
      <c r="H56">
        <f>ROUND('dat_file 1980'!H56/'dat_file 1980'!H$49,4)</f>
        <v>1.1189</v>
      </c>
      <c r="I56">
        <f t="shared" ref="I56" si="53">1/H56</f>
        <v>0.89373491822325501</v>
      </c>
      <c r="J56">
        <f>ROUND('dat_file 1980'!J56/'dat_file 1980'!J$49,4)</f>
        <v>1.1423000000000001</v>
      </c>
    </row>
    <row r="57" spans="2:10">
      <c r="B57">
        <f>+Sheet3!A57</f>
        <v>2002</v>
      </c>
      <c r="C57">
        <f>ROUND('dat_file 1980'!C57/'dat_file 1980'!C$49,4)</f>
        <v>1.1496999999999999</v>
      </c>
      <c r="D57">
        <f>ROUND('dat_file 1980'!D57/'dat_file 1980'!D$49,4)</f>
        <v>1.2007000000000001</v>
      </c>
      <c r="E57">
        <f>ROUND('dat_file 1980'!E57/'dat_file 1980'!E$49,4)</f>
        <v>1.214</v>
      </c>
      <c r="F57">
        <f>'dat_file 1980'!F57</f>
        <v>0.2127</v>
      </c>
      <c r="G57">
        <f>'dat_file 1980'!G57</f>
        <v>0.1857</v>
      </c>
      <c r="H57">
        <f>ROUND('dat_file 1980'!H57/'dat_file 1980'!H$49,4)</f>
        <v>1.1275999999999999</v>
      </c>
      <c r="I57">
        <f t="shared" ref="I57" si="54">1/H57</f>
        <v>0.88683930471798511</v>
      </c>
      <c r="J57">
        <f>ROUND('dat_file 1980'!J57/'dat_file 1980'!J$49,4)</f>
        <v>1.1547000000000001</v>
      </c>
    </row>
    <row r="58" spans="2:10">
      <c r="B58">
        <f>+Sheet3!A58</f>
        <v>2003</v>
      </c>
      <c r="C58">
        <f>ROUND('dat_file 1980'!C58/'dat_file 1980'!C$49,4)</f>
        <v>1.1738</v>
      </c>
      <c r="D58">
        <f>ROUND('dat_file 1980'!D58/'dat_file 1980'!D$49,4)</f>
        <v>1.228</v>
      </c>
      <c r="E58">
        <f>ROUND('dat_file 1980'!E58/'dat_file 1980'!E$49,4)</f>
        <v>1.2416</v>
      </c>
      <c r="F58">
        <f>'dat_file 1980'!F58</f>
        <v>0.2079</v>
      </c>
      <c r="G58">
        <f>'dat_file 1980'!G58</f>
        <v>0.18149999999999999</v>
      </c>
      <c r="H58">
        <f>ROUND('dat_file 1980'!H58/'dat_file 1980'!H$49,4)</f>
        <v>1.1443000000000001</v>
      </c>
      <c r="I58">
        <f t="shared" ref="I58" si="55">1/H58</f>
        <v>0.87389670540942055</v>
      </c>
      <c r="J58">
        <f>ROUND('dat_file 1980'!J58/'dat_file 1980'!J$49,4)</f>
        <v>1.1751</v>
      </c>
    </row>
    <row r="59" spans="2:10">
      <c r="B59">
        <f>+Sheet3!A59</f>
        <v>2004</v>
      </c>
      <c r="C59">
        <f>ROUND('dat_file 1980'!C59/'dat_file 1980'!C$49,4)</f>
        <v>1.2030000000000001</v>
      </c>
      <c r="D59">
        <f>ROUND('dat_file 1980'!D59/'dat_file 1980'!D$49,4)</f>
        <v>1.2607999999999999</v>
      </c>
      <c r="E59">
        <f>ROUND('dat_file 1980'!E59/'dat_file 1980'!E$49,4)</f>
        <v>1.2746999999999999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1980'!H$49,4)</f>
        <v>1.1657</v>
      </c>
      <c r="I59">
        <f t="shared" ref="I59" si="56">1/H59</f>
        <v>0.85785365016728155</v>
      </c>
      <c r="J59">
        <f>ROUND('dat_file 1980'!J59/'dat_file 1980'!J$49,4)</f>
        <v>1.2004999999999999</v>
      </c>
    </row>
    <row r="60" spans="2:10">
      <c r="B60">
        <f>+Sheet3!A60</f>
        <v>2005</v>
      </c>
      <c r="C60">
        <f>ROUND('dat_file 1980'!C60/'dat_file 1980'!C$49,4)</f>
        <v>1.2377</v>
      </c>
      <c r="D60">
        <f>ROUND('dat_file 1980'!D60/'dat_file 1980'!D$49,4)</f>
        <v>1.3035000000000001</v>
      </c>
      <c r="E60">
        <f>ROUND('dat_file 1980'!E60/'dat_file 1980'!E$49,4)</f>
        <v>1.3178000000000001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1980'!H$49,4)</f>
        <v>1.1959</v>
      </c>
      <c r="I60">
        <f t="shared" ref="I60" si="57">1/H60</f>
        <v>0.83619031691613011</v>
      </c>
      <c r="J60">
        <f>ROUND('dat_file 1980'!J60/'dat_file 1980'!J$49,4)</f>
        <v>1.2351000000000001</v>
      </c>
    </row>
    <row r="61" spans="2:10">
      <c r="B61">
        <f>+Sheet3!A61</f>
        <v>2006</v>
      </c>
      <c r="C61">
        <f>ROUND('dat_file 1980'!C61/'dat_file 1980'!C$49,4)</f>
        <v>1.2725</v>
      </c>
      <c r="D61">
        <f>ROUND('dat_file 1980'!D61/'dat_file 1980'!D$49,4)</f>
        <v>1.3459000000000001</v>
      </c>
      <c r="E61">
        <f>ROUND('dat_file 1980'!E61/'dat_file 1980'!E$49,4)</f>
        <v>1.3603000000000001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1980'!H$49,4)</f>
        <v>1.2252000000000001</v>
      </c>
      <c r="I61">
        <f t="shared" ref="I61" si="58">1/H61</f>
        <v>0.81619327456741753</v>
      </c>
      <c r="J61">
        <f>ROUND('dat_file 1980'!J61/'dat_file 1980'!J$49,4)</f>
        <v>1.2692000000000001</v>
      </c>
    </row>
    <row r="62" spans="2:10">
      <c r="B62">
        <f>+Sheet3!A62</f>
        <v>2007</v>
      </c>
      <c r="C62">
        <f>ROUND('dat_file 1980'!C62/'dat_file 1980'!C$49,4)</f>
        <v>1.3050999999999999</v>
      </c>
      <c r="D62">
        <f>ROUND('dat_file 1980'!D62/'dat_file 1980'!D$49,4)</f>
        <v>1.3841000000000001</v>
      </c>
      <c r="E62">
        <f>ROUND('dat_file 1980'!E62/'dat_file 1980'!E$49,4)</f>
        <v>1.3991</v>
      </c>
      <c r="F62">
        <f>'dat_file 1980'!F62</f>
        <v>0.1845</v>
      </c>
      <c r="G62">
        <f>'dat_file 1980'!G62</f>
        <v>0.16109999999999999</v>
      </c>
      <c r="H62">
        <f>ROUND('dat_file 1980'!H62/'dat_file 1980'!H$49,4)</f>
        <v>1.2502</v>
      </c>
      <c r="I62">
        <f t="shared" ref="I62" si="59">1/H62</f>
        <v>0.79987202047672379</v>
      </c>
      <c r="J62">
        <f>ROUND('dat_file 1980'!J62/'dat_file 1980'!J$49,4)</f>
        <v>1.2988999999999999</v>
      </c>
    </row>
    <row r="63" spans="2:10">
      <c r="B63">
        <f>+Sheet3!A63</f>
        <v>2008</v>
      </c>
      <c r="C63">
        <f>ROUND('dat_file 1980'!C63/'dat_file 1980'!C$49,4)</f>
        <v>1.3438000000000001</v>
      </c>
      <c r="D63">
        <f>ROUND('dat_file 1980'!D63/'dat_file 1980'!D$49,4)</f>
        <v>1.4374</v>
      </c>
      <c r="E63">
        <f>ROUND('dat_file 1980'!E63/'dat_file 1980'!E$49,4)</f>
        <v>1.4528000000000001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1980'!H$49,4)</f>
        <v>1.2883</v>
      </c>
      <c r="I63">
        <f t="shared" ref="I63" si="60">1/H63</f>
        <v>0.77621671970814254</v>
      </c>
      <c r="J63">
        <f>ROUND('dat_file 1980'!J63/'dat_file 1980'!J$49,4)</f>
        <v>1.3422000000000001</v>
      </c>
    </row>
    <row r="64" spans="2:10">
      <c r="B64">
        <f>+Sheet3!A64</f>
        <v>2009</v>
      </c>
      <c r="C64">
        <f>ROUND('dat_file 1980'!C64/'dat_file 1980'!C$49,4)</f>
        <v>1.34</v>
      </c>
      <c r="D64">
        <f>ROUND('dat_file 1980'!D64/'dat_file 1980'!D$49,4)</f>
        <v>1.4323999999999999</v>
      </c>
      <c r="E64">
        <f>ROUND('dat_file 1980'!E64/'dat_file 1980'!E$49,4)</f>
        <v>1.4477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1980'!H$49,4)</f>
        <v>1.2734000000000001</v>
      </c>
      <c r="I64">
        <f t="shared" ref="I64" si="61">1/H64</f>
        <v>0.78529919899481693</v>
      </c>
      <c r="J64">
        <f>ROUND('dat_file 1980'!J64/'dat_file 1980'!J$49,4)</f>
        <v>1.3310999999999999</v>
      </c>
    </row>
    <row r="65" spans="2:10">
      <c r="B65">
        <f>+Sheet3!A65</f>
        <v>2010</v>
      </c>
      <c r="C65">
        <f>ROUND('dat_file 1980'!C65/'dat_file 1980'!C$49,4)</f>
        <v>1.3640000000000001</v>
      </c>
      <c r="D65">
        <f>ROUND('dat_file 1980'!D65/'dat_file 1980'!D$49,4)</f>
        <v>1.4556</v>
      </c>
      <c r="E65">
        <f>ROUND('dat_file 1980'!E65/'dat_file 1980'!E$49,4)</f>
        <v>1.4714</v>
      </c>
      <c r="F65">
        <f>'dat_file 1980'!F65</f>
        <v>0.1754</v>
      </c>
      <c r="G65">
        <f>'dat_file 1980'!G65</f>
        <v>0.1532</v>
      </c>
      <c r="H65">
        <f>ROUND('dat_file 1980'!H65/'dat_file 1980'!H$49,4)</f>
        <v>1.2839</v>
      </c>
      <c r="I65">
        <f t="shared" ref="I65" si="62">1/H65</f>
        <v>0.77887685956850217</v>
      </c>
      <c r="J65">
        <f>ROUND('dat_file 1980'!J65/'dat_file 1980'!J$49,4)</f>
        <v>1.3459000000000001</v>
      </c>
    </row>
    <row r="66" spans="2:10">
      <c r="B66">
        <f>+Sheet3!A66</f>
        <v>2011</v>
      </c>
      <c r="C66">
        <f>ROUND('dat_file 1980'!C66/'dat_file 1980'!C$49,4)</f>
        <v>1.3985000000000001</v>
      </c>
      <c r="D66">
        <f>ROUND('dat_file 1980'!D66/'dat_file 1980'!D$49,4)</f>
        <v>1.502</v>
      </c>
      <c r="E66">
        <f>ROUND('dat_file 1980'!E66/'dat_file 1980'!E$49,4)</f>
        <v>1.5178</v>
      </c>
      <c r="F66">
        <f>'dat_file 1980'!F66</f>
        <v>0.17</v>
      </c>
      <c r="G66">
        <f>'dat_file 1980'!G66</f>
        <v>0.14849999999999999</v>
      </c>
      <c r="H66">
        <f>ROUND('dat_file 1980'!H66/'dat_file 1980'!H$49,4)</f>
        <v>1.3146</v>
      </c>
      <c r="I66">
        <f t="shared" ref="I66" si="63">1/H66</f>
        <v>0.76068766164612811</v>
      </c>
      <c r="J66">
        <f>ROUND('dat_file 1980'!J66/'dat_file 1980'!J$49,4)</f>
        <v>1.3817999999999999</v>
      </c>
    </row>
    <row r="67" spans="2:10">
      <c r="B67">
        <f>+Sheet3!A67</f>
        <v>2012</v>
      </c>
      <c r="C67">
        <f>ROUND('dat_file 1980'!C67/'dat_file 1980'!C$49,4)</f>
        <v>1.4246000000000001</v>
      </c>
      <c r="D67">
        <f>ROUND('dat_file 1980'!D67/'dat_file 1980'!D$49,4)</f>
        <v>1.5334000000000001</v>
      </c>
      <c r="E67">
        <f>ROUND('dat_file 1980'!E67/'dat_file 1980'!E$49,4)</f>
        <v>1.5491999999999999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1980'!H$49,4)</f>
        <v>1.3315999999999999</v>
      </c>
      <c r="I67">
        <f t="shared" ref="I67" si="64">1/H67</f>
        <v>0.7509762691498949</v>
      </c>
      <c r="J67">
        <f>ROUND('dat_file 1980'!J67/'dat_file 1980'!J$49,4)</f>
        <v>1.4040999999999999</v>
      </c>
    </row>
    <row r="68" spans="2:10">
      <c r="B68">
        <f>+Sheet3!A68</f>
        <v>2013</v>
      </c>
      <c r="C68">
        <f>ROUND('dat_file 1980'!C68/'dat_file 1980'!C$49,4)</f>
        <v>1.4439</v>
      </c>
      <c r="D68">
        <f>ROUND('dat_file 1980'!D68/'dat_file 1980'!D$49,4)</f>
        <v>1.5566</v>
      </c>
      <c r="E68">
        <f>ROUND('dat_file 1980'!E68/'dat_file 1980'!E$49,4)</f>
        <v>1.5719000000000001</v>
      </c>
      <c r="F68">
        <f>'dat_file 1980'!F68</f>
        <v>0.16400000000000001</v>
      </c>
      <c r="G68">
        <f>'dat_file 1980'!G68</f>
        <v>0.1434</v>
      </c>
      <c r="H68">
        <f>ROUND('dat_file 1980'!H68/'dat_file 1980'!H$49,4)</f>
        <v>1.341</v>
      </c>
      <c r="I68">
        <f t="shared" ref="I68" si="65">1/H68</f>
        <v>0.74571215510812827</v>
      </c>
      <c r="J68">
        <f>ROUND('dat_file 1980'!J68/'dat_file 1980'!J$49,4)</f>
        <v>1.4182999999999999</v>
      </c>
    </row>
    <row r="69" spans="2:10">
      <c r="B69">
        <f>+Sheet3!A69</f>
        <v>2014</v>
      </c>
      <c r="C69">
        <f>ROUND('dat_file 1980'!C69/'dat_file 1980'!C$49,4)</f>
        <v>1.4658</v>
      </c>
      <c r="D69">
        <f>ROUND('dat_file 1980'!D69/'dat_file 1980'!D$49,4)</f>
        <v>1.5826</v>
      </c>
      <c r="E69">
        <f>ROUND('dat_file 1980'!E69/'dat_file 1980'!E$49,4)</f>
        <v>1.5973999999999999</v>
      </c>
      <c r="F69">
        <f>'dat_file 1980'!F69</f>
        <v>0.1613</v>
      </c>
      <c r="G69">
        <f>'dat_file 1980'!G69</f>
        <v>0.1411</v>
      </c>
      <c r="H69">
        <f>ROUND('dat_file 1980'!H69/'dat_file 1980'!H$49,4)</f>
        <v>1.3526</v>
      </c>
      <c r="I69">
        <f t="shared" ref="I69" si="66">1/H69</f>
        <v>0.73931687121100098</v>
      </c>
      <c r="J69">
        <f>ROUND('dat_file 1980'!J69/'dat_file 1980'!J$49,4)</f>
        <v>1.4343999999999999</v>
      </c>
    </row>
    <row r="70" spans="2:10">
      <c r="B70">
        <f>+Sheet3!A70</f>
        <v>2015</v>
      </c>
      <c r="C70">
        <f>ROUND('dat_file 1980'!C70/'dat_file 1980'!C$49,4)</f>
        <v>1.4690000000000001</v>
      </c>
      <c r="D70">
        <f>ROUND('dat_file 1980'!D70/'dat_file 1980'!D$49,4)</f>
        <v>1.5852999999999999</v>
      </c>
      <c r="E70">
        <f>ROUND('dat_file 1980'!E70/'dat_file 1980'!E$49,4)</f>
        <v>1.5992999999999999</v>
      </c>
      <c r="F70">
        <f>'dat_file 1980'!F70</f>
        <v>0.16109999999999999</v>
      </c>
      <c r="G70">
        <f>'dat_file 1980'!G70</f>
        <v>0.1409</v>
      </c>
      <c r="H70">
        <f>ROUND('dat_file 1980'!H70/'dat_file 1980'!H$49,4)</f>
        <v>1.3442000000000001</v>
      </c>
      <c r="I70">
        <f t="shared" ref="I70" si="67">1/H70</f>
        <v>0.74393691414968011</v>
      </c>
      <c r="J70">
        <f>ROUND('dat_file 1980'!J70/'dat_file 1980'!J$49,4)</f>
        <v>1.4300999999999999</v>
      </c>
    </row>
    <row r="71" spans="2:10">
      <c r="B71">
        <f>+Sheet3!A71</f>
        <v>2016</v>
      </c>
      <c r="C71">
        <f>ROUND('dat_file 1980'!C71/'dat_file 1980'!C$49,4)</f>
        <v>1.4837</v>
      </c>
      <c r="D71">
        <f>ROUND('dat_file 1980'!D71/'dat_file 1980'!D$49,4)</f>
        <v>1.6057999999999999</v>
      </c>
      <c r="E71">
        <f>ROUND('dat_file 1980'!E71/'dat_file 1980'!E$49,4)</f>
        <v>1.6194999999999999</v>
      </c>
      <c r="F71">
        <f>'dat_file 1980'!F71</f>
        <v>0.159</v>
      </c>
      <c r="G71">
        <f>'dat_file 1980'!G71</f>
        <v>0.13919999999999999</v>
      </c>
      <c r="H71">
        <f>ROUND('dat_file 1980'!H71/'dat_file 1980'!H$49,4)</f>
        <v>1.3508</v>
      </c>
      <c r="I71">
        <f t="shared" ref="I71" si="68">1/H71</f>
        <v>0.74030204323363935</v>
      </c>
      <c r="J71">
        <f>ROUND('dat_file 1980'!J71/'dat_file 1980'!J$49,4)</f>
        <v>1.4412</v>
      </c>
    </row>
    <row r="72" spans="2:10">
      <c r="B72">
        <f>+Sheet3!A72</f>
        <v>2017</v>
      </c>
      <c r="C72">
        <f>ROUND('dat_file 1980'!C72/'dat_file 1980'!C$49,4)</f>
        <v>1.5108999999999999</v>
      </c>
      <c r="D72">
        <f>ROUND('dat_file 1980'!D72/'dat_file 1980'!D$49,4)</f>
        <v>1.6398999999999999</v>
      </c>
      <c r="E72">
        <f>ROUND('dat_file 1980'!E72/'dat_file 1980'!E$49,4)</f>
        <v>1.6539999999999999</v>
      </c>
      <c r="F72">
        <f>'dat_file 1980'!F72</f>
        <v>0.15570000000000001</v>
      </c>
      <c r="G72">
        <f>'dat_file 1980'!G72</f>
        <v>0.1363</v>
      </c>
      <c r="H72">
        <f>ROUND('dat_file 1980'!H72/'dat_file 1980'!H$49,4)</f>
        <v>1.3687</v>
      </c>
      <c r="I72">
        <f t="shared" ref="I72" si="69">1/H72</f>
        <v>0.73062029663184047</v>
      </c>
      <c r="J72">
        <f>ROUND('dat_file 1980'!J72/'dat_file 1980'!J$49,4)</f>
        <v>1.4646999999999999</v>
      </c>
    </row>
    <row r="73" spans="2:10">
      <c r="B73">
        <f>+Sheet3!A73</f>
        <v>2018</v>
      </c>
      <c r="C73">
        <f>ROUND('dat_file 1980'!C73/'dat_file 1980'!C$49,4)</f>
        <v>1.5430999999999999</v>
      </c>
      <c r="D73">
        <f>ROUND('dat_file 1980'!D73/'dat_file 1980'!D$49,4)</f>
        <v>1.68</v>
      </c>
      <c r="E73">
        <f>ROUND('dat_file 1980'!E73/'dat_file 1980'!E$49,4)</f>
        <v>1.6943999999999999</v>
      </c>
      <c r="F73">
        <f>'dat_file 1980'!F73</f>
        <v>0.152</v>
      </c>
      <c r="G73">
        <f>'dat_file 1980'!G73</f>
        <v>0.13300000000000001</v>
      </c>
      <c r="H73">
        <f>ROUND('dat_file 1980'!H73/'dat_file 1980'!H$49,4)</f>
        <v>1.3912</v>
      </c>
      <c r="I73">
        <f t="shared" ref="I73" si="70">1/H73</f>
        <v>0.71880391029327195</v>
      </c>
      <c r="J73">
        <f>ROUND('dat_file 1980'!J73/'dat_file 1980'!J$49,4)</f>
        <v>1.4932000000000001</v>
      </c>
    </row>
    <row r="74" spans="2:10">
      <c r="B74">
        <f>+Sheet3!A74</f>
        <v>2019</v>
      </c>
      <c r="C74">
        <f>ROUND('dat_file 1980'!C74/'dat_file 1980'!C$49,4)</f>
        <v>1.5661</v>
      </c>
      <c r="D74">
        <f>ROUND('dat_file 1980'!D74/'dat_file 1980'!D$49,4)</f>
        <v>1.7104999999999999</v>
      </c>
      <c r="E74">
        <f>ROUND('dat_file 1980'!E74/'dat_file 1980'!E$49,4)</f>
        <v>1.7251000000000001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1980'!H$49,4)</f>
        <v>1.4053</v>
      </c>
      <c r="I74">
        <f t="shared" ref="I74:I75" si="71">1/H74</f>
        <v>0.71159183092578093</v>
      </c>
      <c r="J74">
        <f>ROUND('dat_file 1980'!J74/'dat_file 1980'!J$49,4)</f>
        <v>1.5129999999999999</v>
      </c>
    </row>
    <row r="75" spans="2:10">
      <c r="B75">
        <f>+Sheet3!A75</f>
        <v>2020</v>
      </c>
      <c r="C75">
        <f>ROUND('dat_file 1980'!C75/'dat_file 1980'!C$49,4)</f>
        <v>1.5833999999999999</v>
      </c>
      <c r="D75">
        <f>ROUND('dat_file 1980'!D75/'dat_file 1980'!D$49,4)</f>
        <v>1.7333000000000001</v>
      </c>
      <c r="E75">
        <f>ROUND('dat_file 1980'!E75/'dat_file 1980'!E$49,4)</f>
        <v>1.7464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1980'!H$49,4)</f>
        <v>1.4128000000000001</v>
      </c>
      <c r="I75">
        <f t="shared" si="71"/>
        <v>0.70781426953567383</v>
      </c>
      <c r="J75">
        <f>ROUND('dat_file 1980'!J75/'dat_file 1980'!J$49,4)</f>
        <v>1.5254000000000001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B9BB-77B4-4C3C-B6C0-72FF659D4C70}">
  <dimension ref="B1:I75"/>
  <sheetViews>
    <sheetView topLeftCell="A69" workbookViewId="0">
      <selection activeCell="B73" sqref="B73:H75"/>
    </sheetView>
  </sheetViews>
  <sheetFormatPr defaultColWidth="9.28515625" defaultRowHeight="12.75"/>
  <sheetData>
    <row r="1" spans="2:9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s="31"/>
    </row>
    <row r="2" spans="2:9">
      <c r="B2">
        <f>+Sheet3!A2</f>
        <v>1947</v>
      </c>
      <c r="C2">
        <f>ROUND('dat_file 1980'!C2/'dat_file 1980'!C$60,4)</f>
        <v>0.14380000000000001</v>
      </c>
      <c r="D2">
        <f>ROUND('dat_file 1980'!D2/'dat_file 1980'!D$60,4)</f>
        <v>0.13089999999999999</v>
      </c>
      <c r="E2">
        <f>ROUND('dat_file 1980'!E2/'dat_file 1980'!E$60,4)</f>
        <v>0.1142</v>
      </c>
      <c r="F2">
        <f>'dat_file 1980'!F2</f>
        <v>1.496</v>
      </c>
      <c r="G2">
        <f>'dat_file 1980'!G2</f>
        <v>1.4978</v>
      </c>
      <c r="H2">
        <f>ROUND('dat_file 1980'!H2/'dat_file 1980'!H$60,4)</f>
        <v>0.22420000000000001</v>
      </c>
    </row>
    <row r="3" spans="2:9">
      <c r="B3">
        <f>+Sheet3!A3</f>
        <v>1948</v>
      </c>
      <c r="C3">
        <f>ROUND('dat_file 1980'!C3/'dat_file 1980'!C$60,4)</f>
        <v>0.15190000000000001</v>
      </c>
      <c r="D3">
        <f>ROUND('dat_file 1980'!D3/'dat_file 1980'!D$60,4)</f>
        <v>0.1414</v>
      </c>
      <c r="E3">
        <f>ROUND('dat_file 1980'!E3/'dat_file 1980'!E$60,4)</f>
        <v>0.1234</v>
      </c>
      <c r="F3">
        <f>'dat_file 1980'!F3</f>
        <v>1.3852</v>
      </c>
      <c r="G3">
        <f>'dat_file 1980'!G3</f>
        <v>1.3858999999999999</v>
      </c>
      <c r="H3">
        <f>ROUND('dat_file 1980'!H3/'dat_file 1980'!H$60,4)</f>
        <v>0.2397</v>
      </c>
    </row>
    <row r="4" spans="2:9">
      <c r="B4">
        <f>+Sheet3!A4</f>
        <v>1949</v>
      </c>
      <c r="C4">
        <f>ROUND('dat_file 1980'!C4/'dat_file 1980'!C$60,4)</f>
        <v>0.1507</v>
      </c>
      <c r="D4">
        <f>ROUND('dat_file 1980'!D4/'dat_file 1980'!D$60,4)</f>
        <v>0.13969999999999999</v>
      </c>
      <c r="E4">
        <f>ROUND('dat_file 1980'!E4/'dat_file 1980'!E$60,4)</f>
        <v>0.12189999999999999</v>
      </c>
      <c r="F4">
        <f>'dat_file 1980'!F4</f>
        <v>1.4025000000000001</v>
      </c>
      <c r="G4">
        <f>'dat_file 1980'!G4</f>
        <v>1.4034</v>
      </c>
      <c r="H4">
        <f>ROUND('dat_file 1980'!H4/'dat_file 1980'!H$60,4)</f>
        <v>0.2341</v>
      </c>
    </row>
    <row r="5" spans="2:9">
      <c r="B5">
        <f>+Sheet3!A5</f>
        <v>1950</v>
      </c>
      <c r="C5">
        <f>ROUND('dat_file 1980'!C5/'dat_file 1980'!C$60,4)</f>
        <v>0.1525</v>
      </c>
      <c r="D5">
        <f>ROUND('dat_file 1980'!D5/'dat_file 1980'!D$60,4)</f>
        <v>0.1414</v>
      </c>
      <c r="E5">
        <f>ROUND('dat_file 1980'!E5/'dat_file 1980'!E$60,4)</f>
        <v>0.1234</v>
      </c>
      <c r="F5">
        <f>'dat_file 1980'!F5</f>
        <v>1.3852</v>
      </c>
      <c r="G5">
        <f>'dat_file 1980'!G5</f>
        <v>1.3858999999999999</v>
      </c>
      <c r="H5">
        <f>ROUND('dat_file 1980'!H5/'dat_file 1980'!H$60,4)</f>
        <v>0.23449999999999999</v>
      </c>
    </row>
    <row r="6" spans="2:9">
      <c r="B6">
        <f>+Sheet3!A6</f>
        <v>1951</v>
      </c>
      <c r="C6">
        <f>ROUND('dat_file 1980'!C6/'dat_file 1980'!C$60,4)</f>
        <v>0.16289999999999999</v>
      </c>
      <c r="D6">
        <f>ROUND('dat_file 1980'!D6/'dat_file 1980'!D$60,4)</f>
        <v>0.15260000000000001</v>
      </c>
      <c r="E6">
        <f>ROUND('dat_file 1980'!E6/'dat_file 1980'!E$60,4)</f>
        <v>0.1331</v>
      </c>
      <c r="F6">
        <f>'dat_file 1980'!F6</f>
        <v>1.2838000000000001</v>
      </c>
      <c r="G6">
        <f>'dat_file 1980'!G6</f>
        <v>1.2846</v>
      </c>
      <c r="H6">
        <f>ROUND('dat_file 1980'!H6/'dat_file 1980'!H$60,4)</f>
        <v>0.25040000000000001</v>
      </c>
    </row>
    <row r="7" spans="2:9">
      <c r="B7">
        <f>+Sheet3!A7</f>
        <v>1952</v>
      </c>
      <c r="C7">
        <f>ROUND('dat_file 1980'!C7/'dat_file 1980'!C$60,4)</f>
        <v>0.1663</v>
      </c>
      <c r="D7">
        <f>ROUND('dat_file 1980'!D7/'dat_file 1980'!D$60,4)</f>
        <v>0.15540000000000001</v>
      </c>
      <c r="E7">
        <f>ROUND('dat_file 1980'!E7/'dat_file 1980'!E$60,4)</f>
        <v>0.13569999999999999</v>
      </c>
      <c r="F7">
        <f>'dat_file 1980'!F7</f>
        <v>1.2606999999999999</v>
      </c>
      <c r="G7">
        <f>'dat_file 1980'!G7</f>
        <v>1.2604</v>
      </c>
      <c r="H7">
        <f>ROUND('dat_file 1980'!H7/'dat_file 1980'!H$60,4)</f>
        <v>0.25219999999999998</v>
      </c>
    </row>
    <row r="8" spans="2:9">
      <c r="B8">
        <f>+Sheet3!A8</f>
        <v>1953</v>
      </c>
      <c r="C8">
        <f>ROUND('dat_file 1980'!C8/'dat_file 1980'!C$60,4)</f>
        <v>0.16850000000000001</v>
      </c>
      <c r="D8">
        <f>ROUND('dat_file 1980'!D8/'dat_file 1980'!D$60,4)</f>
        <v>0.15640000000000001</v>
      </c>
      <c r="E8">
        <f>ROUND('dat_file 1980'!E8/'dat_file 1980'!E$60,4)</f>
        <v>0.13669999999999999</v>
      </c>
      <c r="F8">
        <f>'dat_file 1980'!F8</f>
        <v>1.2522</v>
      </c>
      <c r="G8">
        <f>'dat_file 1980'!G8</f>
        <v>1.2508999999999999</v>
      </c>
      <c r="H8">
        <f>ROUND('dat_file 1980'!H8/'dat_file 1980'!H$60,4)</f>
        <v>0.25109999999999999</v>
      </c>
    </row>
    <row r="9" spans="2:9">
      <c r="B9">
        <f>+Sheet3!A9</f>
        <v>1954</v>
      </c>
      <c r="C9">
        <f>ROUND('dat_file 1980'!C9/'dat_file 1980'!C$60,4)</f>
        <v>0.1699</v>
      </c>
      <c r="D9">
        <f>ROUND('dat_file 1980'!D9/'dat_file 1980'!D$60,4)</f>
        <v>0.1578</v>
      </c>
      <c r="E9">
        <f>ROUND('dat_file 1980'!E9/'dat_file 1980'!E$60,4)</f>
        <v>0.13780000000000001</v>
      </c>
      <c r="F9">
        <f>'dat_file 1980'!F9</f>
        <v>1.2412000000000001</v>
      </c>
      <c r="G9">
        <f>'dat_file 1980'!G9</f>
        <v>1.2416</v>
      </c>
      <c r="H9">
        <f>ROUND('dat_file 1980'!H9/'dat_file 1980'!H$60,4)</f>
        <v>0.25059999999999999</v>
      </c>
    </row>
    <row r="10" spans="2:9">
      <c r="B10">
        <f>+Sheet3!A10</f>
        <v>1955</v>
      </c>
      <c r="C10">
        <f>ROUND('dat_file 1980'!C10/'dat_file 1980'!C$60,4)</f>
        <v>0.1706</v>
      </c>
      <c r="D10">
        <f>ROUND('dat_file 1980'!D10/'dat_file 1980'!D$60,4)</f>
        <v>0.15709999999999999</v>
      </c>
      <c r="E10">
        <f>ROUND('dat_file 1980'!E10/'dat_file 1980'!E$60,4)</f>
        <v>0.13719999999999999</v>
      </c>
      <c r="F10">
        <f>'dat_file 1980'!F10</f>
        <v>1.2466999999999999</v>
      </c>
      <c r="G10">
        <f>'dat_file 1980'!G10</f>
        <v>1.2463</v>
      </c>
      <c r="H10">
        <f>ROUND('dat_file 1980'!H10/'dat_file 1980'!H$60,4)</f>
        <v>0.24679999999999999</v>
      </c>
    </row>
    <row r="11" spans="2:9">
      <c r="B11">
        <f>+Sheet3!A11</f>
        <v>1956</v>
      </c>
      <c r="C11">
        <f>ROUND('dat_file 1980'!C11/'dat_file 1980'!C$60,4)</f>
        <v>0.1739</v>
      </c>
      <c r="D11">
        <f>ROUND('dat_file 1980'!D11/'dat_file 1980'!D$60,4)</f>
        <v>0.15959999999999999</v>
      </c>
      <c r="E11">
        <f>ROUND('dat_file 1980'!E11/'dat_file 1980'!E$60,4)</f>
        <v>0.13930000000000001</v>
      </c>
      <c r="F11">
        <f>'dat_file 1980'!F11</f>
        <v>1.2276</v>
      </c>
      <c r="G11">
        <f>'dat_file 1980'!G11</f>
        <v>1.2279</v>
      </c>
      <c r="H11">
        <f>ROUND('dat_file 1980'!H11/'dat_file 1980'!H$60,4)</f>
        <v>0.24790000000000001</v>
      </c>
    </row>
    <row r="12" spans="2:9">
      <c r="B12">
        <f>+Sheet3!A12</f>
        <v>1957</v>
      </c>
      <c r="C12">
        <f>ROUND('dat_file 1980'!C12/'dat_file 1980'!C$60,4)</f>
        <v>0.1792</v>
      </c>
      <c r="D12">
        <f>ROUND('dat_file 1980'!D12/'dat_file 1980'!D$60,4)</f>
        <v>0.1648</v>
      </c>
      <c r="E12">
        <f>ROUND('dat_file 1980'!E12/'dat_file 1980'!E$60,4)</f>
        <v>0.1439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1980'!H$60,4)</f>
        <v>0.25330000000000003</v>
      </c>
    </row>
    <row r="13" spans="2:9">
      <c r="B13">
        <f>+Sheet3!A13</f>
        <v>1958</v>
      </c>
      <c r="C13">
        <f>ROUND('dat_file 1980'!C13/'dat_file 1980'!C$60,4)</f>
        <v>0.18340000000000001</v>
      </c>
      <c r="D13">
        <f>ROUND('dat_file 1980'!D13/'dat_file 1980'!D$60,4)</f>
        <v>0.1694</v>
      </c>
      <c r="E13">
        <f>ROUND('dat_file 1980'!E13/'dat_file 1980'!E$60,4)</f>
        <v>0.14799999999999999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1980'!H$60,4)</f>
        <v>0.25750000000000001</v>
      </c>
    </row>
    <row r="14" spans="2:9">
      <c r="B14">
        <f>+Sheet3!A14</f>
        <v>1959</v>
      </c>
      <c r="C14">
        <f>ROUND('dat_file 1980'!C14/'dat_file 1980'!C$60,4)</f>
        <v>0.1862</v>
      </c>
      <c r="D14">
        <f>ROUND('dat_file 1980'!D14/'dat_file 1980'!D$60,4)</f>
        <v>0.17069999999999999</v>
      </c>
      <c r="E14">
        <f>ROUND('dat_file 1980'!E14/'dat_file 1980'!E$60,4)</f>
        <v>0.14899999999999999</v>
      </c>
      <c r="F14">
        <f>'dat_file 1980'!F14</f>
        <v>1.1472</v>
      </c>
      <c r="G14">
        <f>'dat_file 1980'!G14</f>
        <v>1.1477999999999999</v>
      </c>
      <c r="H14">
        <f>ROUND('dat_file 1980'!H14/'dat_file 1980'!H$60,4)</f>
        <v>0.25679999999999997</v>
      </c>
    </row>
    <row r="15" spans="2:9">
      <c r="B15">
        <f>+Sheet3!A15</f>
        <v>1960</v>
      </c>
      <c r="C15">
        <f>ROUND('dat_file 1980'!C15/'dat_file 1980'!C$60,4)</f>
        <v>0.18920000000000001</v>
      </c>
      <c r="D15">
        <f>ROUND('dat_file 1980'!D15/'dat_file 1980'!D$60,4)</f>
        <v>0.17349999999999999</v>
      </c>
      <c r="E15">
        <f>ROUND('dat_file 1980'!E15/'dat_file 1980'!E$60,4)</f>
        <v>0.15160000000000001</v>
      </c>
      <c r="F15">
        <f>'dat_file 1980'!F15</f>
        <v>1.1288</v>
      </c>
      <c r="G15">
        <f>'dat_file 1980'!G15</f>
        <v>1.1284000000000001</v>
      </c>
      <c r="H15">
        <f>ROUND('dat_file 1980'!H15/'dat_file 1980'!H$60,4)</f>
        <v>0.2581</v>
      </c>
    </row>
    <row r="16" spans="2:9">
      <c r="B16">
        <f>+Sheet3!A16</f>
        <v>1961</v>
      </c>
      <c r="C16">
        <f>ROUND('dat_file 1980'!C16/'dat_file 1980'!C$60,4)</f>
        <v>0.19120000000000001</v>
      </c>
      <c r="D16">
        <f>ROUND('dat_file 1980'!D16/'dat_file 1980'!D$60,4)</f>
        <v>0.17530000000000001</v>
      </c>
      <c r="E16">
        <f>ROUND('dat_file 1980'!E16/'dat_file 1980'!E$60,4)</f>
        <v>0.15310000000000001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1980'!H$60,4)</f>
        <v>0.25790000000000002</v>
      </c>
    </row>
    <row r="17" spans="2:8">
      <c r="B17">
        <f>+Sheet3!A17</f>
        <v>1962</v>
      </c>
      <c r="C17">
        <f>ROUND('dat_file 1980'!C17/'dat_file 1980'!C$60,4)</f>
        <v>0.19339999999999999</v>
      </c>
      <c r="D17">
        <f>ROUND('dat_file 1980'!D17/'dat_file 1980'!D$60,4)</f>
        <v>0.17699999999999999</v>
      </c>
      <c r="E17">
        <f>ROUND('dat_file 1980'!E17/'dat_file 1980'!E$60,4)</f>
        <v>0.15459999999999999</v>
      </c>
      <c r="F17">
        <f>'dat_file 1980'!F17</f>
        <v>1.1065</v>
      </c>
      <c r="G17">
        <f>'dat_file 1980'!G17</f>
        <v>1.1060000000000001</v>
      </c>
      <c r="H17">
        <f>ROUND('dat_file 1980'!H17/'dat_file 1980'!H$60,4)</f>
        <v>0.2576</v>
      </c>
    </row>
    <row r="18" spans="2:8">
      <c r="B18">
        <f>+Sheet3!A18</f>
        <v>1963</v>
      </c>
      <c r="C18">
        <f>ROUND('dat_file 1980'!C18/'dat_file 1980'!C$60,4)</f>
        <v>0.1958</v>
      </c>
      <c r="D18">
        <f>ROUND('dat_file 1980'!D18/'dat_file 1980'!D$60,4)</f>
        <v>0.17949999999999999</v>
      </c>
      <c r="E18">
        <f>ROUND('dat_file 1980'!E18/'dat_file 1980'!E$60,4)</f>
        <v>0.15670000000000001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1980'!H$60,4)</f>
        <v>0.25829999999999997</v>
      </c>
    </row>
    <row r="19" spans="2:8">
      <c r="B19">
        <f>+Sheet3!A19</f>
        <v>1964</v>
      </c>
      <c r="C19">
        <f>ROUND('dat_file 1980'!C19/'dat_file 1980'!C$60,4)</f>
        <v>0.1986</v>
      </c>
      <c r="D19">
        <f>ROUND('dat_file 1980'!D19/'dat_file 1980'!D$60,4)</f>
        <v>0.18190000000000001</v>
      </c>
      <c r="E19">
        <f>ROUND('dat_file 1980'!E19/'dat_file 1980'!E$60,4)</f>
        <v>0.15870000000000001</v>
      </c>
      <c r="F19">
        <f>'dat_file 1980'!F19</f>
        <v>1.0768</v>
      </c>
      <c r="G19">
        <f>'dat_file 1980'!G19</f>
        <v>1.0773999999999999</v>
      </c>
      <c r="H19">
        <f>ROUND('dat_file 1980'!H19/'dat_file 1980'!H$60,4)</f>
        <v>0.25900000000000001</v>
      </c>
    </row>
    <row r="20" spans="2:8">
      <c r="B20">
        <f>+Sheet3!A20</f>
        <v>1965</v>
      </c>
      <c r="C20">
        <f>ROUND('dat_file 1980'!C20/'dat_file 1980'!C$60,4)</f>
        <v>0.20150000000000001</v>
      </c>
      <c r="D20">
        <f>ROUND('dat_file 1980'!D20/'dat_file 1980'!D$60,4)</f>
        <v>0.1847</v>
      </c>
      <c r="E20">
        <f>ROUND('dat_file 1980'!E20/'dat_file 1980'!E$60,4)</f>
        <v>0.1613</v>
      </c>
      <c r="F20">
        <f>'dat_file 1980'!F20</f>
        <v>1.0605</v>
      </c>
      <c r="G20">
        <f>'dat_file 1980'!G20</f>
        <v>1.0603</v>
      </c>
      <c r="H20">
        <f>ROUND('dat_file 1980'!H20/'dat_file 1980'!H$60,4)</f>
        <v>0.26019999999999999</v>
      </c>
    </row>
    <row r="21" spans="2:8">
      <c r="B21">
        <f>+Sheet3!A21</f>
        <v>1966</v>
      </c>
      <c r="C21">
        <f>ROUND('dat_file 1980'!C21/'dat_file 1980'!C$60,4)</f>
        <v>0.20649999999999999</v>
      </c>
      <c r="D21">
        <f>ROUND('dat_file 1980'!D21/'dat_file 1980'!D$60,4)</f>
        <v>0.18990000000000001</v>
      </c>
      <c r="E21">
        <f>ROUND('dat_file 1980'!E21/'dat_file 1980'!E$60,4)</f>
        <v>0.16589999999999999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1980'!H$60,4)</f>
        <v>0.26469999999999999</v>
      </c>
    </row>
    <row r="22" spans="2:8">
      <c r="B22">
        <f>+Sheet3!A22</f>
        <v>1967</v>
      </c>
      <c r="C22">
        <f>ROUND('dat_file 1980'!C22/'dat_file 1980'!C$60,4)</f>
        <v>0.2117</v>
      </c>
      <c r="D22">
        <f>ROUND('dat_file 1980'!D22/'dat_file 1980'!D$60,4)</f>
        <v>0.19589999999999999</v>
      </c>
      <c r="E22">
        <f>ROUND('dat_file 1980'!E22/'dat_file 1980'!E$60,4)</f>
        <v>0.17100000000000001</v>
      </c>
      <c r="F22">
        <f>'dat_file 1980'!F22</f>
        <v>1</v>
      </c>
      <c r="G22">
        <f>'dat_file 1980'!G22</f>
        <v>1</v>
      </c>
      <c r="H22">
        <f>ROUND('dat_file 1980'!H22/'dat_file 1980'!H$60,4)</f>
        <v>0.27</v>
      </c>
    </row>
    <row r="23" spans="2:8">
      <c r="B23">
        <f>+Sheet3!A23</f>
        <v>1968</v>
      </c>
      <c r="C23">
        <f>ROUND('dat_file 1980'!C23/'dat_file 1980'!C$60,4)</f>
        <v>0.22</v>
      </c>
      <c r="D23">
        <f>ROUND('dat_file 1980'!D23/'dat_file 1980'!D$60,4)</f>
        <v>0.2036</v>
      </c>
      <c r="E23">
        <f>ROUND('dat_file 1980'!E23/'dat_file 1980'!E$60,4)</f>
        <v>0.1782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1980'!H$60,4)</f>
        <v>0.27760000000000001</v>
      </c>
    </row>
    <row r="24" spans="2:8">
      <c r="B24">
        <f>+Sheet3!A24</f>
        <v>1969</v>
      </c>
      <c r="C24">
        <f>ROUND('dat_file 1980'!C24/'dat_file 1980'!C$60,4)</f>
        <v>0.22989999999999999</v>
      </c>
      <c r="D24">
        <f>ROUND('dat_file 1980'!D24/'dat_file 1980'!D$60,4)</f>
        <v>0.2127</v>
      </c>
      <c r="E24">
        <f>ROUND('dat_file 1980'!E24/'dat_file 1980'!E$60,4)</f>
        <v>0.18790000000000001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1980'!H$60,4)</f>
        <v>0.28699999999999998</v>
      </c>
    </row>
    <row r="25" spans="2:8">
      <c r="B25">
        <f>+Sheet3!A25</f>
        <v>1970</v>
      </c>
      <c r="C25">
        <f>ROUND('dat_file 1980'!C25/'dat_file 1980'!C$60,4)</f>
        <v>0.2407</v>
      </c>
      <c r="D25">
        <f>ROUND('dat_file 1980'!D25/'dat_file 1980'!D$60,4)</f>
        <v>0.22309999999999999</v>
      </c>
      <c r="E25">
        <f>ROUND('dat_file 1980'!E25/'dat_file 1980'!E$60,4)</f>
        <v>0.19869999999999999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1980'!H$60,4)</f>
        <v>0.29799999999999999</v>
      </c>
    </row>
    <row r="26" spans="2:8">
      <c r="B26">
        <f>+Sheet3!A26</f>
        <v>1971</v>
      </c>
      <c r="C26">
        <f>ROUND('dat_file 1980'!C26/'dat_file 1980'!C$60,4)</f>
        <v>0.25090000000000001</v>
      </c>
      <c r="D26">
        <f>ROUND('dat_file 1980'!D26/'dat_file 1980'!D$60,4)</f>
        <v>0.2329</v>
      </c>
      <c r="E26">
        <f>ROUND('dat_file 1980'!E26/'dat_file 1980'!E$60,4)</f>
        <v>0.2074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1980'!H$60,4)</f>
        <v>0.30780000000000002</v>
      </c>
    </row>
    <row r="27" spans="2:8">
      <c r="B27">
        <f>+Sheet3!A27</f>
        <v>1972</v>
      </c>
      <c r="C27">
        <f>ROUND('dat_file 1980'!C27/'dat_file 1980'!C$60,4)</f>
        <v>0.25950000000000001</v>
      </c>
      <c r="D27">
        <f>ROUND('dat_file 1980'!D27/'dat_file 1980'!D$60,4)</f>
        <v>0.2399</v>
      </c>
      <c r="E27">
        <f>ROUND('dat_file 1980'!E27/'dat_file 1980'!E$60,4)</f>
        <v>0.214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1980'!H$60,4)</f>
        <v>0.31359999999999999</v>
      </c>
    </row>
    <row r="28" spans="2:8">
      <c r="B28">
        <f>+Sheet3!A28</f>
        <v>1973</v>
      </c>
      <c r="C28">
        <f>ROUND('dat_file 1980'!C28/'dat_file 1980'!C$60,4)</f>
        <v>0.27339999999999998</v>
      </c>
      <c r="D28">
        <f>ROUND('dat_file 1980'!D28/'dat_file 1980'!D$60,4)</f>
        <v>0.25490000000000002</v>
      </c>
      <c r="E28">
        <f>ROUND('dat_file 1980'!E28/'dat_file 1980'!E$60,4)</f>
        <v>0.2273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1980'!H$60,4)</f>
        <v>0.32979999999999998</v>
      </c>
    </row>
    <row r="29" spans="2:8">
      <c r="B29">
        <f>+Sheet3!A29</f>
        <v>1974</v>
      </c>
      <c r="C29">
        <f>ROUND('dat_file 1980'!C29/'dat_file 1980'!C$60,4)</f>
        <v>0.3019</v>
      </c>
      <c r="D29">
        <f>ROUND('dat_file 1980'!D29/'dat_file 1980'!D$60,4)</f>
        <v>0.28039999999999998</v>
      </c>
      <c r="E29">
        <f>ROUND('dat_file 1980'!E29/'dat_file 1980'!E$60,4)</f>
        <v>0.25240000000000001</v>
      </c>
      <c r="F29">
        <f>'dat_file 1980'!F29</f>
        <v>0.6986</v>
      </c>
      <c r="G29">
        <f>'dat_file 1980'!G29</f>
        <v>0.67749999999999999</v>
      </c>
      <c r="H29">
        <f>ROUND('dat_file 1980'!H29/'dat_file 1980'!H$60,4)</f>
        <v>0.35909999999999997</v>
      </c>
    </row>
    <row r="30" spans="2:8">
      <c r="B30">
        <f>+Sheet3!A30</f>
        <v>1975</v>
      </c>
      <c r="C30">
        <f>ROUND('dat_file 1980'!C30/'dat_file 1980'!C$60,4)</f>
        <v>0.3271</v>
      </c>
      <c r="D30">
        <f>ROUND('dat_file 1980'!D30/'dat_file 1980'!D$60,4)</f>
        <v>0.3034</v>
      </c>
      <c r="E30">
        <f>ROUND('dat_file 1980'!E30/'dat_file 1980'!E$60,4)</f>
        <v>0.27550000000000002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1980'!H$60,4)</f>
        <v>0.38469999999999999</v>
      </c>
    </row>
    <row r="31" spans="2:8">
      <c r="B31">
        <f>+Sheet3!A31</f>
        <v>1976</v>
      </c>
      <c r="C31">
        <f>ROUND('dat_file 1980'!C31/'dat_file 1980'!C$60,4)</f>
        <v>0.34499999999999997</v>
      </c>
      <c r="D31">
        <f>ROUND('dat_file 1980'!D31/'dat_file 1980'!D$60,4)</f>
        <v>0.32090000000000002</v>
      </c>
      <c r="E31">
        <f>ROUND('dat_file 1980'!E31/'dat_file 1980'!E$60,4)</f>
        <v>0.2913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1980'!H$60,4)</f>
        <v>0.40260000000000001</v>
      </c>
    </row>
    <row r="32" spans="2:8">
      <c r="B32">
        <f>+Sheet3!A32</f>
        <v>1977</v>
      </c>
      <c r="C32">
        <f>ROUND('dat_file 1980'!C32/'dat_file 1980'!C$60,4)</f>
        <v>0.36749999999999999</v>
      </c>
      <c r="D32">
        <f>ROUND('dat_file 1980'!D32/'dat_file 1980'!D$60,4)</f>
        <v>0.34110000000000001</v>
      </c>
      <c r="E32">
        <f>ROUND('dat_file 1980'!E32/'dat_file 1980'!E$60,4)</f>
        <v>0.31030000000000002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1980'!H$60,4)</f>
        <v>0.42349999999999999</v>
      </c>
    </row>
    <row r="33" spans="2:8">
      <c r="B33">
        <f>+Sheet3!A33</f>
        <v>1978</v>
      </c>
      <c r="C33">
        <f>ROUND('dat_file 1980'!C33/'dat_file 1980'!C$60,4)</f>
        <v>0.39300000000000002</v>
      </c>
      <c r="D33">
        <f>ROUND('dat_file 1980'!D33/'dat_file 1980'!D$60,4)</f>
        <v>0.36449999999999999</v>
      </c>
      <c r="E33">
        <f>ROUND('dat_file 1980'!E33/'dat_file 1980'!E$60,4)</f>
        <v>0.33389999999999997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1980'!H$60,4)</f>
        <v>0.44919999999999999</v>
      </c>
    </row>
    <row r="34" spans="2:8">
      <c r="B34">
        <f>+Sheet3!A34</f>
        <v>1979</v>
      </c>
      <c r="C34">
        <f>ROUND('dat_file 1980'!C34/'dat_file 1980'!C$60,4)</f>
        <v>0.4279</v>
      </c>
      <c r="D34">
        <f>ROUND('dat_file 1980'!D34/'dat_file 1980'!D$60,4)</f>
        <v>0.39910000000000001</v>
      </c>
      <c r="E34">
        <f>ROUND('dat_file 1980'!E34/'dat_file 1980'!E$60,4)</f>
        <v>0.37180000000000002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1980'!H$60,4)</f>
        <v>0.48820000000000002</v>
      </c>
    </row>
    <row r="35" spans="2:8">
      <c r="B35">
        <f>+Sheet3!A35</f>
        <v>1980</v>
      </c>
      <c r="C35">
        <f>ROUND('dat_file 1980'!C35/'dat_file 1980'!C$60,4)</f>
        <v>0.47399999999999998</v>
      </c>
      <c r="D35">
        <f>ROUND('dat_file 1980'!D35/'dat_file 1980'!D$60,4)</f>
        <v>0.44379999999999997</v>
      </c>
      <c r="E35">
        <f>ROUND('dat_file 1980'!E35/'dat_file 1980'!E$60,4)</f>
        <v>0.4219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1980'!H$60,4)</f>
        <v>0.53900000000000003</v>
      </c>
    </row>
    <row r="36" spans="2:8">
      <c r="B36">
        <f>+Sheet3!A36</f>
        <v>1981</v>
      </c>
      <c r="C36">
        <f>ROUND('dat_file 1980'!C36/'dat_file 1980'!C$60,4)</f>
        <v>0.51649999999999996</v>
      </c>
      <c r="D36">
        <f>ROUND('dat_file 1980'!D36/'dat_file 1980'!D$60,4)</f>
        <v>0.48570000000000002</v>
      </c>
      <c r="E36">
        <f>ROUND('dat_file 1980'!E36/'dat_file 1980'!E$60,4)</f>
        <v>0.46550000000000002</v>
      </c>
      <c r="F36">
        <f>'dat_file 1980'!F36</f>
        <v>0.40329999999999999</v>
      </c>
      <c r="G36">
        <f>'dat_file 1980'!G36</f>
        <v>0.3674</v>
      </c>
      <c r="H36">
        <f>ROUND('dat_file 1980'!H36/'dat_file 1980'!H$60,4)</f>
        <v>0.58560000000000001</v>
      </c>
    </row>
    <row r="37" spans="2:8">
      <c r="B37">
        <f>+Sheet3!A37</f>
        <v>1982</v>
      </c>
      <c r="C37">
        <f>ROUND('dat_file 1980'!C37/'dat_file 1980'!C$60,4)</f>
        <v>0.54520000000000002</v>
      </c>
      <c r="D37">
        <f>ROUND('dat_file 1980'!D37/'dat_file 1980'!D$60,4)</f>
        <v>0.51500000000000001</v>
      </c>
      <c r="E37">
        <f>ROUND('dat_file 1980'!E37/'dat_file 1980'!E$60,4)</f>
        <v>0.49409999999999998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1980'!H$60,4)</f>
        <v>0.61619999999999997</v>
      </c>
    </row>
    <row r="38" spans="2:8">
      <c r="B38">
        <f>+Sheet3!A38</f>
        <v>1983</v>
      </c>
      <c r="C38">
        <f>ROUND('dat_file 1980'!C38/'dat_file 1980'!C$60,4)</f>
        <v>0.56840000000000002</v>
      </c>
      <c r="D38">
        <f>ROUND('dat_file 1980'!D38/'dat_file 1980'!D$60,4)</f>
        <v>0.53700000000000003</v>
      </c>
      <c r="E38">
        <f>ROUND('dat_file 1980'!E38/'dat_file 1980'!E$60,4)</f>
        <v>0.51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1980'!H$60,4)</f>
        <v>0.63759999999999994</v>
      </c>
    </row>
    <row r="39" spans="2:8">
      <c r="B39">
        <f>+Sheet3!A39</f>
        <v>1984</v>
      </c>
      <c r="C39">
        <f>ROUND('dat_file 1980'!C39/'dat_file 1980'!C$60,4)</f>
        <v>0.58979999999999999</v>
      </c>
      <c r="D39">
        <f>ROUND('dat_file 1980'!D39/'dat_file 1980'!D$60,4)</f>
        <v>0.55940000000000001</v>
      </c>
      <c r="E39">
        <f>ROUND('dat_file 1980'!E39/'dat_file 1980'!E$60,4)</f>
        <v>0.53200000000000003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1980'!H$60,4)</f>
        <v>0.65910000000000002</v>
      </c>
    </row>
    <row r="40" spans="2:8">
      <c r="B40">
        <f>+Sheet3!A40</f>
        <v>1985</v>
      </c>
      <c r="C40">
        <f>ROUND('dat_file 1980'!C40/'dat_file 1980'!C$60,4)</f>
        <v>0.61040000000000005</v>
      </c>
      <c r="D40">
        <f>ROUND('dat_file 1980'!D40/'dat_file 1980'!D$60,4)</f>
        <v>0.57820000000000005</v>
      </c>
      <c r="E40">
        <f>ROUND('dat_file 1980'!E40/'dat_file 1980'!E$60,4)</f>
        <v>0.55089999999999995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1980'!H$60,4)</f>
        <v>0.67600000000000005</v>
      </c>
    </row>
    <row r="41" spans="2:8">
      <c r="B41">
        <f>+Sheet3!A41</f>
        <v>1986</v>
      </c>
      <c r="C41">
        <f>ROUND('dat_file 1980'!C41/'dat_file 1980'!C$60,4)</f>
        <v>0.62370000000000003</v>
      </c>
      <c r="D41">
        <f>ROUND('dat_file 1980'!D41/'dat_file 1980'!D$60,4)</f>
        <v>0.58799999999999997</v>
      </c>
      <c r="E41">
        <f>ROUND('dat_file 1980'!E41/'dat_file 1980'!E$60,4)</f>
        <v>0.56120000000000003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1980'!H$60,4)</f>
        <v>0.68200000000000005</v>
      </c>
    </row>
    <row r="42" spans="2:8">
      <c r="B42">
        <f>+Sheet3!A42</f>
        <v>1987</v>
      </c>
      <c r="C42">
        <f>ROUND('dat_file 1980'!C42/'dat_file 1980'!C$60,4)</f>
        <v>0.64290000000000003</v>
      </c>
      <c r="D42">
        <f>ROUND('dat_file 1980'!D42/'dat_file 1980'!D$60,4)</f>
        <v>0.6079</v>
      </c>
      <c r="E42">
        <f>ROUND('dat_file 1980'!E42/'dat_file 1980'!E$60,4)</f>
        <v>0.58169999999999999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1980'!H$60,4)</f>
        <v>0.69969999999999999</v>
      </c>
    </row>
    <row r="43" spans="2:8">
      <c r="B43">
        <f>+Sheet3!A43</f>
        <v>1988</v>
      </c>
      <c r="C43">
        <f>ROUND('dat_file 1980'!C43/'dat_file 1980'!C$60,4)</f>
        <v>0.66800000000000004</v>
      </c>
      <c r="D43">
        <f>ROUND('dat_file 1980'!D43/'dat_file 1980'!D$60,4)</f>
        <v>0.63019999999999998</v>
      </c>
      <c r="E43">
        <f>ROUND('dat_file 1980'!E43/'dat_file 1980'!E$60,4)</f>
        <v>0.60580000000000001</v>
      </c>
      <c r="F43">
        <f>'dat_file 1980'!F43</f>
        <v>0.31080000000000002</v>
      </c>
      <c r="G43">
        <f>'dat_file 1980'!G43</f>
        <v>0.2823</v>
      </c>
      <c r="H43">
        <f>ROUND('dat_file 1980'!H43/'dat_file 1980'!H$60,4)</f>
        <v>0.7198</v>
      </c>
    </row>
    <row r="44" spans="2:8">
      <c r="B44">
        <f>+Sheet3!A44</f>
        <v>1989</v>
      </c>
      <c r="C44">
        <f>ROUND('dat_file 1980'!C44/'dat_file 1980'!C$60,4)</f>
        <v>0.69720000000000004</v>
      </c>
      <c r="D44">
        <f>ROUND('dat_file 1980'!D44/'dat_file 1980'!D$60,4)</f>
        <v>0.65749999999999997</v>
      </c>
      <c r="E44">
        <f>ROUND('dat_file 1980'!E44/'dat_file 1980'!E$60,4)</f>
        <v>0.63500000000000001</v>
      </c>
      <c r="F44">
        <f>'dat_file 1980'!F44</f>
        <v>0.2979</v>
      </c>
      <c r="G44">
        <f>'dat_file 1980'!G44</f>
        <v>0.26939999999999997</v>
      </c>
      <c r="H44">
        <f>ROUND('dat_file 1980'!H44/'dat_file 1980'!H$60,4)</f>
        <v>0.74519999999999997</v>
      </c>
    </row>
    <row r="45" spans="2:8">
      <c r="B45">
        <f>+Sheet3!A45</f>
        <v>1990</v>
      </c>
      <c r="C45">
        <f>ROUND('dat_file 1980'!C45/'dat_file 1980'!C$60,4)</f>
        <v>0.7278</v>
      </c>
      <c r="D45">
        <f>ROUND('dat_file 1980'!D45/'dat_file 1980'!D$60,4)</f>
        <v>0.69</v>
      </c>
      <c r="E45">
        <f>ROUND('dat_file 1980'!E45/'dat_file 1980'!E$60,4)</f>
        <v>0.66930000000000001</v>
      </c>
      <c r="F45">
        <f>'dat_file 1980'!F45</f>
        <v>0.28389999999999999</v>
      </c>
      <c r="G45">
        <f>'dat_file 1980'!G45</f>
        <v>0.2555</v>
      </c>
      <c r="H45">
        <f>ROUND('dat_file 1980'!H45/'dat_file 1980'!H$60,4)</f>
        <v>0.77600000000000002</v>
      </c>
    </row>
    <row r="46" spans="2:8">
      <c r="B46">
        <f>+Sheet3!A46</f>
        <v>1991</v>
      </c>
      <c r="C46">
        <f>ROUND('dat_file 1980'!C46/'dat_file 1980'!C$60,4)</f>
        <v>0.75219999999999998</v>
      </c>
      <c r="D46">
        <f>ROUND('dat_file 1980'!D46/'dat_file 1980'!D$60,4)</f>
        <v>0.71509999999999996</v>
      </c>
      <c r="E46">
        <f>ROUND('dat_file 1980'!E46/'dat_file 1980'!E$60,4)</f>
        <v>0.69740000000000002</v>
      </c>
      <c r="F46">
        <f>'dat_file 1980'!F46</f>
        <v>0.27389999999999998</v>
      </c>
      <c r="G46">
        <f>'dat_file 1980'!G46</f>
        <v>0.2452</v>
      </c>
      <c r="H46">
        <f>ROUND('dat_file 1980'!H46/'dat_file 1980'!H$60,4)</f>
        <v>0.79800000000000004</v>
      </c>
    </row>
    <row r="47" spans="2:8">
      <c r="B47">
        <f>+Sheet3!A47</f>
        <v>1992</v>
      </c>
      <c r="C47">
        <f>ROUND('dat_file 1980'!C47/'dat_file 1980'!C$60,4)</f>
        <v>0.7722</v>
      </c>
      <c r="D47">
        <f>ROUND('dat_file 1980'!D47/'dat_file 1980'!D$60,4)</f>
        <v>0.7329</v>
      </c>
      <c r="E47">
        <f>ROUND('dat_file 1980'!E47/'dat_file 1980'!E$60,4)</f>
        <v>0.71840000000000004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1980'!H$60,4)</f>
        <v>0.8115</v>
      </c>
    </row>
    <row r="48" spans="2:8">
      <c r="B48">
        <f>+Sheet3!A48</f>
        <v>1993</v>
      </c>
      <c r="C48">
        <f>ROUND('dat_file 1980'!C48/'dat_file 1980'!C$60,4)</f>
        <v>0.79139999999999999</v>
      </c>
      <c r="D48">
        <f>ROUND('dat_file 1980'!D48/'dat_file 1980'!D$60,4)</f>
        <v>0.75139999999999996</v>
      </c>
      <c r="E48">
        <f>ROUND('dat_file 1980'!E48/'dat_file 1980'!E$60,4)</f>
        <v>0.7399</v>
      </c>
      <c r="F48">
        <f>'dat_file 1980'!F48</f>
        <v>0.26069999999999999</v>
      </c>
      <c r="G48">
        <f>'dat_file 1980'!G48</f>
        <v>0.2311</v>
      </c>
      <c r="H48">
        <f>ROUND('dat_file 1980'!H48/'dat_file 1980'!H$60,4)</f>
        <v>0.82550000000000001</v>
      </c>
    </row>
    <row r="49" spans="2:8">
      <c r="B49">
        <f>+Sheet3!A49</f>
        <v>1994</v>
      </c>
      <c r="C49">
        <f>ROUND('dat_file 1980'!C49/'dat_file 1980'!C$60,4)</f>
        <v>0.80800000000000005</v>
      </c>
      <c r="D49">
        <f>ROUND('dat_file 1980'!D49/'dat_file 1980'!D$60,4)</f>
        <v>0.7671</v>
      </c>
      <c r="E49">
        <f>ROUND('dat_file 1980'!E49/'dat_file 1980'!E$60,4)</f>
        <v>0.75880000000000003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1980'!H$60,4)</f>
        <v>0.83620000000000005</v>
      </c>
    </row>
    <row r="50" spans="2:8">
      <c r="B50">
        <f>+Sheet3!A50</f>
        <v>1995</v>
      </c>
      <c r="C50">
        <f>ROUND('dat_file 1980'!C50/'dat_file 1980'!C$60,4)</f>
        <v>0.82499999999999996</v>
      </c>
      <c r="D50">
        <f>ROUND('dat_file 1980'!D50/'dat_file 1980'!D$60,4)</f>
        <v>0.78559999999999997</v>
      </c>
      <c r="E50">
        <f>ROUND('dat_file 1980'!E50/'dat_file 1980'!E$60,4)</f>
        <v>0.78029999999999999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1980'!H$60,4)</f>
        <v>0.84970000000000001</v>
      </c>
    </row>
    <row r="51" spans="2:8">
      <c r="B51">
        <f>+Sheet3!A51</f>
        <v>1996</v>
      </c>
      <c r="C51">
        <f>ROUND('dat_file 1980'!C51/'dat_file 1980'!C$60,4)</f>
        <v>0.84260000000000002</v>
      </c>
      <c r="D51">
        <f>ROUND('dat_file 1980'!D51/'dat_file 1980'!D$60,4)</f>
        <v>0.80659999999999998</v>
      </c>
      <c r="E51">
        <f>ROUND('dat_file 1980'!E51/'dat_file 1980'!E$60,4)</f>
        <v>0.8034</v>
      </c>
      <c r="F51">
        <f>'dat_file 1980'!F51</f>
        <v>0.2429</v>
      </c>
      <c r="G51">
        <f>'dat_file 1980'!G51</f>
        <v>0.21290000000000001</v>
      </c>
      <c r="H51">
        <f>ROUND('dat_file 1980'!H51/'dat_file 1980'!H$60,4)</f>
        <v>0.86550000000000005</v>
      </c>
    </row>
    <row r="52" spans="2:8">
      <c r="B52">
        <f>+Sheet3!A52</f>
        <v>1997</v>
      </c>
      <c r="C52">
        <f>ROUND('dat_file 1980'!C52/'dat_file 1980'!C$60,4)</f>
        <v>0.85729999999999995</v>
      </c>
      <c r="D52">
        <f>ROUND('dat_file 1980'!D52/'dat_file 1980'!D$60,4)</f>
        <v>0.82399999999999995</v>
      </c>
      <c r="E52">
        <f>ROUND('dat_file 1980'!E52/'dat_file 1980'!E$60,4)</f>
        <v>0.82179999999999997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1980'!H$60,4)</f>
        <v>0.87729999999999997</v>
      </c>
    </row>
    <row r="53" spans="2:8">
      <c r="B53">
        <f>+Sheet3!A53</f>
        <v>1998</v>
      </c>
      <c r="C53">
        <f>ROUND('dat_file 1980'!C53/'dat_file 1980'!C$60,4)</f>
        <v>0.86409999999999998</v>
      </c>
      <c r="D53">
        <f>ROUND('dat_file 1980'!D53/'dat_file 1980'!D$60,4)</f>
        <v>0.83520000000000005</v>
      </c>
      <c r="E53">
        <f>ROUND('dat_file 1980'!E53/'dat_file 1980'!E$60,4)</f>
        <v>0.83460000000000001</v>
      </c>
      <c r="F53">
        <f>'dat_file 1980'!F53</f>
        <v>0.23449999999999999</v>
      </c>
      <c r="G53">
        <f>'dat_file 1980'!G53</f>
        <v>0.2049</v>
      </c>
      <c r="H53">
        <f>ROUND('dat_file 1980'!H53/'dat_file 1980'!H$60,4)</f>
        <v>0.88219999999999998</v>
      </c>
    </row>
    <row r="54" spans="2:8">
      <c r="B54">
        <f>+Sheet3!A54</f>
        <v>1999</v>
      </c>
      <c r="C54">
        <f>ROUND('dat_file 1980'!C54/'dat_file 1980'!C$60,4)</f>
        <v>0.87670000000000003</v>
      </c>
      <c r="D54">
        <f>ROUND('dat_file 1980'!D54/'dat_file 1980'!D$60,4)</f>
        <v>0.85270000000000001</v>
      </c>
      <c r="E54">
        <f>ROUND('dat_file 1980'!E54/'dat_file 1980'!E$60,4)</f>
        <v>0.85299999999999998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1980'!H$60,4)</f>
        <v>0.89359999999999995</v>
      </c>
    </row>
    <row r="55" spans="2:8">
      <c r="B55">
        <f>+Sheet3!A55</f>
        <v>2000</v>
      </c>
      <c r="C55">
        <f>ROUND('dat_file 1980'!C55/'dat_file 1980'!C$60,4)</f>
        <v>0.89890000000000003</v>
      </c>
      <c r="D55">
        <f>ROUND('dat_file 1980'!D55/'dat_file 1980'!D$60,4)</f>
        <v>0.88160000000000005</v>
      </c>
      <c r="E55">
        <f>ROUND('dat_file 1980'!E55/'dat_file 1980'!E$60,4)</f>
        <v>0.88170000000000004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1980'!H$60,4)</f>
        <v>0.91679999999999995</v>
      </c>
    </row>
    <row r="56" spans="2:8">
      <c r="B56">
        <f>+Sheet3!A56</f>
        <v>2001</v>
      </c>
      <c r="C56">
        <f>ROUND('dat_file 1980'!C56/'dat_file 1980'!C$60,4)</f>
        <v>0.91690000000000005</v>
      </c>
      <c r="D56">
        <f>ROUND('dat_file 1980'!D56/'dat_file 1980'!D$60,4)</f>
        <v>0.90680000000000005</v>
      </c>
      <c r="E56">
        <f>ROUND('dat_file 1980'!E56/'dat_file 1980'!E$60,4)</f>
        <v>0.90680000000000005</v>
      </c>
      <c r="F56">
        <f>'dat_file 1980'!F56</f>
        <v>0.216</v>
      </c>
      <c r="G56">
        <f>'dat_file 1980'!G56</f>
        <v>0.18859999999999999</v>
      </c>
      <c r="H56">
        <f>ROUND('dat_file 1980'!H56/'dat_file 1980'!H$60,4)</f>
        <v>0.93559999999999999</v>
      </c>
    </row>
    <row r="57" spans="2:8">
      <c r="B57">
        <f>+Sheet3!A57</f>
        <v>2002</v>
      </c>
      <c r="C57">
        <f>ROUND('dat_file 1980'!C57/'dat_file 1980'!C$60,4)</f>
        <v>0.92889999999999995</v>
      </c>
      <c r="D57">
        <f>ROUND('dat_file 1980'!D57/'dat_file 1980'!D$60,4)</f>
        <v>0.92110000000000003</v>
      </c>
      <c r="E57">
        <f>ROUND('dat_file 1980'!E57/'dat_file 1980'!E$60,4)</f>
        <v>0.92120000000000002</v>
      </c>
      <c r="F57">
        <f>'dat_file 1980'!F57</f>
        <v>0.2127</v>
      </c>
      <c r="G57">
        <f>'dat_file 1980'!G57</f>
        <v>0.1857</v>
      </c>
      <c r="H57">
        <f>ROUND('dat_file 1980'!H57/'dat_file 1980'!H$60,4)</f>
        <v>0.94289999999999996</v>
      </c>
    </row>
    <row r="58" spans="2:8">
      <c r="B58">
        <f>+Sheet3!A58</f>
        <v>2003</v>
      </c>
      <c r="C58">
        <f>ROUND('dat_file 1980'!C58/'dat_file 1980'!C$60,4)</f>
        <v>0.94840000000000002</v>
      </c>
      <c r="D58">
        <f>ROUND('dat_file 1980'!D58/'dat_file 1980'!D$60,4)</f>
        <v>0.94199999999999995</v>
      </c>
      <c r="E58">
        <f>ROUND('dat_file 1980'!E58/'dat_file 1980'!E$60,4)</f>
        <v>0.94220000000000004</v>
      </c>
      <c r="F58">
        <f>'dat_file 1980'!F58</f>
        <v>0.2079</v>
      </c>
      <c r="G58">
        <f>'dat_file 1980'!G58</f>
        <v>0.18149999999999999</v>
      </c>
      <c r="H58">
        <f>ROUND('dat_file 1980'!H58/'dat_file 1980'!H$60,4)</f>
        <v>0.95679999999999998</v>
      </c>
    </row>
    <row r="59" spans="2:8">
      <c r="B59">
        <f>+Sheet3!A59</f>
        <v>2004</v>
      </c>
      <c r="C59">
        <f>ROUND('dat_file 1980'!C59/'dat_file 1980'!C$60,4)</f>
        <v>0.97199999999999998</v>
      </c>
      <c r="D59">
        <f>ROUND('dat_file 1980'!D59/'dat_file 1980'!D$60,4)</f>
        <v>0.96719999999999995</v>
      </c>
      <c r="E59">
        <f>ROUND('dat_file 1980'!E59/'dat_file 1980'!E$60,4)</f>
        <v>0.96730000000000005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1980'!H$60,4)</f>
        <v>0.97470000000000001</v>
      </c>
    </row>
    <row r="60" spans="2:8">
      <c r="B60">
        <f>+Sheet3!A60</f>
        <v>2005</v>
      </c>
      <c r="C60">
        <f>ROUND('dat_file 1980'!C60/'dat_file 1980'!C$60,4)</f>
        <v>1</v>
      </c>
      <c r="D60">
        <f>ROUND('dat_file 1980'!D60/'dat_file 1980'!D$60,4)</f>
        <v>1</v>
      </c>
      <c r="E60">
        <f>ROUND('dat_file 1980'!E60/'dat_file 1980'!E$60,4)</f>
        <v>1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1980'!H$60,4)</f>
        <v>1</v>
      </c>
    </row>
    <row r="61" spans="2:8">
      <c r="B61">
        <f>+Sheet3!A61</f>
        <v>2006</v>
      </c>
      <c r="C61">
        <f>ROUND('dat_file 1980'!C61/'dat_file 1980'!C$60,4)</f>
        <v>1.0282</v>
      </c>
      <c r="D61">
        <f>ROUND('dat_file 1980'!D61/'dat_file 1980'!D$60,4)</f>
        <v>1.0325</v>
      </c>
      <c r="E61">
        <f>ROUND('dat_file 1980'!E61/'dat_file 1980'!E$60,4)</f>
        <v>1.0322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1980'!H$60,4)</f>
        <v>1.0245</v>
      </c>
    </row>
    <row r="62" spans="2:8">
      <c r="B62">
        <f>+Sheet3!A62</f>
        <v>2007</v>
      </c>
      <c r="C62">
        <f>ROUND('dat_file 1980'!C62/'dat_file 1980'!C$60,4)</f>
        <v>1.0545</v>
      </c>
      <c r="D62">
        <f>ROUND('dat_file 1980'!D62/'dat_file 1980'!D$60,4)</f>
        <v>1.0618000000000001</v>
      </c>
      <c r="E62">
        <f>ROUND('dat_file 1980'!E62/'dat_file 1980'!E$60,4)</f>
        <v>1.0617000000000001</v>
      </c>
      <c r="F62">
        <f>'dat_file 1980'!F62</f>
        <v>0.1845</v>
      </c>
      <c r="G62">
        <f>'dat_file 1980'!G62</f>
        <v>0.16109999999999999</v>
      </c>
      <c r="H62">
        <f>ROUND('dat_file 1980'!H62/'dat_file 1980'!H$60,4)</f>
        <v>1.0454000000000001</v>
      </c>
    </row>
    <row r="63" spans="2:8">
      <c r="B63">
        <f>+Sheet3!A63</f>
        <v>2008</v>
      </c>
      <c r="C63">
        <f>ROUND('dat_file 1980'!C63/'dat_file 1980'!C$60,4)</f>
        <v>1.0858000000000001</v>
      </c>
      <c r="D63">
        <f>ROUND('dat_file 1980'!D63/'dat_file 1980'!D$60,4)</f>
        <v>1.1027</v>
      </c>
      <c r="E63">
        <f>ROUND('dat_file 1980'!E63/'dat_file 1980'!E$60,4)</f>
        <v>1.1024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1980'!H$60,4)</f>
        <v>1.0771999999999999</v>
      </c>
    </row>
    <row r="64" spans="2:8">
      <c r="B64">
        <f>+Sheet3!A64</f>
        <v>2009</v>
      </c>
      <c r="C64">
        <f>ROUND('dat_file 1980'!C64/'dat_file 1980'!C$60,4)</f>
        <v>1.0827</v>
      </c>
      <c r="D64">
        <f>ROUND('dat_file 1980'!D64/'dat_file 1980'!D$60,4)</f>
        <v>1.0988</v>
      </c>
      <c r="E64">
        <f>ROUND('dat_file 1980'!E64/'dat_file 1980'!E$60,4)</f>
        <v>1.0985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1980'!H$60,4)</f>
        <v>1.0648</v>
      </c>
    </row>
    <row r="65" spans="2:8">
      <c r="B65">
        <f>+Sheet3!A65</f>
        <v>2010</v>
      </c>
      <c r="C65">
        <f>ROUND('dat_file 1980'!C65/'dat_file 1980'!C$60,4)</f>
        <v>1.1021000000000001</v>
      </c>
      <c r="D65">
        <f>ROUND('dat_file 1980'!D65/'dat_file 1980'!D$60,4)</f>
        <v>1.1166</v>
      </c>
      <c r="E65">
        <f>ROUND('dat_file 1980'!E65/'dat_file 1980'!E$60,4)</f>
        <v>1.1165</v>
      </c>
      <c r="F65">
        <f>'dat_file 1980'!F65</f>
        <v>0.1754</v>
      </c>
      <c r="G65">
        <f>'dat_file 1980'!G65</f>
        <v>0.1532</v>
      </c>
      <c r="H65">
        <f>ROUND('dat_file 1980'!H65/'dat_file 1980'!H$60,4)</f>
        <v>1.0736000000000001</v>
      </c>
    </row>
    <row r="66" spans="2:8">
      <c r="B66">
        <f>+Sheet3!A66</f>
        <v>2011</v>
      </c>
      <c r="C66">
        <f>ROUND('dat_file 1980'!C66/'dat_file 1980'!C$60,4)</f>
        <v>1.1299999999999999</v>
      </c>
      <c r="D66">
        <f>ROUND('dat_file 1980'!D66/'dat_file 1980'!D$60,4)</f>
        <v>1.1523000000000001</v>
      </c>
      <c r="E66">
        <f>ROUND('dat_file 1980'!E66/'dat_file 1980'!E$60,4)</f>
        <v>1.1517999999999999</v>
      </c>
      <c r="F66">
        <f>'dat_file 1980'!F66</f>
        <v>0.17</v>
      </c>
      <c r="G66">
        <f>'dat_file 1980'!G66</f>
        <v>0.14849999999999999</v>
      </c>
      <c r="H66">
        <f>ROUND('dat_file 1980'!H66/'dat_file 1980'!H$60,4)</f>
        <v>1.0992</v>
      </c>
    </row>
    <row r="67" spans="2:8">
      <c r="B67">
        <f>+Sheet3!A67</f>
        <v>2012</v>
      </c>
      <c r="C67">
        <f>ROUND('dat_file 1980'!C67/'dat_file 1980'!C$60,4)</f>
        <v>1.1511</v>
      </c>
      <c r="D67">
        <f>ROUND('dat_file 1980'!D67/'dat_file 1980'!D$60,4)</f>
        <v>1.1763999999999999</v>
      </c>
      <c r="E67">
        <f>ROUND('dat_file 1980'!E67/'dat_file 1980'!E$60,4)</f>
        <v>1.1756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1980'!H$60,4)</f>
        <v>1.1134999999999999</v>
      </c>
    </row>
    <row r="68" spans="2:8">
      <c r="B68">
        <f>+Sheet3!A68</f>
        <v>2013</v>
      </c>
      <c r="C68">
        <f>ROUND('dat_file 1980'!C68/'dat_file 1980'!C$60,4)</f>
        <v>1.1667000000000001</v>
      </c>
      <c r="D68">
        <f>ROUND('dat_file 1980'!D68/'dat_file 1980'!D$60,4)</f>
        <v>1.1941999999999999</v>
      </c>
      <c r="E68">
        <f>ROUND('dat_file 1980'!E68/'dat_file 1980'!E$60,4)</f>
        <v>1.1928000000000001</v>
      </c>
      <c r="F68">
        <f>'dat_file 1980'!F68</f>
        <v>0.16400000000000001</v>
      </c>
      <c r="G68">
        <f>'dat_file 1980'!G68</f>
        <v>0.1434</v>
      </c>
      <c r="H68">
        <f>ROUND('dat_file 1980'!H68/'dat_file 1980'!H$60,4)</f>
        <v>1.1214</v>
      </c>
    </row>
    <row r="69" spans="2:8">
      <c r="B69">
        <f>+Sheet3!A69</f>
        <v>2014</v>
      </c>
      <c r="C69">
        <f>ROUND('dat_file 1980'!C69/'dat_file 1980'!C$60,4)</f>
        <v>1.1842999999999999</v>
      </c>
      <c r="D69">
        <f>ROUND('dat_file 1980'!D69/'dat_file 1980'!D$60,4)</f>
        <v>1.214</v>
      </c>
      <c r="E69">
        <f>ROUND('dat_file 1980'!E69/'dat_file 1980'!E$60,4)</f>
        <v>1.2121999999999999</v>
      </c>
      <c r="F69">
        <f>'dat_file 1980'!F69</f>
        <v>0.1613</v>
      </c>
      <c r="G69">
        <f>'dat_file 1980'!G69</f>
        <v>0.1411</v>
      </c>
      <c r="H69">
        <f>ROUND('dat_file 1980'!H69/'dat_file 1980'!H$60,4)</f>
        <v>1.1311</v>
      </c>
    </row>
    <row r="70" spans="2:8">
      <c r="B70">
        <f>+Sheet3!A70</f>
        <v>2015</v>
      </c>
      <c r="C70">
        <f>ROUND('dat_file 1980'!C70/'dat_file 1980'!C$60,4)</f>
        <v>1.1869000000000001</v>
      </c>
      <c r="D70">
        <f>ROUND('dat_file 1980'!D70/'dat_file 1980'!D$60,4)</f>
        <v>1.2161999999999999</v>
      </c>
      <c r="E70">
        <f>ROUND('dat_file 1980'!E70/'dat_file 1980'!E$60,4)</f>
        <v>1.2136</v>
      </c>
      <c r="F70">
        <f>'dat_file 1980'!F70</f>
        <v>0.16109999999999999</v>
      </c>
      <c r="G70">
        <f>'dat_file 1980'!G70</f>
        <v>0.1409</v>
      </c>
      <c r="H70">
        <f>ROUND('dat_file 1980'!H70/'dat_file 1980'!H$60,4)</f>
        <v>1.1240000000000001</v>
      </c>
    </row>
    <row r="71" spans="2:8">
      <c r="B71">
        <f>+Sheet3!A71</f>
        <v>2016</v>
      </c>
      <c r="C71">
        <f>ROUND('dat_file 1980'!C71/'dat_file 1980'!C$60,4)</f>
        <v>1.1988000000000001</v>
      </c>
      <c r="D71">
        <f>ROUND('dat_file 1980'!D71/'dat_file 1980'!D$60,4)</f>
        <v>1.2319</v>
      </c>
      <c r="E71">
        <f>ROUND('dat_file 1980'!E71/'dat_file 1980'!E$60,4)</f>
        <v>1.2289000000000001</v>
      </c>
      <c r="F71">
        <f>'dat_file 1980'!F71</f>
        <v>0.159</v>
      </c>
      <c r="G71">
        <f>'dat_file 1980'!G71</f>
        <v>0.13919999999999999</v>
      </c>
      <c r="H71">
        <f>ROUND('dat_file 1980'!H71/'dat_file 1980'!H$60,4)</f>
        <v>1.1294999999999999</v>
      </c>
    </row>
    <row r="72" spans="2:8">
      <c r="B72">
        <f>+Sheet3!A72</f>
        <v>2017</v>
      </c>
      <c r="C72">
        <f>ROUND('dat_file 1980'!C72/'dat_file 1980'!C$60,4)</f>
        <v>1.2208000000000001</v>
      </c>
      <c r="D72">
        <f>ROUND('dat_file 1980'!D72/'dat_file 1980'!D$60,4)</f>
        <v>1.2581</v>
      </c>
      <c r="E72">
        <f>ROUND('dat_file 1980'!E72/'dat_file 1980'!E$60,4)</f>
        <v>1.2551000000000001</v>
      </c>
      <c r="F72">
        <f>'dat_file 1980'!F72</f>
        <v>0.15570000000000001</v>
      </c>
      <c r="G72">
        <f>'dat_file 1980'!G72</f>
        <v>0.1363</v>
      </c>
      <c r="H72">
        <f>ROUND('dat_file 1980'!H72/'dat_file 1980'!H$60,4)</f>
        <v>1.1445000000000001</v>
      </c>
    </row>
    <row r="73" spans="2:8">
      <c r="B73">
        <f>+Sheet3!A73</f>
        <v>2018</v>
      </c>
      <c r="C73">
        <f>ROUND('dat_file 1980'!C73/'dat_file 1980'!C$60,4)</f>
        <v>1.2467999999999999</v>
      </c>
      <c r="D73">
        <f>ROUND('dat_file 1980'!D73/'dat_file 1980'!D$60,4)</f>
        <v>1.2887999999999999</v>
      </c>
      <c r="E73">
        <f>ROUND('dat_file 1980'!E73/'dat_file 1980'!E$60,4)</f>
        <v>1.2858000000000001</v>
      </c>
      <c r="F73">
        <f>'dat_file 1980'!F73</f>
        <v>0.152</v>
      </c>
      <c r="G73">
        <f>'dat_file 1980'!G73</f>
        <v>0.13300000000000001</v>
      </c>
      <c r="H73">
        <f>ROUND('dat_file 1980'!H73/'dat_file 1980'!H$60,4)</f>
        <v>1.1633</v>
      </c>
    </row>
    <row r="74" spans="2:8">
      <c r="B74">
        <f>+Sheet3!A74</f>
        <v>2019</v>
      </c>
      <c r="C74">
        <f>ROUND('dat_file 1980'!C74/'dat_file 1980'!C$60,4)</f>
        <v>1.2654000000000001</v>
      </c>
      <c r="D74">
        <f>ROUND('dat_file 1980'!D74/'dat_file 1980'!D$60,4)</f>
        <v>1.3122</v>
      </c>
      <c r="E74">
        <f>ROUND('dat_file 1980'!E74/'dat_file 1980'!E$60,4)</f>
        <v>1.3090999999999999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1980'!H$60,4)</f>
        <v>1.1751</v>
      </c>
    </row>
    <row r="75" spans="2:8">
      <c r="B75">
        <f>+Sheet3!A75</f>
        <v>2020</v>
      </c>
      <c r="C75">
        <f>ROUND('dat_file 1980'!C75/'dat_file 1980'!C$60,4)</f>
        <v>1.2793000000000001</v>
      </c>
      <c r="D75">
        <f>ROUND('dat_file 1980'!D75/'dat_file 1980'!D$60,4)</f>
        <v>1.3295999999999999</v>
      </c>
      <c r="E75">
        <f>ROUND('dat_file 1980'!E75/'dat_file 1980'!E$60,4)</f>
        <v>1.3251999999999999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1980'!H$60,4)</f>
        <v>1.1814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BD02-C463-4726-B937-7D1C06FEE5EA}">
  <dimension ref="B1:H75"/>
  <sheetViews>
    <sheetView topLeftCell="A64" workbookViewId="0">
      <selection activeCell="B73" sqref="B73:H75"/>
    </sheetView>
  </sheetViews>
  <sheetFormatPr defaultRowHeight="12.75"/>
  <sheetData>
    <row r="1" spans="2:8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</row>
    <row r="2" spans="2:8">
      <c r="B2">
        <v>1947</v>
      </c>
      <c r="C2">
        <f>ROUND('dat_file 1980'!C2/'dat_file 1980'!C$68,4)</f>
        <v>0.1232</v>
      </c>
      <c r="D2">
        <f>ROUND('dat_file 1980'!D2/'dat_file 1980'!D$68,4)</f>
        <v>0.1096</v>
      </c>
      <c r="E2">
        <f>ROUND('dat_file 1980'!E2/'dat_file 1980'!E$68,4)</f>
        <v>9.5699999999999993E-2</v>
      </c>
      <c r="F2">
        <f>'dat_file 1980'!F2</f>
        <v>1.496</v>
      </c>
      <c r="G2">
        <f>'dat_file 1980'!G2</f>
        <v>1.4978</v>
      </c>
      <c r="H2">
        <f>ROUND('dat_file 1980'!H2/'dat_file 1980'!H$68,4)</f>
        <v>0.2</v>
      </c>
    </row>
    <row r="3" spans="2:8">
      <c r="B3">
        <v>1948</v>
      </c>
      <c r="C3">
        <f>ROUND('dat_file 1980'!C3/'dat_file 1980'!C$68,4)</f>
        <v>0.13020000000000001</v>
      </c>
      <c r="D3">
        <f>ROUND('dat_file 1980'!D3/'dat_file 1980'!D$68,4)</f>
        <v>0.11840000000000001</v>
      </c>
      <c r="E3">
        <f>ROUND('dat_file 1980'!E3/'dat_file 1980'!E$68,4)</f>
        <v>0.10349999999999999</v>
      </c>
      <c r="F3">
        <f>'dat_file 1980'!F3</f>
        <v>1.3852</v>
      </c>
      <c r="G3">
        <f>'dat_file 1980'!G3</f>
        <v>1.3858999999999999</v>
      </c>
      <c r="H3">
        <f>ROUND('dat_file 1980'!H3/'dat_file 1980'!H$68,4)</f>
        <v>0.2137</v>
      </c>
    </row>
    <row r="4" spans="2:8">
      <c r="B4">
        <v>1949</v>
      </c>
      <c r="C4">
        <f>ROUND('dat_file 1980'!C4/'dat_file 1980'!C$68,4)</f>
        <v>0.12920000000000001</v>
      </c>
      <c r="D4">
        <f>ROUND('dat_file 1980'!D4/'dat_file 1980'!D$68,4)</f>
        <v>0.11700000000000001</v>
      </c>
      <c r="E4">
        <f>ROUND('dat_file 1980'!E4/'dat_file 1980'!E$68,4)</f>
        <v>0.1022</v>
      </c>
      <c r="F4">
        <f>'dat_file 1980'!F4</f>
        <v>1.4025000000000001</v>
      </c>
      <c r="G4">
        <f>'dat_file 1980'!G4</f>
        <v>1.4034</v>
      </c>
      <c r="H4">
        <f>ROUND('dat_file 1980'!H4/'dat_file 1980'!H$68,4)</f>
        <v>0.2087</v>
      </c>
    </row>
    <row r="5" spans="2:8">
      <c r="B5">
        <v>1950</v>
      </c>
      <c r="C5">
        <f>ROUND('dat_file 1980'!C5/'dat_file 1980'!C$68,4)</f>
        <v>0.13070000000000001</v>
      </c>
      <c r="D5">
        <f>ROUND('dat_file 1980'!D5/'dat_file 1980'!D$68,4)</f>
        <v>0.11840000000000001</v>
      </c>
      <c r="E5">
        <f>ROUND('dat_file 1980'!E5/'dat_file 1980'!E$68,4)</f>
        <v>0.10349999999999999</v>
      </c>
      <c r="F5">
        <f>'dat_file 1980'!F5</f>
        <v>1.3852</v>
      </c>
      <c r="G5">
        <f>'dat_file 1980'!G5</f>
        <v>1.3858999999999999</v>
      </c>
      <c r="H5">
        <f>ROUND('dat_file 1980'!H5/'dat_file 1980'!H$68,4)</f>
        <v>0.20910000000000001</v>
      </c>
    </row>
    <row r="6" spans="2:8">
      <c r="B6">
        <v>1951</v>
      </c>
      <c r="C6">
        <f>ROUND('dat_file 1980'!C6/'dat_file 1980'!C$68,4)</f>
        <v>0.1396</v>
      </c>
      <c r="D6">
        <f>ROUND('dat_file 1980'!D6/'dat_file 1980'!D$68,4)</f>
        <v>0.1278</v>
      </c>
      <c r="E6">
        <f>ROUND('dat_file 1980'!E6/'dat_file 1980'!E$68,4)</f>
        <v>0.1116</v>
      </c>
      <c r="F6">
        <f>'dat_file 1980'!F6</f>
        <v>1.2838000000000001</v>
      </c>
      <c r="G6">
        <f>'dat_file 1980'!G6</f>
        <v>1.2846</v>
      </c>
      <c r="H6">
        <f>ROUND('dat_file 1980'!H6/'dat_file 1980'!H$68,4)</f>
        <v>0.2233</v>
      </c>
    </row>
    <row r="7" spans="2:8">
      <c r="B7">
        <v>1952</v>
      </c>
      <c r="C7">
        <f>ROUND('dat_file 1980'!C7/'dat_file 1980'!C$68,4)</f>
        <v>0.14249999999999999</v>
      </c>
      <c r="D7">
        <f>ROUND('dat_file 1980'!D7/'dat_file 1980'!D$68,4)</f>
        <v>0.13009999999999999</v>
      </c>
      <c r="E7">
        <f>ROUND('dat_file 1980'!E7/'dat_file 1980'!E$68,4)</f>
        <v>0.1138</v>
      </c>
      <c r="F7">
        <f>'dat_file 1980'!F7</f>
        <v>1.2606999999999999</v>
      </c>
      <c r="G7">
        <f>'dat_file 1980'!G7</f>
        <v>1.2604</v>
      </c>
      <c r="H7">
        <f>ROUND('dat_file 1980'!H7/'dat_file 1980'!H$68,4)</f>
        <v>0.22489999999999999</v>
      </c>
    </row>
    <row r="8" spans="2:8">
      <c r="B8">
        <v>1953</v>
      </c>
      <c r="C8">
        <f>ROUND('dat_file 1980'!C8/'dat_file 1980'!C$68,4)</f>
        <v>0.1444</v>
      </c>
      <c r="D8">
        <f>ROUND('dat_file 1980'!D8/'dat_file 1980'!D$68,4)</f>
        <v>0.13100000000000001</v>
      </c>
      <c r="E8">
        <f>ROUND('dat_file 1980'!E8/'dat_file 1980'!E$68,4)</f>
        <v>0.11459999999999999</v>
      </c>
      <c r="F8">
        <f>'dat_file 1980'!F8</f>
        <v>1.2522</v>
      </c>
      <c r="G8">
        <f>'dat_file 1980'!G8</f>
        <v>1.2508999999999999</v>
      </c>
      <c r="H8">
        <f>ROUND('dat_file 1980'!H8/'dat_file 1980'!H$68,4)</f>
        <v>0.22389999999999999</v>
      </c>
    </row>
    <row r="9" spans="2:8">
      <c r="B9">
        <v>1954</v>
      </c>
      <c r="C9">
        <f>ROUND('dat_file 1980'!C9/'dat_file 1980'!C$68,4)</f>
        <v>0.14560000000000001</v>
      </c>
      <c r="D9">
        <f>ROUND('dat_file 1980'!D9/'dat_file 1980'!D$68,4)</f>
        <v>0.13220000000000001</v>
      </c>
      <c r="E9">
        <f>ROUND('dat_file 1980'!E9/'dat_file 1980'!E$68,4)</f>
        <v>0.11550000000000001</v>
      </c>
      <c r="F9">
        <f>'dat_file 1980'!F9</f>
        <v>1.2412000000000001</v>
      </c>
      <c r="G9">
        <f>'dat_file 1980'!G9</f>
        <v>1.2416</v>
      </c>
      <c r="H9">
        <f>ROUND('dat_file 1980'!H9/'dat_file 1980'!H$68,4)</f>
        <v>0.2235</v>
      </c>
    </row>
    <row r="10" spans="2:8">
      <c r="B10">
        <v>1955</v>
      </c>
      <c r="C10">
        <f>ROUND('dat_file 1980'!C10/'dat_file 1980'!C$68,4)</f>
        <v>0.1462</v>
      </c>
      <c r="D10">
        <f>ROUND('dat_file 1980'!D10/'dat_file 1980'!D$68,4)</f>
        <v>0.13159999999999999</v>
      </c>
      <c r="E10">
        <f>ROUND('dat_file 1980'!E10/'dat_file 1980'!E$68,4)</f>
        <v>0.115</v>
      </c>
      <c r="F10">
        <f>'dat_file 1980'!F10</f>
        <v>1.2466999999999999</v>
      </c>
      <c r="G10">
        <f>'dat_file 1980'!G10</f>
        <v>1.2463</v>
      </c>
      <c r="H10">
        <f>ROUND('dat_file 1980'!H10/'dat_file 1980'!H$68,4)</f>
        <v>0.22</v>
      </c>
    </row>
    <row r="11" spans="2:8">
      <c r="B11">
        <v>1956</v>
      </c>
      <c r="C11">
        <f>ROUND('dat_file 1980'!C11/'dat_file 1980'!C$68,4)</f>
        <v>0.14910000000000001</v>
      </c>
      <c r="D11">
        <f>ROUND('dat_file 1980'!D11/'dat_file 1980'!D$68,4)</f>
        <v>0.1336</v>
      </c>
      <c r="E11">
        <f>ROUND('dat_file 1980'!E11/'dat_file 1980'!E$68,4)</f>
        <v>0.1168</v>
      </c>
      <c r="F11">
        <f>'dat_file 1980'!F11</f>
        <v>1.2276</v>
      </c>
      <c r="G11">
        <f>'dat_file 1980'!G11</f>
        <v>1.2279</v>
      </c>
      <c r="H11">
        <f>ROUND('dat_file 1980'!H11/'dat_file 1980'!H$68,4)</f>
        <v>0.22109999999999999</v>
      </c>
    </row>
    <row r="12" spans="2:8">
      <c r="B12">
        <v>1957</v>
      </c>
      <c r="C12">
        <f>ROUND('dat_file 1980'!C12/'dat_file 1980'!C$68,4)</f>
        <v>0.15359999999999999</v>
      </c>
      <c r="D12">
        <f>ROUND('dat_file 1980'!D12/'dat_file 1980'!D$68,4)</f>
        <v>0.13800000000000001</v>
      </c>
      <c r="E12">
        <f>ROUND('dat_file 1980'!E12/'dat_file 1980'!E$68,4)</f>
        <v>0.1206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1980'!H$68,4)</f>
        <v>0.22589999999999999</v>
      </c>
    </row>
    <row r="13" spans="2:8">
      <c r="B13">
        <v>1958</v>
      </c>
      <c r="C13">
        <f>ROUND('dat_file 1980'!C13/'dat_file 1980'!C$68,4)</f>
        <v>0.15720000000000001</v>
      </c>
      <c r="D13">
        <f>ROUND('dat_file 1980'!D13/'dat_file 1980'!D$68,4)</f>
        <v>0.14180000000000001</v>
      </c>
      <c r="E13">
        <f>ROUND('dat_file 1980'!E13/'dat_file 1980'!E$68,4)</f>
        <v>0.124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1980'!H$68,4)</f>
        <v>0.2296</v>
      </c>
    </row>
    <row r="14" spans="2:8">
      <c r="B14">
        <v>1959</v>
      </c>
      <c r="C14">
        <f>ROUND('dat_file 1980'!C14/'dat_file 1980'!C$68,4)</f>
        <v>0.15959999999999999</v>
      </c>
      <c r="D14">
        <f>ROUND('dat_file 1980'!D14/'dat_file 1980'!D$68,4)</f>
        <v>0.14299999999999999</v>
      </c>
      <c r="E14">
        <f>ROUND('dat_file 1980'!E14/'dat_file 1980'!E$68,4)</f>
        <v>0.1249</v>
      </c>
      <c r="F14">
        <f>'dat_file 1980'!F14</f>
        <v>1.1472</v>
      </c>
      <c r="G14">
        <f>'dat_file 1980'!G14</f>
        <v>1.1477999999999999</v>
      </c>
      <c r="H14">
        <f>ROUND('dat_file 1980'!H14/'dat_file 1980'!H$68,4)</f>
        <v>0.22900000000000001</v>
      </c>
    </row>
    <row r="15" spans="2:8">
      <c r="B15">
        <v>1960</v>
      </c>
      <c r="C15">
        <f>ROUND('dat_file 1980'!C15/'dat_file 1980'!C$68,4)</f>
        <v>0.16220000000000001</v>
      </c>
      <c r="D15">
        <f>ROUND('dat_file 1980'!D15/'dat_file 1980'!D$68,4)</f>
        <v>0.14530000000000001</v>
      </c>
      <c r="E15">
        <f>ROUND('dat_file 1980'!E15/'dat_file 1980'!E$68,4)</f>
        <v>0.12709999999999999</v>
      </c>
      <c r="F15">
        <f>'dat_file 1980'!F15</f>
        <v>1.1288</v>
      </c>
      <c r="G15">
        <f>'dat_file 1980'!G15</f>
        <v>1.1284000000000001</v>
      </c>
      <c r="H15">
        <f>ROUND('dat_file 1980'!H15/'dat_file 1980'!H$68,4)</f>
        <v>0.23019999999999999</v>
      </c>
    </row>
    <row r="16" spans="2:8">
      <c r="B16">
        <v>1961</v>
      </c>
      <c r="C16">
        <f>ROUND('dat_file 1980'!C16/'dat_file 1980'!C$68,4)</f>
        <v>0.16389999999999999</v>
      </c>
      <c r="D16">
        <f>ROUND('dat_file 1980'!D16/'dat_file 1980'!D$68,4)</f>
        <v>0.14680000000000001</v>
      </c>
      <c r="E16">
        <f>ROUND('dat_file 1980'!E16/'dat_file 1980'!E$68,4)</f>
        <v>0.12839999999999999</v>
      </c>
      <c r="F16">
        <f>'dat_file 1980'!F16</f>
        <v>1.1174999999999999</v>
      </c>
      <c r="G16">
        <f>'dat_file 1980'!G16</f>
        <v>1.1171</v>
      </c>
      <c r="H16">
        <f>ROUND('dat_file 1980'!H16/'dat_file 1980'!H$68,4)</f>
        <v>0.23</v>
      </c>
    </row>
    <row r="17" spans="2:8">
      <c r="B17">
        <v>1962</v>
      </c>
      <c r="C17">
        <f>ROUND('dat_file 1980'!C17/'dat_file 1980'!C$68,4)</f>
        <v>0.1658</v>
      </c>
      <c r="D17">
        <f>ROUND('dat_file 1980'!D17/'dat_file 1980'!D$68,4)</f>
        <v>0.1482</v>
      </c>
      <c r="E17">
        <f>ROUND('dat_file 1980'!E17/'dat_file 1980'!E$68,4)</f>
        <v>0.12959999999999999</v>
      </c>
      <c r="F17">
        <f>'dat_file 1980'!F17</f>
        <v>1.1065</v>
      </c>
      <c r="G17">
        <f>'dat_file 1980'!G17</f>
        <v>1.1060000000000001</v>
      </c>
      <c r="H17">
        <f>ROUND('dat_file 1980'!H17/'dat_file 1980'!H$68,4)</f>
        <v>0.2298</v>
      </c>
    </row>
    <row r="18" spans="2:8">
      <c r="B18">
        <v>1963</v>
      </c>
      <c r="C18">
        <f>ROUND('dat_file 1980'!C18/'dat_file 1980'!C$68,4)</f>
        <v>0.1678</v>
      </c>
      <c r="D18">
        <f>ROUND('dat_file 1980'!D18/'dat_file 1980'!D$68,4)</f>
        <v>0.15029999999999999</v>
      </c>
      <c r="E18">
        <f>ROUND('dat_file 1980'!E18/'dat_file 1980'!E$68,4)</f>
        <v>0.13139999999999999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1980'!H$68,4)</f>
        <v>0.23039999999999999</v>
      </c>
    </row>
    <row r="19" spans="2:8">
      <c r="B19">
        <v>1964</v>
      </c>
      <c r="C19">
        <f>ROUND('dat_file 1980'!C19/'dat_file 1980'!C$68,4)</f>
        <v>0.17019999999999999</v>
      </c>
      <c r="D19">
        <f>ROUND('dat_file 1980'!D19/'dat_file 1980'!D$68,4)</f>
        <v>0.15229999999999999</v>
      </c>
      <c r="E19">
        <f>ROUND('dat_file 1980'!E19/'dat_file 1980'!E$68,4)</f>
        <v>0.1331</v>
      </c>
      <c r="F19">
        <f>'dat_file 1980'!F19</f>
        <v>1.0768</v>
      </c>
      <c r="G19">
        <f>'dat_file 1980'!G19</f>
        <v>1.0773999999999999</v>
      </c>
      <c r="H19">
        <f>ROUND('dat_file 1980'!H19/'dat_file 1980'!H$68,4)</f>
        <v>0.23100000000000001</v>
      </c>
    </row>
    <row r="20" spans="2:8">
      <c r="B20">
        <v>1965</v>
      </c>
      <c r="C20">
        <f>ROUND('dat_file 1980'!C20/'dat_file 1980'!C$68,4)</f>
        <v>0.17269999999999999</v>
      </c>
      <c r="D20">
        <f>ROUND('dat_file 1980'!D20/'dat_file 1980'!D$68,4)</f>
        <v>0.1547</v>
      </c>
      <c r="E20">
        <f>ROUND('dat_file 1980'!E20/'dat_file 1980'!E$68,4)</f>
        <v>0.13519999999999999</v>
      </c>
      <c r="F20">
        <f>'dat_file 1980'!F20</f>
        <v>1.0605</v>
      </c>
      <c r="G20">
        <f>'dat_file 1980'!G20</f>
        <v>1.0603</v>
      </c>
      <c r="H20">
        <f>ROUND('dat_file 1980'!H20/'dat_file 1980'!H$68,4)</f>
        <v>0.23200000000000001</v>
      </c>
    </row>
    <row r="21" spans="2:8">
      <c r="B21">
        <v>1966</v>
      </c>
      <c r="C21">
        <f>ROUND('dat_file 1980'!C21/'dat_file 1980'!C$68,4)</f>
        <v>0.17699999999999999</v>
      </c>
      <c r="D21">
        <f>ROUND('dat_file 1980'!D21/'dat_file 1980'!D$68,4)</f>
        <v>0.15909999999999999</v>
      </c>
      <c r="E21">
        <f>ROUND('dat_file 1980'!E21/'dat_file 1980'!E$68,4)</f>
        <v>0.1391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1980'!H$68,4)</f>
        <v>0.23599999999999999</v>
      </c>
    </row>
    <row r="22" spans="2:8">
      <c r="B22">
        <v>1967</v>
      </c>
      <c r="C22">
        <f>ROUND('dat_file 1980'!C22/'dat_file 1980'!C$68,4)</f>
        <v>0.18149999999999999</v>
      </c>
      <c r="D22">
        <f>ROUND('dat_file 1980'!D22/'dat_file 1980'!D$68,4)</f>
        <v>0.16400000000000001</v>
      </c>
      <c r="E22">
        <f>ROUND('dat_file 1980'!E22/'dat_file 1980'!E$68,4)</f>
        <v>0.1434</v>
      </c>
      <c r="F22">
        <f>'dat_file 1980'!F22</f>
        <v>1</v>
      </c>
      <c r="G22">
        <f>'dat_file 1980'!G22</f>
        <v>1</v>
      </c>
      <c r="H22">
        <f>ROUND('dat_file 1980'!H22/'dat_file 1980'!H$68,4)</f>
        <v>0.24079999999999999</v>
      </c>
    </row>
    <row r="23" spans="2:8">
      <c r="B23">
        <v>1968</v>
      </c>
      <c r="C23">
        <f>ROUND('dat_file 1980'!C23/'dat_file 1980'!C$68,4)</f>
        <v>0.18859999999999999</v>
      </c>
      <c r="D23">
        <f>ROUND('dat_file 1980'!D23/'dat_file 1980'!D$68,4)</f>
        <v>0.17050000000000001</v>
      </c>
      <c r="E23">
        <f>ROUND('dat_file 1980'!E23/'dat_file 1980'!E$68,4)</f>
        <v>0.14940000000000001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1980'!H$68,4)</f>
        <v>0.24759999999999999</v>
      </c>
    </row>
    <row r="24" spans="2:8">
      <c r="B24">
        <v>1969</v>
      </c>
      <c r="C24">
        <f>ROUND('dat_file 1980'!C24/'dat_file 1980'!C$68,4)</f>
        <v>0.1971</v>
      </c>
      <c r="D24">
        <f>ROUND('dat_file 1980'!D24/'dat_file 1980'!D$68,4)</f>
        <v>0.17810000000000001</v>
      </c>
      <c r="E24">
        <f>ROUND('dat_file 1980'!E24/'dat_file 1980'!E$68,4)</f>
        <v>0.1575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1980'!H$68,4)</f>
        <v>0.25590000000000002</v>
      </c>
    </row>
    <row r="25" spans="2:8">
      <c r="B25">
        <v>1970</v>
      </c>
      <c r="C25">
        <f>ROUND('dat_file 1980'!C25/'dat_file 1980'!C$68,4)</f>
        <v>0.20630000000000001</v>
      </c>
      <c r="D25">
        <f>ROUND('dat_file 1980'!D25/'dat_file 1980'!D$68,4)</f>
        <v>0.18690000000000001</v>
      </c>
      <c r="E25">
        <f>ROUND('dat_file 1980'!E25/'dat_file 1980'!E$68,4)</f>
        <v>0.1666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1980'!H$68,4)</f>
        <v>0.26569999999999999</v>
      </c>
    </row>
    <row r="26" spans="2:8">
      <c r="B26">
        <v>1971</v>
      </c>
      <c r="C26">
        <f>ROUND('dat_file 1980'!C26/'dat_file 1980'!C$68,4)</f>
        <v>0.21510000000000001</v>
      </c>
      <c r="D26">
        <f>ROUND('dat_file 1980'!D26/'dat_file 1980'!D$68,4)</f>
        <v>0.19500000000000001</v>
      </c>
      <c r="E26">
        <f>ROUND('dat_file 1980'!E26/'dat_file 1980'!E$68,4)</f>
        <v>0.1739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1980'!H$68,4)</f>
        <v>0.27450000000000002</v>
      </c>
    </row>
    <row r="27" spans="2:8">
      <c r="B27">
        <v>1972</v>
      </c>
      <c r="C27">
        <f>ROUND('dat_file 1980'!C27/'dat_file 1980'!C$68,4)</f>
        <v>0.22239999999999999</v>
      </c>
      <c r="D27">
        <f>ROUND('dat_file 1980'!D27/'dat_file 1980'!D$68,4)</f>
        <v>0.2009</v>
      </c>
      <c r="E27">
        <f>ROUND('dat_file 1980'!E27/'dat_file 1980'!E$68,4)</f>
        <v>0.1794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1980'!H$68,4)</f>
        <v>0.27960000000000002</v>
      </c>
    </row>
    <row r="28" spans="2:8">
      <c r="B28">
        <v>1973</v>
      </c>
      <c r="C28">
        <f>ROUND('dat_file 1980'!C28/'dat_file 1980'!C$68,4)</f>
        <v>0.2344</v>
      </c>
      <c r="D28">
        <f>ROUND('dat_file 1980'!D28/'dat_file 1980'!D$68,4)</f>
        <v>0.2135</v>
      </c>
      <c r="E28">
        <f>ROUND('dat_file 1980'!E28/'dat_file 1980'!E$68,4)</f>
        <v>0.19059999999999999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1980'!H$68,4)</f>
        <v>0.29409999999999997</v>
      </c>
    </row>
    <row r="29" spans="2:8">
      <c r="B29">
        <v>1974</v>
      </c>
      <c r="C29">
        <f>ROUND('dat_file 1980'!C29/'dat_file 1980'!C$68,4)</f>
        <v>0.25879999999999997</v>
      </c>
      <c r="D29">
        <f>ROUND('dat_file 1980'!D29/'dat_file 1980'!D$68,4)</f>
        <v>0.23480000000000001</v>
      </c>
      <c r="E29">
        <f>ROUND('dat_file 1980'!E29/'dat_file 1980'!E$68,4)</f>
        <v>0.21160000000000001</v>
      </c>
      <c r="F29">
        <f>'dat_file 1980'!F29</f>
        <v>0.6986</v>
      </c>
      <c r="G29">
        <f>'dat_file 1980'!G29</f>
        <v>0.67749999999999999</v>
      </c>
      <c r="H29">
        <f>ROUND('dat_file 1980'!H29/'dat_file 1980'!H$68,4)</f>
        <v>0.32029999999999997</v>
      </c>
    </row>
    <row r="30" spans="2:8">
      <c r="B30">
        <v>1975</v>
      </c>
      <c r="C30">
        <f>ROUND('dat_file 1980'!C30/'dat_file 1980'!C$68,4)</f>
        <v>0.28039999999999998</v>
      </c>
      <c r="D30">
        <f>ROUND('dat_file 1980'!D30/'dat_file 1980'!D$68,4)</f>
        <v>0.25409999999999999</v>
      </c>
      <c r="E30">
        <f>ROUND('dat_file 1980'!E30/'dat_file 1980'!E$68,4)</f>
        <v>0.23089999999999999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1980'!H$68,4)</f>
        <v>0.34300000000000003</v>
      </c>
    </row>
    <row r="31" spans="2:8">
      <c r="B31">
        <v>1976</v>
      </c>
      <c r="C31">
        <f>ROUND('dat_file 1980'!C31/'dat_file 1980'!C$68,4)</f>
        <v>0.29570000000000002</v>
      </c>
      <c r="D31">
        <f>ROUND('dat_file 1980'!D31/'dat_file 1980'!D$68,4)</f>
        <v>0.26869999999999999</v>
      </c>
      <c r="E31">
        <f>ROUND('dat_file 1980'!E31/'dat_file 1980'!E$68,4)</f>
        <v>0.2442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1980'!H$68,4)</f>
        <v>0.35899999999999999</v>
      </c>
    </row>
    <row r="32" spans="2:8">
      <c r="B32">
        <v>1977</v>
      </c>
      <c r="C32">
        <f>ROUND('dat_file 1980'!C32/'dat_file 1980'!C$68,4)</f>
        <v>0.315</v>
      </c>
      <c r="D32">
        <f>ROUND('dat_file 1980'!D32/'dat_file 1980'!D$68,4)</f>
        <v>0.28570000000000001</v>
      </c>
      <c r="E32">
        <f>ROUND('dat_file 1980'!E32/'dat_file 1980'!E$68,4)</f>
        <v>0.2601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1980'!H$68,4)</f>
        <v>0.37769999999999998</v>
      </c>
    </row>
    <row r="33" spans="2:8">
      <c r="B33">
        <v>1978</v>
      </c>
      <c r="C33">
        <f>ROUND('dat_file 1980'!C33/'dat_file 1980'!C$68,4)</f>
        <v>0.33689999999999998</v>
      </c>
      <c r="D33">
        <f>ROUND('dat_file 1980'!D33/'dat_file 1980'!D$68,4)</f>
        <v>0.30530000000000002</v>
      </c>
      <c r="E33">
        <f>ROUND('dat_file 1980'!E33/'dat_file 1980'!E$68,4)</f>
        <v>0.27989999999999998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1980'!H$68,4)</f>
        <v>0.40060000000000001</v>
      </c>
    </row>
    <row r="34" spans="2:8">
      <c r="B34">
        <v>1979</v>
      </c>
      <c r="C34">
        <f>ROUND('dat_file 1980'!C34/'dat_file 1980'!C$68,4)</f>
        <v>0.36680000000000001</v>
      </c>
      <c r="D34">
        <f>ROUND('dat_file 1980'!D34/'dat_file 1980'!D$68,4)</f>
        <v>0.3342</v>
      </c>
      <c r="E34">
        <f>ROUND('dat_file 1980'!E34/'dat_file 1980'!E$68,4)</f>
        <v>0.31169999999999998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1980'!H$68,4)</f>
        <v>0.43540000000000001</v>
      </c>
    </row>
    <row r="35" spans="2:8">
      <c r="B35">
        <v>1980</v>
      </c>
      <c r="C35">
        <f>ROUND('dat_file 1980'!C35/'dat_file 1980'!C$68,4)</f>
        <v>0.40629999999999999</v>
      </c>
      <c r="D35">
        <f>ROUND('dat_file 1980'!D35/'dat_file 1980'!D$68,4)</f>
        <v>0.37159999999999999</v>
      </c>
      <c r="E35">
        <f>ROUND('dat_file 1980'!E35/'dat_file 1980'!E$68,4)</f>
        <v>0.35370000000000001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1980'!H$68,4)</f>
        <v>0.48070000000000002</v>
      </c>
    </row>
    <row r="36" spans="2:8">
      <c r="B36">
        <v>1981</v>
      </c>
      <c r="C36">
        <f>ROUND('dat_file 1980'!C36/'dat_file 1980'!C$68,4)</f>
        <v>0.44269999999999998</v>
      </c>
      <c r="D36">
        <f>ROUND('dat_file 1980'!D36/'dat_file 1980'!D$68,4)</f>
        <v>0.40670000000000001</v>
      </c>
      <c r="E36">
        <f>ROUND('dat_file 1980'!E36/'dat_file 1980'!E$68,4)</f>
        <v>0.39019999999999999</v>
      </c>
      <c r="F36">
        <f>'dat_file 1980'!F36</f>
        <v>0.40329999999999999</v>
      </c>
      <c r="G36">
        <f>'dat_file 1980'!G36</f>
        <v>0.3674</v>
      </c>
      <c r="H36">
        <f>ROUND('dat_file 1980'!H36/'dat_file 1980'!H$68,4)</f>
        <v>0.5222</v>
      </c>
    </row>
    <row r="37" spans="2:8">
      <c r="B37">
        <v>1982</v>
      </c>
      <c r="C37">
        <f>ROUND('dat_file 1980'!C37/'dat_file 1980'!C$68,4)</f>
        <v>0.46729999999999999</v>
      </c>
      <c r="D37">
        <f>ROUND('dat_file 1980'!D37/'dat_file 1980'!D$68,4)</f>
        <v>0.43130000000000002</v>
      </c>
      <c r="E37">
        <f>ROUND('dat_file 1980'!E37/'dat_file 1980'!E$68,4)</f>
        <v>0.41420000000000001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1980'!H$68,4)</f>
        <v>0.54949999999999999</v>
      </c>
    </row>
    <row r="38" spans="2:8">
      <c r="B38">
        <v>1983</v>
      </c>
      <c r="C38">
        <f>ROUND('dat_file 1980'!C38/'dat_file 1980'!C$68,4)</f>
        <v>0.48720000000000002</v>
      </c>
      <c r="D38">
        <f>ROUND('dat_file 1980'!D38/'dat_file 1980'!D$68,4)</f>
        <v>0.44969999999999999</v>
      </c>
      <c r="E38">
        <f>ROUND('dat_file 1980'!E38/'dat_file 1980'!E$68,4)</f>
        <v>0.42749999999999999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1980'!H$68,4)</f>
        <v>0.56859999999999999</v>
      </c>
    </row>
    <row r="39" spans="2:8">
      <c r="B39">
        <v>1984</v>
      </c>
      <c r="C39">
        <f>ROUND('dat_file 1980'!C39/'dat_file 1980'!C$68,4)</f>
        <v>0.50560000000000005</v>
      </c>
      <c r="D39">
        <f>ROUND('dat_file 1980'!D39/'dat_file 1980'!D$68,4)</f>
        <v>0.46839999999999998</v>
      </c>
      <c r="E39">
        <f>ROUND('dat_file 1980'!E39/'dat_file 1980'!E$68,4)</f>
        <v>0.44600000000000001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1980'!H$68,4)</f>
        <v>0.5877</v>
      </c>
    </row>
    <row r="40" spans="2:8">
      <c r="B40">
        <v>1985</v>
      </c>
      <c r="C40">
        <f>ROUND('dat_file 1980'!C40/'dat_file 1980'!C$68,4)</f>
        <v>0.5232</v>
      </c>
      <c r="D40">
        <f>ROUND('dat_file 1980'!D40/'dat_file 1980'!D$68,4)</f>
        <v>0.48420000000000002</v>
      </c>
      <c r="E40">
        <f>ROUND('dat_file 1980'!E40/'dat_file 1980'!E$68,4)</f>
        <v>0.46189999999999998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1980'!H$68,4)</f>
        <v>0.6028</v>
      </c>
    </row>
    <row r="41" spans="2:8">
      <c r="B41">
        <v>1986</v>
      </c>
      <c r="C41">
        <f>ROUND('dat_file 1980'!C41/'dat_file 1980'!C$68,4)</f>
        <v>0.53459999999999996</v>
      </c>
      <c r="D41">
        <f>ROUND('dat_file 1980'!D41/'dat_file 1980'!D$68,4)</f>
        <v>0.4924</v>
      </c>
      <c r="E41">
        <f>ROUND('dat_file 1980'!E41/'dat_file 1980'!E$68,4)</f>
        <v>0.47049999999999997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1980'!H$68,4)</f>
        <v>0.60819999999999996</v>
      </c>
    </row>
    <row r="42" spans="2:8">
      <c r="B42">
        <v>1987</v>
      </c>
      <c r="C42">
        <f>ROUND('dat_file 1980'!C42/'dat_file 1980'!C$68,4)</f>
        <v>0.55110000000000003</v>
      </c>
      <c r="D42">
        <f>ROUND('dat_file 1980'!D42/'dat_file 1980'!D$68,4)</f>
        <v>0.5091</v>
      </c>
      <c r="E42">
        <f>ROUND('dat_file 1980'!E42/'dat_file 1980'!E$68,4)</f>
        <v>0.48759999999999998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1980'!H$68,4)</f>
        <v>0.62390000000000001</v>
      </c>
    </row>
    <row r="43" spans="2:8">
      <c r="B43">
        <v>1988</v>
      </c>
      <c r="C43">
        <f>ROUND('dat_file 1980'!C43/'dat_file 1980'!C$68,4)</f>
        <v>0.5726</v>
      </c>
      <c r="D43">
        <f>ROUND('dat_file 1980'!D43/'dat_file 1980'!D$68,4)</f>
        <v>0.52780000000000005</v>
      </c>
      <c r="E43">
        <f>ROUND('dat_file 1980'!E43/'dat_file 1980'!E$68,4)</f>
        <v>0.50780000000000003</v>
      </c>
      <c r="F43">
        <f>'dat_file 1980'!F43</f>
        <v>0.31080000000000002</v>
      </c>
      <c r="G43">
        <f>'dat_file 1980'!G43</f>
        <v>0.2823</v>
      </c>
      <c r="H43">
        <f>ROUND('dat_file 1980'!H43/'dat_file 1980'!H$68,4)</f>
        <v>0.64190000000000003</v>
      </c>
    </row>
    <row r="44" spans="2:8">
      <c r="B44">
        <v>1989</v>
      </c>
      <c r="C44">
        <f>ROUND('dat_file 1980'!C44/'dat_file 1980'!C$68,4)</f>
        <v>0.59760000000000002</v>
      </c>
      <c r="D44">
        <f>ROUND('dat_file 1980'!D44/'dat_file 1980'!D$68,4)</f>
        <v>0.55059999999999998</v>
      </c>
      <c r="E44">
        <f>ROUND('dat_file 1980'!E44/'dat_file 1980'!E$68,4)</f>
        <v>0.5323</v>
      </c>
      <c r="F44">
        <f>'dat_file 1980'!F44</f>
        <v>0.2979</v>
      </c>
      <c r="G44">
        <f>'dat_file 1980'!G44</f>
        <v>0.26939999999999997</v>
      </c>
      <c r="H44">
        <f>ROUND('dat_file 1980'!H44/'dat_file 1980'!H$68,4)</f>
        <v>0.66449999999999998</v>
      </c>
    </row>
    <row r="45" spans="2:8">
      <c r="B45">
        <v>1990</v>
      </c>
      <c r="C45">
        <f>ROUND('dat_file 1980'!C45/'dat_file 1980'!C$68,4)</f>
        <v>0.62380000000000002</v>
      </c>
      <c r="D45">
        <f>ROUND('dat_file 1980'!D45/'dat_file 1980'!D$68,4)</f>
        <v>0.57779999999999998</v>
      </c>
      <c r="E45">
        <f>ROUND('dat_file 1980'!E45/'dat_file 1980'!E$68,4)</f>
        <v>0.56110000000000004</v>
      </c>
      <c r="F45">
        <f>'dat_file 1980'!F45</f>
        <v>0.28389999999999999</v>
      </c>
      <c r="G45">
        <f>'dat_file 1980'!G45</f>
        <v>0.2555</v>
      </c>
      <c r="H45">
        <f>ROUND('dat_file 1980'!H45/'dat_file 1980'!H$68,4)</f>
        <v>0.69199999999999995</v>
      </c>
    </row>
    <row r="46" spans="2:8">
      <c r="B46">
        <v>1991</v>
      </c>
      <c r="C46">
        <f>ROUND('dat_file 1980'!C46/'dat_file 1980'!C$68,4)</f>
        <v>0.64470000000000005</v>
      </c>
      <c r="D46">
        <f>ROUND('dat_file 1980'!D46/'dat_file 1980'!D$68,4)</f>
        <v>0.5988</v>
      </c>
      <c r="E46">
        <f>ROUND('dat_file 1980'!E46/'dat_file 1980'!E$68,4)</f>
        <v>0.5847</v>
      </c>
      <c r="F46">
        <f>'dat_file 1980'!F46</f>
        <v>0.27389999999999998</v>
      </c>
      <c r="G46">
        <f>'dat_file 1980'!G46</f>
        <v>0.2452</v>
      </c>
      <c r="H46">
        <f>ROUND('dat_file 1980'!H46/'dat_file 1980'!H$68,4)</f>
        <v>0.7117</v>
      </c>
    </row>
    <row r="47" spans="2:8">
      <c r="B47">
        <v>1992</v>
      </c>
      <c r="C47">
        <f>ROUND('dat_file 1980'!C47/'dat_file 1980'!C$68,4)</f>
        <v>0.66190000000000004</v>
      </c>
      <c r="D47">
        <f>ROUND('dat_file 1980'!D47/'dat_file 1980'!D$68,4)</f>
        <v>0.61380000000000001</v>
      </c>
      <c r="E47">
        <f>ROUND('dat_file 1980'!E47/'dat_file 1980'!E$68,4)</f>
        <v>0.60229999999999995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1980'!H$68,4)</f>
        <v>0.72370000000000001</v>
      </c>
    </row>
    <row r="48" spans="2:8">
      <c r="B48">
        <v>1993</v>
      </c>
      <c r="C48">
        <f>ROUND('dat_file 1980'!C48/'dat_file 1980'!C$68,4)</f>
        <v>0.6784</v>
      </c>
      <c r="D48">
        <f>ROUND('dat_file 1980'!D48/'dat_file 1980'!D$68,4)</f>
        <v>0.62929999999999997</v>
      </c>
      <c r="E48">
        <f>ROUND('dat_file 1980'!E48/'dat_file 1980'!E$68,4)</f>
        <v>0.62029999999999996</v>
      </c>
      <c r="F48">
        <f>'dat_file 1980'!F48</f>
        <v>0.26069999999999999</v>
      </c>
      <c r="G48">
        <f>'dat_file 1980'!G48</f>
        <v>0.2311</v>
      </c>
      <c r="H48">
        <f>ROUND('dat_file 1980'!H48/'dat_file 1980'!H$68,4)</f>
        <v>0.73619999999999997</v>
      </c>
    </row>
    <row r="49" spans="2:8">
      <c r="B49">
        <v>1994</v>
      </c>
      <c r="C49">
        <f>ROUND('dat_file 1980'!C49/'dat_file 1980'!C$68,4)</f>
        <v>0.6925</v>
      </c>
      <c r="D49">
        <f>ROUND('dat_file 1980'!D49/'dat_file 1980'!D$68,4)</f>
        <v>0.64239999999999997</v>
      </c>
      <c r="E49">
        <f>ROUND('dat_file 1980'!E49/'dat_file 1980'!E$68,4)</f>
        <v>0.63619999999999999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1980'!H$68,4)</f>
        <v>0.74570000000000003</v>
      </c>
    </row>
    <row r="50" spans="2:8">
      <c r="B50">
        <v>1995</v>
      </c>
      <c r="C50">
        <f>ROUND('dat_file 1980'!C50/'dat_file 1980'!C$68,4)</f>
        <v>0.70709999999999995</v>
      </c>
      <c r="D50">
        <f>ROUND('dat_file 1980'!D50/'dat_file 1980'!D$68,4)</f>
        <v>0.65790000000000004</v>
      </c>
      <c r="E50">
        <f>ROUND('dat_file 1980'!E50/'dat_file 1980'!E$68,4)</f>
        <v>0.6542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1980'!H$68,4)</f>
        <v>0.75770000000000004</v>
      </c>
    </row>
    <row r="51" spans="2:8">
      <c r="B51">
        <v>1996</v>
      </c>
      <c r="C51">
        <f>ROUND('dat_file 1980'!C51/'dat_file 1980'!C$68,4)</f>
        <v>0.72219999999999995</v>
      </c>
      <c r="D51">
        <f>ROUND('dat_file 1980'!D51/'dat_file 1980'!D$68,4)</f>
        <v>0.6754</v>
      </c>
      <c r="E51">
        <f>ROUND('dat_file 1980'!E51/'dat_file 1980'!E$68,4)</f>
        <v>0.67349999999999999</v>
      </c>
      <c r="F51">
        <f>'dat_file 1980'!F51</f>
        <v>0.2429</v>
      </c>
      <c r="G51">
        <f>'dat_file 1980'!G51</f>
        <v>0.21290000000000001</v>
      </c>
      <c r="H51">
        <f>ROUND('dat_file 1980'!H51/'dat_file 1980'!H$68,4)</f>
        <v>0.77180000000000004</v>
      </c>
    </row>
    <row r="52" spans="2:8">
      <c r="B52">
        <v>1997</v>
      </c>
      <c r="C52">
        <f>ROUND('dat_file 1980'!C52/'dat_file 1980'!C$68,4)</f>
        <v>0.73480000000000001</v>
      </c>
      <c r="D52">
        <f>ROUND('dat_file 1980'!D52/'dat_file 1980'!D$68,4)</f>
        <v>0.69010000000000005</v>
      </c>
      <c r="E52">
        <f>ROUND('dat_file 1980'!E52/'dat_file 1980'!E$68,4)</f>
        <v>0.68899999999999995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1980'!H$68,4)</f>
        <v>0.78239999999999998</v>
      </c>
    </row>
    <row r="53" spans="2:8">
      <c r="B53">
        <v>1998</v>
      </c>
      <c r="C53">
        <f>ROUND('dat_file 1980'!C53/'dat_file 1980'!C$68,4)</f>
        <v>0.74070000000000003</v>
      </c>
      <c r="D53">
        <f>ROUND('dat_file 1980'!D53/'dat_file 1980'!D$68,4)</f>
        <v>0.69940000000000002</v>
      </c>
      <c r="E53">
        <f>ROUND('dat_file 1980'!E53/'dat_file 1980'!E$68,4)</f>
        <v>0.69969999999999999</v>
      </c>
      <c r="F53">
        <f>'dat_file 1980'!F53</f>
        <v>0.23449999999999999</v>
      </c>
      <c r="G53">
        <f>'dat_file 1980'!G53</f>
        <v>0.2049</v>
      </c>
      <c r="H53">
        <f>ROUND('dat_file 1980'!H53/'dat_file 1980'!H$68,4)</f>
        <v>0.78669999999999995</v>
      </c>
    </row>
    <row r="54" spans="2:8">
      <c r="B54">
        <v>1999</v>
      </c>
      <c r="C54">
        <f>ROUND('dat_file 1980'!C54/'dat_file 1980'!C$68,4)</f>
        <v>0.75149999999999995</v>
      </c>
      <c r="D54">
        <f>ROUND('dat_file 1980'!D54/'dat_file 1980'!D$68,4)</f>
        <v>0.71399999999999997</v>
      </c>
      <c r="E54">
        <f>ROUND('dat_file 1980'!E54/'dat_file 1980'!E$68,4)</f>
        <v>0.71509999999999996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1980'!H$68,4)</f>
        <v>0.79690000000000005</v>
      </c>
    </row>
    <row r="55" spans="2:8">
      <c r="B55">
        <v>2000</v>
      </c>
      <c r="C55">
        <f>ROUND('dat_file 1980'!C55/'dat_file 1980'!C$68,4)</f>
        <v>0.77049999999999996</v>
      </c>
      <c r="D55">
        <f>ROUND('dat_file 1980'!D55/'dat_file 1980'!D$68,4)</f>
        <v>0.73829999999999996</v>
      </c>
      <c r="E55">
        <f>ROUND('dat_file 1980'!E55/'dat_file 1980'!E$68,4)</f>
        <v>0.73919999999999997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1980'!H$68,4)</f>
        <v>0.81759999999999999</v>
      </c>
    </row>
    <row r="56" spans="2:8">
      <c r="B56">
        <v>2001</v>
      </c>
      <c r="C56">
        <f>ROUND('dat_file 1980'!C56/'dat_file 1980'!C$68,4)</f>
        <v>0.78590000000000004</v>
      </c>
      <c r="D56">
        <f>ROUND('dat_file 1980'!D56/'dat_file 1980'!D$68,4)</f>
        <v>0.75939999999999996</v>
      </c>
      <c r="E56">
        <f>ROUND('dat_file 1980'!E56/'dat_file 1980'!E$68,4)</f>
        <v>0.76019999999999999</v>
      </c>
      <c r="F56">
        <f>'dat_file 1980'!F56</f>
        <v>0.216</v>
      </c>
      <c r="G56">
        <f>'dat_file 1980'!G56</f>
        <v>0.18859999999999999</v>
      </c>
      <c r="H56">
        <f>ROUND('dat_file 1980'!H56/'dat_file 1980'!H$68,4)</f>
        <v>0.83440000000000003</v>
      </c>
    </row>
    <row r="57" spans="2:8">
      <c r="B57">
        <v>2002</v>
      </c>
      <c r="C57">
        <f>ROUND('dat_file 1980'!C57/'dat_file 1980'!C$68,4)</f>
        <v>0.79620000000000002</v>
      </c>
      <c r="D57">
        <f>ROUND('dat_file 1980'!D57/'dat_file 1980'!D$68,4)</f>
        <v>0.77129999999999999</v>
      </c>
      <c r="E57">
        <f>ROUND('dat_file 1980'!E57/'dat_file 1980'!E$68,4)</f>
        <v>0.77229999999999999</v>
      </c>
      <c r="F57">
        <f>'dat_file 1980'!F57</f>
        <v>0.2127</v>
      </c>
      <c r="G57">
        <f>'dat_file 1980'!G57</f>
        <v>0.1857</v>
      </c>
      <c r="H57">
        <f>ROUND('dat_file 1980'!H57/'dat_file 1980'!H$68,4)</f>
        <v>0.84089999999999998</v>
      </c>
    </row>
    <row r="58" spans="2:8">
      <c r="B58">
        <v>2003</v>
      </c>
      <c r="C58">
        <f>ROUND('dat_file 1980'!C58/'dat_file 1980'!C$68,4)</f>
        <v>0.81289999999999996</v>
      </c>
      <c r="D58">
        <f>ROUND('dat_file 1980'!D58/'dat_file 1980'!D$68,4)</f>
        <v>0.78890000000000005</v>
      </c>
      <c r="E58">
        <f>ROUND('dat_file 1980'!E58/'dat_file 1980'!E$68,4)</f>
        <v>0.78990000000000005</v>
      </c>
      <c r="F58">
        <f>'dat_file 1980'!F58</f>
        <v>0.2079</v>
      </c>
      <c r="G58">
        <f>'dat_file 1980'!G58</f>
        <v>0.18149999999999999</v>
      </c>
      <c r="H58">
        <f>ROUND('dat_file 1980'!H58/'dat_file 1980'!H$68,4)</f>
        <v>0.85329999999999995</v>
      </c>
    </row>
    <row r="59" spans="2:8">
      <c r="B59">
        <v>2004</v>
      </c>
      <c r="C59">
        <f>ROUND('dat_file 1980'!C59/'dat_file 1980'!C$68,4)</f>
        <v>0.83309999999999995</v>
      </c>
      <c r="D59">
        <f>ROUND('dat_file 1980'!D59/'dat_file 1980'!D$68,4)</f>
        <v>0.80989999999999995</v>
      </c>
      <c r="E59">
        <f>ROUND('dat_file 1980'!E59/'dat_file 1980'!E$68,4)</f>
        <v>0.81089999999999995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1980'!H$68,4)</f>
        <v>0.86919999999999997</v>
      </c>
    </row>
    <row r="60" spans="2:8">
      <c r="B60">
        <v>2005</v>
      </c>
      <c r="C60">
        <f>ROUND('dat_file 1980'!C60/'dat_file 1980'!C$68,4)</f>
        <v>0.85709999999999997</v>
      </c>
      <c r="D60">
        <f>ROUND('dat_file 1980'!D60/'dat_file 1980'!D$68,4)</f>
        <v>0.83740000000000003</v>
      </c>
      <c r="E60">
        <f>ROUND('dat_file 1980'!E60/'dat_file 1980'!E$68,4)</f>
        <v>0.83840000000000003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1980'!H$68,4)</f>
        <v>0.89180000000000004</v>
      </c>
    </row>
    <row r="61" spans="2:8">
      <c r="B61">
        <v>2006</v>
      </c>
      <c r="C61">
        <f>ROUND('dat_file 1980'!C61/'dat_file 1980'!C$68,4)</f>
        <v>0.88129999999999997</v>
      </c>
      <c r="D61">
        <f>ROUND('dat_file 1980'!D61/'dat_file 1980'!D$68,4)</f>
        <v>0.86460000000000004</v>
      </c>
      <c r="E61">
        <f>ROUND('dat_file 1980'!E61/'dat_file 1980'!E$68,4)</f>
        <v>0.86539999999999995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1980'!H$68,4)</f>
        <v>0.91359999999999997</v>
      </c>
    </row>
    <row r="62" spans="2:8">
      <c r="B62">
        <v>2007</v>
      </c>
      <c r="C62">
        <f>ROUND('dat_file 1980'!C62/'dat_file 1980'!C$68,4)</f>
        <v>0.90390000000000004</v>
      </c>
      <c r="D62">
        <f>ROUND('dat_file 1980'!D62/'dat_file 1980'!D$68,4)</f>
        <v>0.88919999999999999</v>
      </c>
      <c r="E62">
        <f>ROUND('dat_file 1980'!E62/'dat_file 1980'!E$68,4)</f>
        <v>0.8901</v>
      </c>
      <c r="F62">
        <f>'dat_file 1980'!F62</f>
        <v>0.1845</v>
      </c>
      <c r="G62">
        <f>'dat_file 1980'!G62</f>
        <v>0.16109999999999999</v>
      </c>
      <c r="H62">
        <f>ROUND('dat_file 1980'!H62/'dat_file 1980'!H$68,4)</f>
        <v>0.93220000000000003</v>
      </c>
    </row>
    <row r="63" spans="2:8">
      <c r="B63">
        <v>2008</v>
      </c>
      <c r="C63">
        <f>ROUND('dat_file 1980'!C63/'dat_file 1980'!C$68,4)</f>
        <v>0.93059999999999998</v>
      </c>
      <c r="D63">
        <f>ROUND('dat_file 1980'!D63/'dat_file 1980'!D$68,4)</f>
        <v>0.9234</v>
      </c>
      <c r="E63">
        <f>ROUND('dat_file 1980'!E63/'dat_file 1980'!E$68,4)</f>
        <v>0.92420000000000002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1980'!H$68,4)</f>
        <v>0.96060000000000001</v>
      </c>
    </row>
    <row r="64" spans="2:8">
      <c r="B64">
        <v>2009</v>
      </c>
      <c r="C64">
        <f>ROUND('dat_file 1980'!C64/'dat_file 1980'!C$68,4)</f>
        <v>0.92800000000000005</v>
      </c>
      <c r="D64">
        <f>ROUND('dat_file 1980'!D64/'dat_file 1980'!D$68,4)</f>
        <v>0.92020000000000002</v>
      </c>
      <c r="E64">
        <f>ROUND('dat_file 1980'!E64/'dat_file 1980'!E$68,4)</f>
        <v>0.92090000000000005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1980'!H$68,4)</f>
        <v>0.9496</v>
      </c>
    </row>
    <row r="65" spans="2:8">
      <c r="B65">
        <v>2010</v>
      </c>
      <c r="C65">
        <f>ROUND('dat_file 1980'!C65/'dat_file 1980'!C$68,4)</f>
        <v>0.94469999999999998</v>
      </c>
      <c r="D65">
        <f>ROUND('dat_file 1980'!D65/'dat_file 1980'!D$68,4)</f>
        <v>0.93510000000000004</v>
      </c>
      <c r="E65">
        <f>ROUND('dat_file 1980'!E65/'dat_file 1980'!E$68,4)</f>
        <v>0.93600000000000005</v>
      </c>
      <c r="F65">
        <f>'dat_file 1980'!F65</f>
        <v>0.1754</v>
      </c>
      <c r="G65">
        <f>'dat_file 1980'!G65</f>
        <v>0.1532</v>
      </c>
      <c r="H65">
        <f>ROUND('dat_file 1980'!H65/'dat_file 1980'!H$68,4)</f>
        <v>0.95740000000000003</v>
      </c>
    </row>
    <row r="66" spans="2:8">
      <c r="B66">
        <v>2011</v>
      </c>
      <c r="C66">
        <f>ROUND('dat_file 1980'!C66/'dat_file 1980'!C$68,4)</f>
        <v>0.96860000000000002</v>
      </c>
      <c r="D66">
        <f>ROUND('dat_file 1980'!D66/'dat_file 1980'!D$68,4)</f>
        <v>0.96489999999999998</v>
      </c>
      <c r="E66">
        <f>ROUND('dat_file 1980'!E66/'dat_file 1980'!E$68,4)</f>
        <v>0.96560000000000001</v>
      </c>
      <c r="F66">
        <f>'dat_file 1980'!F66</f>
        <v>0.17</v>
      </c>
      <c r="G66">
        <f>'dat_file 1980'!G66</f>
        <v>0.14849999999999999</v>
      </c>
      <c r="H66">
        <f>ROUND('dat_file 1980'!H66/'dat_file 1980'!H$68,4)</f>
        <v>0.98019999999999996</v>
      </c>
    </row>
    <row r="67" spans="2:8">
      <c r="B67">
        <v>2012</v>
      </c>
      <c r="C67">
        <f>ROUND('dat_file 1980'!C67/'dat_file 1980'!C$68,4)</f>
        <v>0.98660000000000003</v>
      </c>
      <c r="D67">
        <f>ROUND('dat_file 1980'!D67/'dat_file 1980'!D$68,4)</f>
        <v>0.98509999999999998</v>
      </c>
      <c r="E67">
        <f>ROUND('dat_file 1980'!E67/'dat_file 1980'!E$68,4)</f>
        <v>0.98560000000000003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1980'!H$68,4)</f>
        <v>0.9929</v>
      </c>
    </row>
    <row r="68" spans="2:8">
      <c r="B68">
        <v>2013</v>
      </c>
      <c r="C68">
        <f>ROUND('dat_file 1980'!C68/'dat_file 1980'!C$68,4)</f>
        <v>1</v>
      </c>
      <c r="D68">
        <f>ROUND('dat_file 1980'!D68/'dat_file 1980'!D$68,4)</f>
        <v>1</v>
      </c>
      <c r="E68">
        <f>ROUND('dat_file 1980'!E68/'dat_file 1980'!E$68,4)</f>
        <v>1</v>
      </c>
      <c r="F68">
        <f>'dat_file 1980'!F68</f>
        <v>0.16400000000000001</v>
      </c>
      <c r="G68">
        <f>'dat_file 1980'!G68</f>
        <v>0.1434</v>
      </c>
      <c r="H68">
        <f>ROUND('dat_file 1980'!H68/'dat_file 1980'!H$68,4)</f>
        <v>1</v>
      </c>
    </row>
    <row r="69" spans="2:8">
      <c r="B69">
        <v>2014</v>
      </c>
      <c r="C69">
        <f>ROUND('dat_file 1980'!C69/'dat_file 1980'!C$68,4)</f>
        <v>1.0150999999999999</v>
      </c>
      <c r="D69">
        <f>ROUND('dat_file 1980'!D69/'dat_file 1980'!D$68,4)</f>
        <v>1.0165999999999999</v>
      </c>
      <c r="E69">
        <f>ROUND('dat_file 1980'!E69/'dat_file 1980'!E$68,4)</f>
        <v>1.0162</v>
      </c>
      <c r="F69">
        <f>'dat_file 1980'!F69</f>
        <v>0.1613</v>
      </c>
      <c r="G69">
        <f>'dat_file 1980'!G69</f>
        <v>0.1411</v>
      </c>
      <c r="H69">
        <f>ROUND('dat_file 1980'!H69/'dat_file 1980'!H$68,4)</f>
        <v>1.0086999999999999</v>
      </c>
    </row>
    <row r="70" spans="2:8">
      <c r="B70">
        <v>2015</v>
      </c>
      <c r="C70">
        <f>ROUND('dat_file 1980'!C70/'dat_file 1980'!C$68,4)</f>
        <v>1.0173000000000001</v>
      </c>
      <c r="D70">
        <f>ROUND('dat_file 1980'!D70/'dat_file 1980'!D$68,4)</f>
        <v>1.0184</v>
      </c>
      <c r="E70">
        <f>ROUND('dat_file 1980'!E70/'dat_file 1980'!E$68,4)</f>
        <v>1.0174000000000001</v>
      </c>
      <c r="F70">
        <f>'dat_file 1980'!F70</f>
        <v>0.16109999999999999</v>
      </c>
      <c r="G70">
        <f>'dat_file 1980'!G70</f>
        <v>0.1409</v>
      </c>
      <c r="H70">
        <f>ROUND('dat_file 1980'!H70/'dat_file 1980'!H$68,4)</f>
        <v>1.0024</v>
      </c>
    </row>
    <row r="71" spans="2:8">
      <c r="B71">
        <v>2016</v>
      </c>
      <c r="C71">
        <f>ROUND('dat_file 1980'!C71/'dat_file 1980'!C$68,4)</f>
        <v>1.0275000000000001</v>
      </c>
      <c r="D71">
        <f>ROUND('dat_file 1980'!D71/'dat_file 1980'!D$68,4)</f>
        <v>1.0316000000000001</v>
      </c>
      <c r="E71">
        <f>ROUND('dat_file 1980'!E71/'dat_file 1980'!E$68,4)</f>
        <v>1.0303</v>
      </c>
      <c r="F71">
        <f>'dat_file 1980'!F71</f>
        <v>0.159</v>
      </c>
      <c r="G71">
        <f>'dat_file 1980'!G71</f>
        <v>0.13919999999999999</v>
      </c>
      <c r="H71">
        <f>ROUND('dat_file 1980'!H71/'dat_file 1980'!H$68,4)</f>
        <v>1.0073000000000001</v>
      </c>
    </row>
    <row r="72" spans="2:8">
      <c r="B72">
        <v>2017</v>
      </c>
      <c r="C72">
        <f>ROUND('dat_file 1980'!C72/'dat_file 1980'!C$68,4)</f>
        <v>1.0464</v>
      </c>
      <c r="D72">
        <f>ROUND('dat_file 1980'!D72/'dat_file 1980'!D$68,4)</f>
        <v>1.0535000000000001</v>
      </c>
      <c r="E72">
        <f>ROUND('dat_file 1980'!E72/'dat_file 1980'!E$68,4)</f>
        <v>1.0522</v>
      </c>
      <c r="F72">
        <f>'dat_file 1980'!F72</f>
        <v>0.15570000000000001</v>
      </c>
      <c r="G72">
        <f>'dat_file 1980'!G72</f>
        <v>0.1363</v>
      </c>
      <c r="H72">
        <f>ROUND('dat_file 1980'!H72/'dat_file 1980'!H$68,4)</f>
        <v>1.0206</v>
      </c>
    </row>
    <row r="73" spans="2:8">
      <c r="B73">
        <v>2018</v>
      </c>
      <c r="C73">
        <f>ROUND('dat_file 1980'!C73/'dat_file 1980'!C$68,4)</f>
        <v>1.0687</v>
      </c>
      <c r="D73">
        <f>ROUND('dat_file 1980'!D73/'dat_file 1980'!D$68,4)</f>
        <v>1.0791999999999999</v>
      </c>
      <c r="E73">
        <f>ROUND('dat_file 1980'!E73/'dat_file 1980'!E$68,4)</f>
        <v>1.0779000000000001</v>
      </c>
      <c r="F73">
        <f>'dat_file 1980'!F73</f>
        <v>0.152</v>
      </c>
      <c r="G73">
        <f>'dat_file 1980'!G73</f>
        <v>0.13300000000000001</v>
      </c>
      <c r="H73">
        <f>ROUND('dat_file 1980'!H73/'dat_file 1980'!H$68,4)</f>
        <v>1.0374000000000001</v>
      </c>
    </row>
    <row r="74" spans="2:8">
      <c r="B74">
        <v>2019</v>
      </c>
      <c r="C74">
        <f>ROUND('dat_file 1980'!C74/'dat_file 1980'!C$68,4)</f>
        <v>1.0846</v>
      </c>
      <c r="D74">
        <f>ROUND('dat_file 1980'!D74/'dat_file 1980'!D$68,4)</f>
        <v>1.0988</v>
      </c>
      <c r="E74">
        <f>ROUND('dat_file 1980'!E74/'dat_file 1980'!E$68,4)</f>
        <v>1.0973999999999999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1980'!H$68,4)</f>
        <v>1.0479000000000001</v>
      </c>
    </row>
    <row r="75" spans="2:8">
      <c r="B75">
        <v>2020</v>
      </c>
      <c r="C75">
        <f>ROUND('dat_file 1980'!C75/'dat_file 1980'!C$68,4)</f>
        <v>1.0966</v>
      </c>
      <c r="D75">
        <f>ROUND('dat_file 1980'!D75/'dat_file 1980'!D$68,4)</f>
        <v>1.1134999999999999</v>
      </c>
      <c r="E75">
        <f>ROUND('dat_file 1980'!E75/'dat_file 1980'!E$68,4)</f>
        <v>1.111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1980'!H$68,4)</f>
        <v>1.0535000000000001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4E12-BA08-4A9D-A7F9-FBFEED7AD1AC}">
  <dimension ref="B1:O75"/>
  <sheetViews>
    <sheetView topLeftCell="A64" workbookViewId="0">
      <selection activeCell="B73" sqref="B73:I75"/>
    </sheetView>
  </sheetViews>
  <sheetFormatPr defaultColWidth="9.28515625" defaultRowHeight="12.75"/>
  <cols>
    <col min="14" max="14" width="14.28515625" customWidth="1"/>
  </cols>
  <sheetData>
    <row r="1" spans="2:15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t="s">
        <v>96</v>
      </c>
    </row>
    <row r="2" spans="2:15">
      <c r="B2">
        <f>+Sheet3!A2</f>
        <v>1947</v>
      </c>
      <c r="C2">
        <f>ROUND('dat_file 1980'!C2/'dat_file 1980'!C$73,4)</f>
        <v>0.1153</v>
      </c>
      <c r="D2">
        <f>ROUND('dat_file 1980'!D2/'dat_file 1980'!D$73,4)</f>
        <v>0.1016</v>
      </c>
      <c r="E2">
        <f>ROUND('dat_file 1980'!E2/'dat_file 1980'!E$73,4)</f>
        <v>8.8800000000000004E-2</v>
      </c>
      <c r="F2">
        <f>'dat_file 1980'!F2</f>
        <v>1.496</v>
      </c>
      <c r="G2">
        <f>'dat_file 1980'!G2</f>
        <v>1.4978</v>
      </c>
      <c r="H2">
        <f>ROUND('dat_file 1980'!H2/'dat_file 1980'!H$73,4)</f>
        <v>0.19270000000000001</v>
      </c>
      <c r="I2">
        <f>ROUND('dat_file 1980'!J2/'dat_file 1980'!J$73,4)</f>
        <v>0.17119999999999999</v>
      </c>
    </row>
    <row r="3" spans="2:15">
      <c r="B3">
        <f>+Sheet3!A3</f>
        <v>1948</v>
      </c>
      <c r="C3">
        <f>ROUND('dat_file 1980'!C3/'dat_file 1980'!C$73,4)</f>
        <v>0.12189999999999999</v>
      </c>
      <c r="D3">
        <f>ROUND('dat_file 1980'!D3/'dat_file 1980'!D$73,4)</f>
        <v>0.10970000000000001</v>
      </c>
      <c r="E3">
        <f>ROUND('dat_file 1980'!E3/'dat_file 1980'!E$73,4)</f>
        <v>9.6000000000000002E-2</v>
      </c>
      <c r="F3">
        <f>'dat_file 1980'!F3</f>
        <v>1.3852</v>
      </c>
      <c r="G3">
        <f>'dat_file 1980'!G3</f>
        <v>1.3858999999999999</v>
      </c>
      <c r="H3">
        <f>ROUND('dat_file 1980'!H3/'dat_file 1980'!H$73,4)</f>
        <v>0.20599999999999999</v>
      </c>
      <c r="I3">
        <f>ROUND('dat_file 1980'!J3/'dat_file 1980'!J$73,4)</f>
        <v>0.18279999999999999</v>
      </c>
    </row>
    <row r="4" spans="2:15">
      <c r="B4">
        <f>+Sheet3!A4</f>
        <v>1949</v>
      </c>
      <c r="C4">
        <f>ROUND('dat_file 1980'!C4/'dat_file 1980'!C$73,4)</f>
        <v>0.12089999999999999</v>
      </c>
      <c r="D4">
        <f>ROUND('dat_file 1980'!D4/'dat_file 1980'!D$73,4)</f>
        <v>0.1084</v>
      </c>
      <c r="E4">
        <f>ROUND('dat_file 1980'!E4/'dat_file 1980'!E$73,4)</f>
        <v>9.4799999999999995E-2</v>
      </c>
      <c r="F4">
        <f>'dat_file 1980'!F4</f>
        <v>1.4025000000000001</v>
      </c>
      <c r="G4">
        <f>'dat_file 1980'!G4</f>
        <v>1.4034</v>
      </c>
      <c r="H4">
        <f>ROUND('dat_file 1980'!H4/'dat_file 1980'!H$73,4)</f>
        <v>0.20119999999999999</v>
      </c>
      <c r="I4">
        <f>ROUND('dat_file 1980'!J4/'dat_file 1980'!J$73,4)</f>
        <v>0.17860000000000001</v>
      </c>
    </row>
    <row r="5" spans="2:15">
      <c r="B5">
        <f>+Sheet3!A5</f>
        <v>1950</v>
      </c>
      <c r="C5">
        <f>ROUND('dat_file 1980'!C5/'dat_file 1980'!C$73,4)</f>
        <v>0.12230000000000001</v>
      </c>
      <c r="D5">
        <f>ROUND('dat_file 1980'!D5/'dat_file 1980'!D$73,4)</f>
        <v>0.10970000000000001</v>
      </c>
      <c r="E5">
        <f>ROUND('dat_file 1980'!E5/'dat_file 1980'!E$73,4)</f>
        <v>9.6000000000000002E-2</v>
      </c>
      <c r="F5">
        <f>'dat_file 1980'!F5</f>
        <v>1.3852</v>
      </c>
      <c r="G5">
        <f>'dat_file 1980'!G5</f>
        <v>1.3858999999999999</v>
      </c>
      <c r="H5">
        <f>ROUND('dat_file 1980'!H5/'dat_file 1980'!H$73,4)</f>
        <v>0.20150000000000001</v>
      </c>
      <c r="I5">
        <f>ROUND('dat_file 1980'!J5/'dat_file 1980'!J$73,4)</f>
        <v>0.17860000000000001</v>
      </c>
    </row>
    <row r="6" spans="2:15">
      <c r="B6">
        <f>+Sheet3!A6</f>
        <v>1951</v>
      </c>
      <c r="C6">
        <f>ROUND('dat_file 1980'!C6/'dat_file 1980'!C$73,4)</f>
        <v>0.13070000000000001</v>
      </c>
      <c r="D6">
        <f>ROUND('dat_file 1980'!D6/'dat_file 1980'!D$73,4)</f>
        <v>0.11840000000000001</v>
      </c>
      <c r="E6">
        <f>ROUND('dat_file 1980'!E6/'dat_file 1980'!E$73,4)</f>
        <v>0.10349999999999999</v>
      </c>
      <c r="F6">
        <f>'dat_file 1980'!F6</f>
        <v>1.2838000000000001</v>
      </c>
      <c r="G6">
        <f>'dat_file 1980'!G6</f>
        <v>1.2846</v>
      </c>
      <c r="H6">
        <f>ROUND('dat_file 1980'!H6/'dat_file 1980'!H$73,4)</f>
        <v>0.2152</v>
      </c>
      <c r="I6">
        <f>ROUND('dat_file 1980'!J6/'dat_file 1980'!J$73,4)</f>
        <v>0.191</v>
      </c>
    </row>
    <row r="7" spans="2:15">
      <c r="B7">
        <f>+Sheet3!A7</f>
        <v>1952</v>
      </c>
      <c r="C7">
        <f>ROUND('dat_file 1980'!C7/'dat_file 1980'!C$73,4)</f>
        <v>0.13339999999999999</v>
      </c>
      <c r="D7">
        <f>ROUND('dat_file 1980'!D7/'dat_file 1980'!D$73,4)</f>
        <v>0.1206</v>
      </c>
      <c r="E7">
        <f>ROUND('dat_file 1980'!E7/'dat_file 1980'!E$73,4)</f>
        <v>0.1055</v>
      </c>
      <c r="F7">
        <f>'dat_file 1980'!F7</f>
        <v>1.2606999999999999</v>
      </c>
      <c r="G7">
        <f>'dat_file 1980'!G7</f>
        <v>1.2604</v>
      </c>
      <c r="H7">
        <f>ROUND('dat_file 1980'!H7/'dat_file 1980'!H$73,4)</f>
        <v>0.21679999999999999</v>
      </c>
      <c r="I7">
        <f>ROUND('dat_file 1980'!J7/'dat_file 1980'!J$73,4)</f>
        <v>0.1923</v>
      </c>
    </row>
    <row r="8" spans="2:15">
      <c r="B8">
        <f>+Sheet3!A8</f>
        <v>1953</v>
      </c>
      <c r="C8">
        <f>ROUND('dat_file 1980'!C8/'dat_file 1980'!C$73,4)</f>
        <v>0.1351</v>
      </c>
      <c r="D8">
        <f>ROUND('dat_file 1980'!D8/'dat_file 1980'!D$73,4)</f>
        <v>0.12139999999999999</v>
      </c>
      <c r="E8">
        <f>ROUND('dat_file 1980'!E8/'dat_file 1980'!E$73,4)</f>
        <v>0.10630000000000001</v>
      </c>
      <c r="F8">
        <f>'dat_file 1980'!F8</f>
        <v>1.2522</v>
      </c>
      <c r="G8">
        <f>'dat_file 1980'!G8</f>
        <v>1.2508999999999999</v>
      </c>
      <c r="H8">
        <f>ROUND('dat_file 1980'!H8/'dat_file 1980'!H$73,4)</f>
        <v>0.21590000000000001</v>
      </c>
      <c r="I8">
        <f>ROUND('dat_file 1980'!J8/'dat_file 1980'!J$73,4)</f>
        <v>0.1915</v>
      </c>
    </row>
    <row r="9" spans="2:15">
      <c r="B9">
        <f>+Sheet3!A9</f>
        <v>1954</v>
      </c>
      <c r="C9">
        <f>ROUND('dat_file 1980'!C9/'dat_file 1980'!C$73,4)</f>
        <v>0.1363</v>
      </c>
      <c r="D9">
        <f>ROUND('dat_file 1980'!D9/'dat_file 1980'!D$73,4)</f>
        <v>0.1225</v>
      </c>
      <c r="E9">
        <f>ROUND('dat_file 1980'!E9/'dat_file 1980'!E$73,4)</f>
        <v>0.1071</v>
      </c>
      <c r="F9">
        <f>'dat_file 1980'!F9</f>
        <v>1.2412000000000001</v>
      </c>
      <c r="G9">
        <f>'dat_file 1980'!G9</f>
        <v>1.2416</v>
      </c>
      <c r="H9">
        <f>ROUND('dat_file 1980'!H9/'dat_file 1980'!H$73,4)</f>
        <v>0.21540000000000001</v>
      </c>
      <c r="I9">
        <f>ROUND('dat_file 1980'!J9/'dat_file 1980'!J$73,4)</f>
        <v>0.191</v>
      </c>
    </row>
    <row r="10" spans="2:15">
      <c r="B10">
        <f>+Sheet3!A10</f>
        <v>1955</v>
      </c>
      <c r="C10">
        <f>ROUND('dat_file 1980'!C10/'dat_file 1980'!C$73,4)</f>
        <v>0.1368</v>
      </c>
      <c r="D10">
        <f>ROUND('dat_file 1980'!D10/'dat_file 1980'!D$73,4)</f>
        <v>0.12189999999999999</v>
      </c>
      <c r="E10">
        <f>ROUND('dat_file 1980'!E10/'dat_file 1980'!E$73,4)</f>
        <v>0.1067</v>
      </c>
      <c r="F10">
        <f>'dat_file 1980'!F10</f>
        <v>1.2466999999999999</v>
      </c>
      <c r="G10">
        <f>'dat_file 1980'!G10</f>
        <v>1.2463</v>
      </c>
      <c r="H10">
        <f>ROUND('dat_file 1980'!H10/'dat_file 1980'!H$73,4)</f>
        <v>0.21210000000000001</v>
      </c>
      <c r="I10">
        <f>ROUND('dat_file 1980'!J10/'dat_file 1980'!J$73,4)</f>
        <v>0.18809999999999999</v>
      </c>
    </row>
    <row r="11" spans="2:15">
      <c r="B11">
        <f>+Sheet3!A11</f>
        <v>1956</v>
      </c>
      <c r="C11">
        <f>ROUND('dat_file 1980'!C11/'dat_file 1980'!C$73,4)</f>
        <v>0.13950000000000001</v>
      </c>
      <c r="D11">
        <f>ROUND('dat_file 1980'!D11/'dat_file 1980'!D$73,4)</f>
        <v>0.12379999999999999</v>
      </c>
      <c r="E11">
        <f>ROUND('dat_file 1980'!E11/'dat_file 1980'!E$73,4)</f>
        <v>0.10829999999999999</v>
      </c>
      <c r="F11">
        <f>'dat_file 1980'!F11</f>
        <v>1.2276</v>
      </c>
      <c r="G11">
        <f>'dat_file 1980'!G11</f>
        <v>1.2279</v>
      </c>
      <c r="H11">
        <f>ROUND('dat_file 1980'!H11/'dat_file 1980'!H$73,4)</f>
        <v>0.21310000000000001</v>
      </c>
      <c r="I11">
        <f>ROUND('dat_file 1980'!J11/'dat_file 1980'!J$73,4)</f>
        <v>0.189</v>
      </c>
    </row>
    <row r="12" spans="2:15">
      <c r="B12">
        <f>+Sheet3!A12</f>
        <v>1957</v>
      </c>
      <c r="C12">
        <f>ROUND('dat_file 1980'!C12/'dat_file 1980'!C$73,4)</f>
        <v>0.14380000000000001</v>
      </c>
      <c r="D12">
        <f>ROUND('dat_file 1980'!D12/'dat_file 1980'!D$73,4)</f>
        <v>0.12790000000000001</v>
      </c>
      <c r="E12">
        <f>ROUND('dat_file 1980'!E12/'dat_file 1980'!E$73,4)</f>
        <v>0.1119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1980'!H$73,4)</f>
        <v>0.2177</v>
      </c>
      <c r="I12">
        <f>ROUND('dat_file 1980'!J12/'dat_file 1980'!J$73,4)</f>
        <v>0.19309999999999999</v>
      </c>
    </row>
    <row r="13" spans="2:15">
      <c r="B13">
        <f>+Sheet3!A13</f>
        <v>1958</v>
      </c>
      <c r="C13">
        <f>ROUND('dat_file 1980'!C13/'dat_file 1980'!C$73,4)</f>
        <v>0.14710000000000001</v>
      </c>
      <c r="D13">
        <f>ROUND('dat_file 1980'!D13/'dat_file 1980'!D$73,4)</f>
        <v>0.13139999999999999</v>
      </c>
      <c r="E13">
        <f>ROUND('dat_file 1980'!E13/'dat_file 1980'!E$73,4)</f>
        <v>0.11509999999999999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1980'!H$73,4)</f>
        <v>0.2213</v>
      </c>
      <c r="I13">
        <f>ROUND('dat_file 1980'!J13/'dat_file 1980'!J$73,4)</f>
        <v>0.19639999999999999</v>
      </c>
    </row>
    <row r="14" spans="2:15">
      <c r="B14">
        <f>+Sheet3!A14</f>
        <v>1959</v>
      </c>
      <c r="C14">
        <f>ROUND('dat_file 1980'!C14/'dat_file 1980'!C$73,4)</f>
        <v>0.14929999999999999</v>
      </c>
      <c r="D14">
        <f>ROUND('dat_file 1980'!D14/'dat_file 1980'!D$73,4)</f>
        <v>0.13250000000000001</v>
      </c>
      <c r="E14">
        <f>ROUND('dat_file 1980'!E14/'dat_file 1980'!E$73,4)</f>
        <v>0.1159</v>
      </c>
      <c r="F14">
        <f>'dat_file 1980'!F14</f>
        <v>1.1472</v>
      </c>
      <c r="G14">
        <f>'dat_file 1980'!G14</f>
        <v>1.1477999999999999</v>
      </c>
      <c r="H14">
        <f>ROUND('dat_file 1980'!H14/'dat_file 1980'!H$73,4)</f>
        <v>0.22070000000000001</v>
      </c>
      <c r="I14">
        <f>ROUND('dat_file 1980'!J14/'dat_file 1980'!J$73,4)</f>
        <v>0.1956</v>
      </c>
    </row>
    <row r="15" spans="2:15">
      <c r="B15">
        <f>+Sheet3!A15</f>
        <v>1960</v>
      </c>
      <c r="C15">
        <f>ROUND('dat_file 1980'!C15/'dat_file 1980'!C$73,4)</f>
        <v>0.15179999999999999</v>
      </c>
      <c r="D15">
        <f>ROUND('dat_file 1980'!D15/'dat_file 1980'!D$73,4)</f>
        <v>0.1346</v>
      </c>
      <c r="E15">
        <f>ROUND('dat_file 1980'!E15/'dat_file 1980'!E$73,4)</f>
        <v>0.1179</v>
      </c>
      <c r="F15">
        <f>'dat_file 1980'!F15</f>
        <v>1.1288</v>
      </c>
      <c r="G15">
        <f>'dat_file 1980'!G15</f>
        <v>1.1284000000000001</v>
      </c>
      <c r="H15">
        <f>ROUND('dat_file 1980'!H15/'dat_file 1980'!H$73,4)</f>
        <v>0.22189999999999999</v>
      </c>
      <c r="I15">
        <f>ROUND('dat_file 1980'!J15/'dat_file 1980'!J$73,4)</f>
        <v>0.19689999999999999</v>
      </c>
      <c r="K15" t="str">
        <f>"IF ref_year="&amp;'dat_file 1980'!B15&amp;" THEN cpi_u_rs_18="&amp;ROUND('dat_file 1980'!$D$73/'dat_file 1980'!D15,3)&amp;";"</f>
        <v>IF ref_year=1960 THEN cpi_u_rs_18=7.427;</v>
      </c>
      <c r="O15" t="str">
        <f>"IF ref_year="&amp;'dat_file 1980'!B15&amp;" THEN cpi_u_rs_adj_18="&amp;ROUND('dat_file 1980'!$H$73/'dat_file 1980'!H15,3)&amp;";"</f>
        <v>IF ref_year=1960 THEN cpi_u_rs_adj_18=4.507;</v>
      </c>
    </row>
    <row r="16" spans="2:15">
      <c r="B16">
        <f>+Sheet3!A16</f>
        <v>1961</v>
      </c>
      <c r="C16">
        <f>ROUND('dat_file 1980'!C16/'dat_file 1980'!C$73,4)</f>
        <v>0.15340000000000001</v>
      </c>
      <c r="D16">
        <f>ROUND('dat_file 1980'!D16/'dat_file 1980'!D$73,4)</f>
        <v>0.13600000000000001</v>
      </c>
      <c r="E16">
        <f>ROUND('dat_file 1980'!E16/'dat_file 1980'!E$73,4)</f>
        <v>0.1191</v>
      </c>
      <c r="F16">
        <f>'dat_file 1980'!F16</f>
        <v>1.1174999999999999</v>
      </c>
      <c r="G16">
        <f>'dat_file 1980'!G16</f>
        <v>1.1171</v>
      </c>
      <c r="H16">
        <f>ROUND('dat_file 1980'!H16/'dat_file 1980'!H$73,4)</f>
        <v>0.22170000000000001</v>
      </c>
      <c r="I16">
        <f>ROUND('dat_file 1980'!J16/'dat_file 1980'!J$73,4)</f>
        <v>0.19689999999999999</v>
      </c>
      <c r="K16" t="str">
        <f>"ELSE IF ref_year="&amp;'dat_file 1980'!B16&amp;" THEN cpi_u_rs_18="&amp;ROUND('dat_file 1980'!$D$73/'dat_file 1980'!D16,3)&amp;";"</f>
        <v>ELSE IF ref_year=1961 THEN cpi_u_rs_18=7.352;</v>
      </c>
      <c r="O16" t="str">
        <f>"ELSE IF ref_year="&amp;'dat_file 1980'!B16&amp;" THEN cpi_u_rs_adj_18="&amp;ROUND('dat_file 1980'!$H$73/'dat_file 1980'!H16,3)&amp;";"</f>
        <v>ELSE IF ref_year=1961 THEN cpi_u_rs_adj_18=4.511;</v>
      </c>
    </row>
    <row r="17" spans="2:15">
      <c r="B17">
        <f>+Sheet3!A17</f>
        <v>1962</v>
      </c>
      <c r="C17">
        <f>ROUND('dat_file 1980'!C17/'dat_file 1980'!C$73,4)</f>
        <v>0.1552</v>
      </c>
      <c r="D17">
        <f>ROUND('dat_file 1980'!D17/'dat_file 1980'!D$73,4)</f>
        <v>0.13739999999999999</v>
      </c>
      <c r="E17">
        <f>ROUND('dat_file 1980'!E17/'dat_file 1980'!E$73,4)</f>
        <v>0.1203</v>
      </c>
      <c r="F17">
        <f>'dat_file 1980'!F17</f>
        <v>1.1065</v>
      </c>
      <c r="G17">
        <f>'dat_file 1980'!G17</f>
        <v>1.1060000000000001</v>
      </c>
      <c r="H17">
        <f>ROUND('dat_file 1980'!H17/'dat_file 1980'!H$73,4)</f>
        <v>0.2215</v>
      </c>
      <c r="I17">
        <f>ROUND('dat_file 1980'!J17/'dat_file 1980'!J$73,4)</f>
        <v>0.19639999999999999</v>
      </c>
      <c r="K17" t="str">
        <f>"ELSE IF ref_year="&amp;'dat_file 1980'!B17&amp;" THEN cpi_u_rs_18="&amp;ROUND('dat_file 1980'!$D$73/'dat_file 1980'!D17,3)&amp;";"</f>
        <v>ELSE IF ref_year=1962 THEN cpi_u_rs_18=7.28;</v>
      </c>
      <c r="O17" t="str">
        <f>"ELSE IF ref_year="&amp;'dat_file 1980'!B17&amp;" THEN cpi_u_rs_adj_18="&amp;ROUND('dat_file 1980'!$H$73/'dat_file 1980'!H17,3)&amp;";"</f>
        <v>ELSE IF ref_year=1962 THEN cpi_u_rs_adj_18=4.515;</v>
      </c>
    </row>
    <row r="18" spans="2:15">
      <c r="B18">
        <f>+Sheet3!A18</f>
        <v>1963</v>
      </c>
      <c r="C18">
        <f>ROUND('dat_file 1980'!C18/'dat_file 1980'!C$73,4)</f>
        <v>0.157</v>
      </c>
      <c r="D18">
        <f>ROUND('dat_file 1980'!D18/'dat_file 1980'!D$73,4)</f>
        <v>0.13930000000000001</v>
      </c>
      <c r="E18">
        <f>ROUND('dat_file 1980'!E18/'dat_file 1980'!E$73,4)</f>
        <v>0.12189999999999999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1980'!H$73,4)</f>
        <v>0.22209999999999999</v>
      </c>
      <c r="I18">
        <f>ROUND('dat_file 1980'!J18/'dat_file 1980'!J$73,4)</f>
        <v>0.19689999999999999</v>
      </c>
      <c r="K18" t="str">
        <f>"ELSE IF ref_year="&amp;'dat_file 1980'!B18&amp;" THEN cpi_u_rs_18="&amp;ROUND('dat_file 1980'!$D$73/'dat_file 1980'!D18,3)&amp;";"</f>
        <v>ELSE IF ref_year=1963 THEN cpi_u_rs_18=7.181;</v>
      </c>
      <c r="O18" t="str">
        <f>"ELSE IF ref_year="&amp;'dat_file 1980'!B18&amp;" THEN cpi_u_rs_adj_18="&amp;ROUND('dat_file 1980'!$H$73/'dat_file 1980'!H18,3)&amp;";"</f>
        <v>ELSE IF ref_year=1963 THEN cpi_u_rs_adj_18=4.503;</v>
      </c>
    </row>
    <row r="19" spans="2:15">
      <c r="B19">
        <f>+Sheet3!A19</f>
        <v>1964</v>
      </c>
      <c r="C19">
        <f>ROUND('dat_file 1980'!C19/'dat_file 1980'!C$73,4)</f>
        <v>0.1593</v>
      </c>
      <c r="D19">
        <f>ROUND('dat_file 1980'!D19/'dat_file 1980'!D$73,4)</f>
        <v>0.14119999999999999</v>
      </c>
      <c r="E19">
        <f>ROUND('dat_file 1980'!E19/'dat_file 1980'!E$73,4)</f>
        <v>0.1234</v>
      </c>
      <c r="F19">
        <f>'dat_file 1980'!F19</f>
        <v>1.0768</v>
      </c>
      <c r="G19">
        <f>'dat_file 1980'!G19</f>
        <v>1.0773999999999999</v>
      </c>
      <c r="H19">
        <f>ROUND('dat_file 1980'!H19/'dat_file 1980'!H$73,4)</f>
        <v>0.22270000000000001</v>
      </c>
      <c r="I19">
        <f>ROUND('dat_file 1980'!J19/'dat_file 1980'!J$73,4)</f>
        <v>0.19769999999999999</v>
      </c>
      <c r="K19" t="str">
        <f>"ELSE IF ref_year="&amp;'dat_file 1980'!B19&amp;" THEN cpi_u_rs_18="&amp;ROUND('dat_file 1980'!$D$73/'dat_file 1980'!D19,3)&amp;";"</f>
        <v>ELSE IF ref_year=1964 THEN cpi_u_rs_18=7.085;</v>
      </c>
      <c r="O19" t="str">
        <f>"ELSE IF ref_year="&amp;'dat_file 1980'!B19&amp;" THEN cpi_u_rs_adj_18="&amp;ROUND('dat_file 1980'!$H$73/'dat_file 1980'!H19,3)&amp;";"</f>
        <v>ELSE IF ref_year=1964 THEN cpi_u_rs_adj_18=4.491;</v>
      </c>
    </row>
    <row r="20" spans="2:15">
      <c r="B20">
        <f>+Sheet3!A20</f>
        <v>1965</v>
      </c>
      <c r="C20">
        <f>ROUND('dat_file 1980'!C20/'dat_file 1980'!C$73,4)</f>
        <v>0.16159999999999999</v>
      </c>
      <c r="D20">
        <f>ROUND('dat_file 1980'!D20/'dat_file 1980'!D$73,4)</f>
        <v>0.14330000000000001</v>
      </c>
      <c r="E20">
        <f>ROUND('dat_file 1980'!E20/'dat_file 1980'!E$73,4)</f>
        <v>0.1255</v>
      </c>
      <c r="F20">
        <f>'dat_file 1980'!F20</f>
        <v>1.0605</v>
      </c>
      <c r="G20">
        <f>'dat_file 1980'!G20</f>
        <v>1.0603</v>
      </c>
      <c r="H20">
        <f>ROUND('dat_file 1980'!H20/'dat_file 1980'!H$73,4)</f>
        <v>0.22359999999999999</v>
      </c>
      <c r="I20">
        <f>ROUND('dat_file 1980'!J20/'dat_file 1980'!J$73,4)</f>
        <v>0.19850000000000001</v>
      </c>
      <c r="K20" t="str">
        <f>"ELSE IF ref_year="&amp;'dat_file 1980'!B20&amp;" THEN cpi_u_rs_18="&amp;ROUND('dat_file 1980'!$D$73/'dat_file 1980'!D20,3)&amp;";"</f>
        <v>ELSE IF ref_year=1965 THEN cpi_u_rs_18=6.977;</v>
      </c>
      <c r="O20" t="str">
        <f>"ELSE IF ref_year="&amp;'dat_file 1980'!B20&amp;" THEN cpi_u_rs_adj_18="&amp;ROUND('dat_file 1980'!$H$73/'dat_file 1980'!H20,3)&amp;";"</f>
        <v>ELSE IF ref_year=1965 THEN cpi_u_rs_adj_18=4.471;</v>
      </c>
    </row>
    <row r="21" spans="2:15">
      <c r="B21">
        <f>+Sheet3!A21</f>
        <v>1966</v>
      </c>
      <c r="C21">
        <f>ROUND('dat_file 1980'!C21/'dat_file 1980'!C$73,4)</f>
        <v>0.16569999999999999</v>
      </c>
      <c r="D21">
        <f>ROUND('dat_file 1980'!D21/'dat_file 1980'!D$73,4)</f>
        <v>0.1474</v>
      </c>
      <c r="E21">
        <f>ROUND('dat_file 1980'!E21/'dat_file 1980'!E$73,4)</f>
        <v>0.129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1980'!H$73,4)</f>
        <v>0.22750000000000001</v>
      </c>
      <c r="I21">
        <f>ROUND('dat_file 1980'!J21/'dat_file 1980'!J$73,4)</f>
        <v>0.20180000000000001</v>
      </c>
      <c r="K21" t="str">
        <f>"ELSE IF ref_year="&amp;'dat_file 1980'!B21&amp;" THEN cpi_u_rs_18="&amp;ROUND('dat_file 1980'!$D$73/'dat_file 1980'!D21,3)&amp;";"</f>
        <v>ELSE IF ref_year=1966 THEN cpi_u_rs_18=6.785;</v>
      </c>
      <c r="O21" t="str">
        <f>"ELSE IF ref_year="&amp;'dat_file 1980'!B21&amp;" THEN cpi_u_rs_adj_18="&amp;ROUND('dat_file 1980'!$H$73/'dat_file 1980'!H21,3)&amp;";"</f>
        <v>ELSE IF ref_year=1966 THEN cpi_u_rs_adj_18=4.395;</v>
      </c>
    </row>
    <row r="22" spans="2:15">
      <c r="B22">
        <f>+Sheet3!A22</f>
        <v>1967</v>
      </c>
      <c r="C22">
        <f>ROUND('dat_file 1980'!C22/'dat_file 1980'!C$73,4)</f>
        <v>0.16980000000000001</v>
      </c>
      <c r="D22">
        <f>ROUND('dat_file 1980'!D22/'dat_file 1980'!D$73,4)</f>
        <v>0.152</v>
      </c>
      <c r="E22">
        <f>ROUND('dat_file 1980'!E22/'dat_file 1980'!E$73,4)</f>
        <v>0.13300000000000001</v>
      </c>
      <c r="F22">
        <f>'dat_file 1980'!F22</f>
        <v>1</v>
      </c>
      <c r="G22">
        <f>'dat_file 1980'!G22</f>
        <v>1</v>
      </c>
      <c r="H22">
        <f>ROUND('dat_file 1980'!H22/'dat_file 1980'!H$73,4)</f>
        <v>0.2321</v>
      </c>
      <c r="I22">
        <f>ROUND('dat_file 1980'!J22/'dat_file 1980'!J$73,4)</f>
        <v>0.20599999999999999</v>
      </c>
      <c r="K22" t="str">
        <f>"ELSE IF ref_year="&amp;'dat_file 1980'!B22&amp;" THEN cpi_u_rs_18="&amp;ROUND('dat_file 1980'!$D$73/'dat_file 1980'!D22,3)&amp;";"</f>
        <v>ELSE IF ref_year=1967 THEN cpi_u_rs_18=6.579;</v>
      </c>
      <c r="O22" t="str">
        <f>"ELSE IF ref_year="&amp;'dat_file 1980'!B22&amp;" THEN cpi_u_rs_adj_18="&amp;ROUND('dat_file 1980'!$H$73/'dat_file 1980'!H22,3)&amp;";"</f>
        <v>ELSE IF ref_year=1967 THEN cpi_u_rs_adj_18=4.308;</v>
      </c>
    </row>
    <row r="23" spans="2:15">
      <c r="B23">
        <f>+Sheet3!A23</f>
        <v>1968</v>
      </c>
      <c r="C23">
        <f>ROUND('dat_file 1980'!C23/'dat_file 1980'!C$73,4)</f>
        <v>0.17649999999999999</v>
      </c>
      <c r="D23">
        <f>ROUND('dat_file 1980'!D23/'dat_file 1980'!D$73,4)</f>
        <v>0.158</v>
      </c>
      <c r="E23">
        <f>ROUND('dat_file 1980'!E23/'dat_file 1980'!E$73,4)</f>
        <v>0.1386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1980'!H$73,4)</f>
        <v>0.2387</v>
      </c>
      <c r="I23">
        <f>ROUND('dat_file 1980'!J23/'dat_file 1980'!J$73,4)</f>
        <v>0.21179999999999999</v>
      </c>
      <c r="K23" t="str">
        <f>"ELSE IF ref_year="&amp;'dat_file 1980'!B23&amp;" THEN cpi_u_rs_18="&amp;ROUND('dat_file 1980'!$D$73/'dat_file 1980'!D23,3)&amp;";"</f>
        <v>ELSE IF ref_year=1968 THEN cpi_u_rs_18=6.331;</v>
      </c>
      <c r="O23" t="str">
        <f>"ELSE IF ref_year="&amp;'dat_file 1980'!B23&amp;" THEN cpi_u_rs_adj_18="&amp;ROUND('dat_file 1980'!$H$73/'dat_file 1980'!H23,3)&amp;";"</f>
        <v>ELSE IF ref_year=1968 THEN cpi_u_rs_adj_18=4.19;</v>
      </c>
    </row>
    <row r="24" spans="2:15">
      <c r="B24">
        <f>+Sheet3!A24</f>
        <v>1969</v>
      </c>
      <c r="C24">
        <f>ROUND('dat_file 1980'!C24/'dat_file 1980'!C$73,4)</f>
        <v>0.18440000000000001</v>
      </c>
      <c r="D24">
        <f>ROUND('dat_file 1980'!D24/'dat_file 1980'!D$73,4)</f>
        <v>0.16500000000000001</v>
      </c>
      <c r="E24">
        <f>ROUND('dat_file 1980'!E24/'dat_file 1980'!E$73,4)</f>
        <v>0.1462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1980'!H$73,4)</f>
        <v>0.2467</v>
      </c>
      <c r="I24">
        <f>ROUND('dat_file 1980'!J24/'dat_file 1980'!J$73,4)</f>
        <v>0.21879999999999999</v>
      </c>
      <c r="K24" t="str">
        <f>"ELSE IF ref_year="&amp;'dat_file 1980'!B24&amp;" THEN cpi_u_rs_18="&amp;ROUND('dat_file 1980'!$D$73/'dat_file 1980'!D24,3)&amp;";"</f>
        <v>ELSE IF ref_year=1969 THEN cpi_u_rs_18=6.06;</v>
      </c>
      <c r="O24" t="str">
        <f>"ELSE IF ref_year="&amp;'dat_file 1980'!B24&amp;" THEN cpi_u_rs_adj_18="&amp;ROUND('dat_file 1980'!$H$73/'dat_file 1980'!H24,3)&amp;";"</f>
        <v>ELSE IF ref_year=1969 THEN cpi_u_rs_adj_18=4.054;</v>
      </c>
    </row>
    <row r="25" spans="2:15">
      <c r="B25">
        <f>+Sheet3!A25</f>
        <v>1970</v>
      </c>
      <c r="C25">
        <f>ROUND('dat_file 1980'!C25/'dat_file 1980'!C$73,4)</f>
        <v>0.19309999999999999</v>
      </c>
      <c r="D25">
        <f>ROUND('dat_file 1980'!D25/'dat_file 1980'!D$73,4)</f>
        <v>0.1731</v>
      </c>
      <c r="E25">
        <f>ROUND('dat_file 1980'!E25/'dat_file 1980'!E$73,4)</f>
        <v>0.1545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1980'!H$73,4)</f>
        <v>0.25609999999999999</v>
      </c>
      <c r="I25">
        <f>ROUND('dat_file 1980'!J25/'dat_file 1980'!J$73,4)</f>
        <v>0.2271</v>
      </c>
      <c r="K25" t="str">
        <f>"ELSE IF ref_year="&amp;'dat_file 1980'!B25&amp;" THEN cpi_u_rs_18="&amp;ROUND('dat_file 1980'!$D$73/'dat_file 1980'!D25,3)&amp;";"</f>
        <v>ELSE IF ref_year=1970 THEN cpi_u_rs_18=5.776;</v>
      </c>
      <c r="O25" t="str">
        <f>"ELSE IF ref_year="&amp;'dat_file 1980'!B25&amp;" THEN cpi_u_rs_adj_18="&amp;ROUND('dat_file 1980'!$H$73/'dat_file 1980'!H25,3)&amp;";"</f>
        <v>ELSE IF ref_year=1970 THEN cpi_u_rs_adj_18=3.904;</v>
      </c>
    </row>
    <row r="26" spans="2:15">
      <c r="B26">
        <f>+Sheet3!A26</f>
        <v>1971</v>
      </c>
      <c r="C26">
        <f>ROUND('dat_file 1980'!C26/'dat_file 1980'!C$73,4)</f>
        <v>0.20119999999999999</v>
      </c>
      <c r="D26">
        <f>ROUND('dat_file 1980'!D26/'dat_file 1980'!D$73,4)</f>
        <v>0.1807</v>
      </c>
      <c r="E26">
        <f>ROUND('dat_file 1980'!E26/'dat_file 1980'!E$73,4)</f>
        <v>0.1613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1980'!H$73,4)</f>
        <v>0.2646</v>
      </c>
      <c r="I26">
        <f>ROUND('dat_file 1980'!J26/'dat_file 1980'!J$73,4)</f>
        <v>0.2346</v>
      </c>
      <c r="K26" t="str">
        <f>"ELSE IF ref_year="&amp;'dat_file 1980'!B26&amp;" THEN cpi_u_rs_18="&amp;ROUND('dat_file 1980'!$D$73/'dat_file 1980'!D26,3)&amp;";"</f>
        <v>ELSE IF ref_year=1971 THEN cpi_u_rs_18=5.534;</v>
      </c>
      <c r="O26" t="str">
        <f>"ELSE IF ref_year="&amp;'dat_file 1980'!B26&amp;" THEN cpi_u_rs_adj_18="&amp;ROUND('dat_file 1980'!$H$73/'dat_file 1980'!H26,3)&amp;";"</f>
        <v>ELSE IF ref_year=1971 THEN cpi_u_rs_adj_18=3.78;</v>
      </c>
    </row>
    <row r="27" spans="2:15">
      <c r="B27">
        <f>+Sheet3!A27</f>
        <v>1972</v>
      </c>
      <c r="C27">
        <f>ROUND('dat_file 1980'!C27/'dat_file 1980'!C$73,4)</f>
        <v>0.20810000000000001</v>
      </c>
      <c r="D27">
        <f>ROUND('dat_file 1980'!D27/'dat_file 1980'!D$73,4)</f>
        <v>0.18609999999999999</v>
      </c>
      <c r="E27">
        <f>ROUND('dat_file 1980'!E27/'dat_file 1980'!E$73,4)</f>
        <v>0.16650000000000001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1980'!H$73,4)</f>
        <v>0.26960000000000001</v>
      </c>
      <c r="I27">
        <f>ROUND('dat_file 1980'!J27/'dat_file 1980'!J$73,4)</f>
        <v>0.23910000000000001</v>
      </c>
      <c r="K27" t="str">
        <f>"ELSE IF ref_year="&amp;'dat_file 1980'!B27&amp;" THEN cpi_u_rs_18="&amp;ROUND('dat_file 1980'!$D$73/'dat_file 1980'!D27,3)&amp;";"</f>
        <v>ELSE IF ref_year=1972 THEN cpi_u_rs_18=5.373;</v>
      </c>
      <c r="O27" t="str">
        <f>"ELSE IF ref_year="&amp;'dat_file 1980'!B27&amp;" THEN cpi_u_rs_adj_18="&amp;ROUND('dat_file 1980'!$H$73/'dat_file 1980'!H27,3)&amp;";"</f>
        <v>ELSE IF ref_year=1972 THEN cpi_u_rs_adj_18=3.71;</v>
      </c>
    </row>
    <row r="28" spans="2:15">
      <c r="B28">
        <f>+Sheet3!A28</f>
        <v>1973</v>
      </c>
      <c r="C28">
        <f>ROUND('dat_file 1980'!C28/'dat_file 1980'!C$73,4)</f>
        <v>0.21929999999999999</v>
      </c>
      <c r="D28">
        <f>ROUND('dat_file 1980'!D28/'dat_file 1980'!D$73,4)</f>
        <v>0.1978</v>
      </c>
      <c r="E28">
        <f>ROUND('dat_file 1980'!E28/'dat_file 1980'!E$73,4)</f>
        <v>0.17680000000000001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1980'!H$73,4)</f>
        <v>0.28349999999999997</v>
      </c>
      <c r="I28">
        <f>ROUND('dat_file 1980'!J28/'dat_file 1980'!J$73,4)</f>
        <v>0.25159999999999999</v>
      </c>
      <c r="K28" t="str">
        <f>"ELSE IF ref_year="&amp;'dat_file 1980'!B28&amp;" THEN cpi_u_rs_18="&amp;ROUND('dat_file 1980'!$D$73/'dat_file 1980'!D28,3)&amp;";"</f>
        <v>ELSE IF ref_year=1973 THEN cpi_u_rs_18=5.056;</v>
      </c>
      <c r="O28" t="str">
        <f>"ELSE IF ref_year="&amp;'dat_file 1980'!B28&amp;" THEN cpi_u_rs_adj_18="&amp;ROUND('dat_file 1980'!$H$73/'dat_file 1980'!H28,3)&amp;";"</f>
        <v>ELSE IF ref_year=1973 THEN cpi_u_rs_adj_18=3.528;</v>
      </c>
    </row>
    <row r="29" spans="2:15">
      <c r="B29">
        <f>+Sheet3!A29</f>
        <v>1974</v>
      </c>
      <c r="C29">
        <f>ROUND('dat_file 1980'!C29/'dat_file 1980'!C$73,4)</f>
        <v>0.24210000000000001</v>
      </c>
      <c r="D29">
        <f>ROUND('dat_file 1980'!D29/'dat_file 1980'!D$73,4)</f>
        <v>0.21759999999999999</v>
      </c>
      <c r="E29">
        <f>ROUND('dat_file 1980'!E29/'dat_file 1980'!E$73,4)</f>
        <v>0.1963</v>
      </c>
      <c r="F29">
        <f>'dat_file 1980'!F29</f>
        <v>0.6986</v>
      </c>
      <c r="G29">
        <f>'dat_file 1980'!G29</f>
        <v>0.67749999999999999</v>
      </c>
      <c r="H29">
        <f>ROUND('dat_file 1980'!H29/'dat_file 1980'!H$73,4)</f>
        <v>0.30869999999999997</v>
      </c>
      <c r="I29">
        <f>ROUND('dat_file 1980'!J29/'dat_file 1980'!J$73,4)</f>
        <v>0.27389999999999998</v>
      </c>
      <c r="K29" t="str">
        <f>"ELSE IF ref_year="&amp;'dat_file 1980'!B29&amp;" THEN cpi_u_rs_18="&amp;ROUND('dat_file 1980'!$D$73/'dat_file 1980'!D29,3)&amp;";"</f>
        <v>ELSE IF ref_year=1974 THEN cpi_u_rs_18=4.596;</v>
      </c>
      <c r="O29" t="str">
        <f>"ELSE IF ref_year="&amp;'dat_file 1980'!B29&amp;" THEN cpi_u_rs_adj_18="&amp;ROUND('dat_file 1980'!$H$73/'dat_file 1980'!H29,3)&amp;";"</f>
        <v>ELSE IF ref_year=1974 THEN cpi_u_rs_adj_18=3.239;</v>
      </c>
    </row>
    <row r="30" spans="2:15">
      <c r="B30">
        <f>+Sheet3!A30</f>
        <v>1975</v>
      </c>
      <c r="C30">
        <f>ROUND('dat_file 1980'!C30/'dat_file 1980'!C$73,4)</f>
        <v>0.26229999999999998</v>
      </c>
      <c r="D30">
        <f>ROUND('dat_file 1980'!D30/'dat_file 1980'!D$73,4)</f>
        <v>0.2354</v>
      </c>
      <c r="E30">
        <f>ROUND('dat_file 1980'!E30/'dat_file 1980'!E$73,4)</f>
        <v>0.2142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1980'!H$73,4)</f>
        <v>0.33069999999999999</v>
      </c>
      <c r="I30">
        <f>ROUND('dat_file 1980'!J30/'dat_file 1980'!J$73,4)</f>
        <v>0.29339999999999999</v>
      </c>
      <c r="K30" t="str">
        <f>"ELSE IF ref_year="&amp;'dat_file 1980'!B30&amp;" THEN cpi_u_rs_18="&amp;ROUND('dat_file 1980'!$D$73/'dat_file 1980'!D30,3)&amp;";"</f>
        <v>ELSE IF ref_year=1975 THEN cpi_u_rs_18=4.247;</v>
      </c>
      <c r="O30" t="str">
        <f>"ELSE IF ref_year="&amp;'dat_file 1980'!B30&amp;" THEN cpi_u_rs_adj_18="&amp;ROUND('dat_file 1980'!$H$73/'dat_file 1980'!H30,3)&amp;";"</f>
        <v>ELSE IF ref_year=1975 THEN cpi_u_rs_adj_18=3.024;</v>
      </c>
    </row>
    <row r="31" spans="2:15">
      <c r="B31">
        <f>+Sheet3!A31</f>
        <v>1976</v>
      </c>
      <c r="C31">
        <f>ROUND('dat_file 1980'!C31/'dat_file 1980'!C$73,4)</f>
        <v>0.2767</v>
      </c>
      <c r="D31">
        <f>ROUND('dat_file 1980'!D31/'dat_file 1980'!D$73,4)</f>
        <v>0.249</v>
      </c>
      <c r="E31">
        <f>ROUND('dat_file 1980'!E31/'dat_file 1980'!E$73,4)</f>
        <v>0.2266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1980'!H$73,4)</f>
        <v>0.34610000000000002</v>
      </c>
      <c r="I31">
        <f>ROUND('dat_file 1980'!J31/'dat_file 1980'!J$73,4)</f>
        <v>0.30709999999999998</v>
      </c>
      <c r="K31" t="str">
        <f>"ELSE IF ref_year="&amp;'dat_file 1980'!B31&amp;" THEN cpi_u_rs_18="&amp;ROUND('dat_file 1980'!$D$73/'dat_file 1980'!D31,3)&amp;";"</f>
        <v>ELSE IF ref_year=1976 THEN cpi_u_rs_18=4.016;</v>
      </c>
      <c r="O31" t="str">
        <f>"ELSE IF ref_year="&amp;'dat_file 1980'!B31&amp;" THEN cpi_u_rs_adj_18="&amp;ROUND('dat_file 1980'!$H$73/'dat_file 1980'!H31,3)&amp;";"</f>
        <v>ELSE IF ref_year=1976 THEN cpi_u_rs_adj_18=2.89;</v>
      </c>
    </row>
    <row r="32" spans="2:15">
      <c r="B32">
        <f>+Sheet3!A32</f>
        <v>1977</v>
      </c>
      <c r="C32">
        <f>ROUND('dat_file 1980'!C32/'dat_file 1980'!C$73,4)</f>
        <v>0.29470000000000002</v>
      </c>
      <c r="D32">
        <f>ROUND('dat_file 1980'!D32/'dat_file 1980'!D$73,4)</f>
        <v>0.26469999999999999</v>
      </c>
      <c r="E32">
        <f>ROUND('dat_file 1980'!E32/'dat_file 1980'!E$73,4)</f>
        <v>0.24129999999999999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1980'!H$73,4)</f>
        <v>0.36409999999999998</v>
      </c>
      <c r="I32">
        <f>ROUND('dat_file 1980'!J32/'dat_file 1980'!J$73,4)</f>
        <v>0.32279999999999998</v>
      </c>
      <c r="K32" t="str">
        <f>"ELSE IF ref_year="&amp;'dat_file 1980'!B32&amp;" THEN cpi_u_rs_18="&amp;ROUND('dat_file 1980'!$D$73/'dat_file 1980'!D32,3)&amp;";"</f>
        <v>ELSE IF ref_year=1977 THEN cpi_u_rs_18=3.778;</v>
      </c>
      <c r="O32" t="str">
        <f>"ELSE IF ref_year="&amp;'dat_file 1980'!B32&amp;" THEN cpi_u_rs_adj_18="&amp;ROUND('dat_file 1980'!$H$73/'dat_file 1980'!H32,3)&amp;";"</f>
        <v>ELSE IF ref_year=1977 THEN cpi_u_rs_adj_18=2.747;</v>
      </c>
    </row>
    <row r="33" spans="2:15">
      <c r="B33">
        <f>+Sheet3!A33</f>
        <v>1978</v>
      </c>
      <c r="C33">
        <f>ROUND('dat_file 1980'!C33/'dat_file 1980'!C$73,4)</f>
        <v>0.31519999999999998</v>
      </c>
      <c r="D33">
        <f>ROUND('dat_file 1980'!D33/'dat_file 1980'!D$73,4)</f>
        <v>0.28289999999999998</v>
      </c>
      <c r="E33">
        <f>ROUND('dat_file 1980'!E33/'dat_file 1980'!E$73,4)</f>
        <v>0.25969999999999999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1980'!H$73,4)</f>
        <v>0.3861</v>
      </c>
      <c r="I33">
        <f>ROUND('dat_file 1980'!J33/'dat_file 1980'!J$73,4)</f>
        <v>0.34360000000000002</v>
      </c>
      <c r="K33" t="str">
        <f>"ELSE IF ref_year="&amp;'dat_file 1980'!B33&amp;" THEN cpi_u_rs_18="&amp;ROUND('dat_file 1980'!$D$73/'dat_file 1980'!D33,3)&amp;";"</f>
        <v>ELSE IF ref_year=1978 THEN cpi_u_rs_18=3.535;</v>
      </c>
      <c r="O33" t="str">
        <f>"ELSE IF ref_year="&amp;'dat_file 1980'!B33&amp;" THEN cpi_u_rs_adj_18="&amp;ROUND('dat_file 1980'!$H$73/'dat_file 1980'!H33,3)&amp;";"</f>
        <v>ELSE IF ref_year=1978 THEN cpi_u_rs_adj_18=2.59;</v>
      </c>
    </row>
    <row r="34" spans="2:15">
      <c r="B34">
        <f>+Sheet3!A34</f>
        <v>1979</v>
      </c>
      <c r="C34">
        <f>ROUND('dat_file 1980'!C34/'dat_file 1980'!C$73,4)</f>
        <v>0.34320000000000001</v>
      </c>
      <c r="D34">
        <f>ROUND('dat_file 1980'!D34/'dat_file 1980'!D$73,4)</f>
        <v>0.30969999999999998</v>
      </c>
      <c r="E34">
        <f>ROUND('dat_file 1980'!E34/'dat_file 1980'!E$73,4)</f>
        <v>0.28910000000000002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1980'!H$73,4)</f>
        <v>0.41970000000000002</v>
      </c>
      <c r="I34">
        <f>ROUND('dat_file 1980'!J34/'dat_file 1980'!J$73,4)</f>
        <v>0.37419999999999998</v>
      </c>
      <c r="K34" t="str">
        <f>"ELSE IF ref_year="&amp;'dat_file 1980'!B34&amp;" THEN cpi_u_rs_18="&amp;ROUND('dat_file 1980'!$D$73/'dat_file 1980'!D34,3)&amp;";"</f>
        <v>ELSE IF ref_year=1979 THEN cpi_u_rs_18=3.229;</v>
      </c>
      <c r="O34" t="str">
        <f>"ELSE IF ref_year="&amp;'dat_file 1980'!B34&amp;" THEN cpi_u_rs_adj_18="&amp;ROUND('dat_file 1980'!$H$73/'dat_file 1980'!H34,3)&amp;";"</f>
        <v>ELSE IF ref_year=1979 THEN cpi_u_rs_adj_18=2.383;</v>
      </c>
    </row>
    <row r="35" spans="2:15">
      <c r="B35">
        <f>+Sheet3!A35</f>
        <v>1980</v>
      </c>
      <c r="C35">
        <f>ROUND('dat_file 1980'!C35/'dat_file 1980'!C$73,4)</f>
        <v>0.38019999999999998</v>
      </c>
      <c r="D35">
        <f>ROUND('dat_file 1980'!D35/'dat_file 1980'!D$73,4)</f>
        <v>0.34439999999999998</v>
      </c>
      <c r="E35">
        <f>ROUND('dat_file 1980'!E35/'dat_file 1980'!E$73,4)</f>
        <v>0.3281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1980'!H$73,4)</f>
        <v>0.46329999999999999</v>
      </c>
      <c r="I35">
        <f>ROUND('dat_file 1980'!J35/'dat_file 1980'!J$73,4)</f>
        <v>0.41439999999999999</v>
      </c>
      <c r="K35" t="str">
        <f>"ELSE IF ref_year="&amp;'dat_file 1980'!B35&amp;" THEN cpi_u_rs_18="&amp;ROUND('dat_file 1980'!$D$73/'dat_file 1980'!D35,3)&amp;";"</f>
        <v>ELSE IF ref_year=1980 THEN cpi_u_rs_18=2.904;</v>
      </c>
      <c r="O35" t="str">
        <f>"ELSE IF ref_year="&amp;'dat_file 1980'!B35&amp;" THEN cpi_u_rs_adj_18="&amp;ROUND('dat_file 1980'!$H$73/'dat_file 1980'!H35,3)&amp;";"</f>
        <v>ELSE IF ref_year=1980 THEN cpi_u_rs_adj_18=2.158;</v>
      </c>
    </row>
    <row r="36" spans="2:15">
      <c r="B36">
        <f>+Sheet3!A36</f>
        <v>1981</v>
      </c>
      <c r="C36">
        <f>ROUND('dat_file 1980'!C36/'dat_file 1980'!C$73,4)</f>
        <v>0.4143</v>
      </c>
      <c r="D36">
        <f>ROUND('dat_file 1980'!D36/'dat_file 1980'!D$73,4)</f>
        <v>0.37690000000000001</v>
      </c>
      <c r="E36">
        <f>ROUND('dat_file 1980'!E36/'dat_file 1980'!E$73,4)</f>
        <v>0.36199999999999999</v>
      </c>
      <c r="F36">
        <f>'dat_file 1980'!F36</f>
        <v>0.40329999999999999</v>
      </c>
      <c r="G36">
        <f>'dat_file 1980'!G36</f>
        <v>0.3674</v>
      </c>
      <c r="H36">
        <f>ROUND('dat_file 1980'!H36/'dat_file 1980'!H$73,4)</f>
        <v>0.50339999999999996</v>
      </c>
      <c r="I36">
        <f>ROUND('dat_file 1980'!J36/'dat_file 1980'!J$73,4)</f>
        <v>0.45129999999999998</v>
      </c>
      <c r="K36" t="str">
        <f>"ELSE IF ref_year="&amp;'dat_file 1980'!B36&amp;" THEN cpi_u_rs_18="&amp;ROUND('dat_file 1980'!$D$73/'dat_file 1980'!D36,3)&amp;";"</f>
        <v>ELSE IF ref_year=1981 THEN cpi_u_rs_18=2.654;</v>
      </c>
      <c r="O36" t="str">
        <f>"ELSE IF ref_year="&amp;'dat_file 1980'!B36&amp;" THEN cpi_u_rs_adj_18="&amp;ROUND('dat_file 1980'!$H$73/'dat_file 1980'!H36,3)&amp;";"</f>
        <v>ELSE IF ref_year=1981 THEN cpi_u_rs_adj_18=1.987;</v>
      </c>
    </row>
    <row r="37" spans="2:15">
      <c r="B37">
        <f>+Sheet3!A37</f>
        <v>1982</v>
      </c>
      <c r="C37">
        <f>ROUND('dat_file 1980'!C37/'dat_file 1980'!C$73,4)</f>
        <v>0.43730000000000002</v>
      </c>
      <c r="D37">
        <f>ROUND('dat_file 1980'!D37/'dat_file 1980'!D$73,4)</f>
        <v>0.39960000000000001</v>
      </c>
      <c r="E37">
        <f>ROUND('dat_file 1980'!E37/'dat_file 1980'!E$73,4)</f>
        <v>0.38429999999999997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1980'!H$73,4)</f>
        <v>0.52969999999999995</v>
      </c>
      <c r="I37">
        <f>ROUND('dat_file 1980'!J37/'dat_file 1980'!J$73,4)</f>
        <v>0.47660000000000002</v>
      </c>
      <c r="K37" t="str">
        <f>"ELSE IF ref_year="&amp;'dat_file 1980'!B37&amp;" THEN cpi_u_rs_18="&amp;ROUND('dat_file 1980'!$D$73/'dat_file 1980'!D37,3)&amp;";"</f>
        <v>ELSE IF ref_year=1982 THEN cpi_u_rs_18=2.502;</v>
      </c>
      <c r="O37" t="str">
        <f>"ELSE IF ref_year="&amp;'dat_file 1980'!B37&amp;" THEN cpi_u_rs_adj_18="&amp;ROUND('dat_file 1980'!$H$73/'dat_file 1980'!H37,3)&amp;";"</f>
        <v>ELSE IF ref_year=1982 THEN cpi_u_rs_adj_18=1.888;</v>
      </c>
    </row>
    <row r="38" spans="2:15">
      <c r="B38">
        <f>+Sheet3!A38</f>
        <v>1983</v>
      </c>
      <c r="C38">
        <f>ROUND('dat_file 1980'!C38/'dat_file 1980'!C$73,4)</f>
        <v>0.45590000000000003</v>
      </c>
      <c r="D38">
        <f>ROUND('dat_file 1980'!D38/'dat_file 1980'!D$73,4)</f>
        <v>0.41670000000000001</v>
      </c>
      <c r="E38">
        <f>ROUND('dat_file 1980'!E38/'dat_file 1980'!E$73,4)</f>
        <v>0.39660000000000001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1980'!H$73,4)</f>
        <v>0.54810000000000003</v>
      </c>
      <c r="I38">
        <f>ROUND('dat_file 1980'!J38/'dat_file 1980'!J$73,4)</f>
        <v>0.49440000000000001</v>
      </c>
      <c r="K38" t="str">
        <f>"ELSE IF ref_year="&amp;'dat_file 1980'!B38&amp;" THEN cpi_u_rs_18="&amp;ROUND('dat_file 1980'!$D$73/'dat_file 1980'!D38,3)&amp;";"</f>
        <v>ELSE IF ref_year=1983 THEN cpi_u_rs_18=2.4;</v>
      </c>
      <c r="O38" t="str">
        <f>"ELSE IF ref_year="&amp;'dat_file 1980'!B38&amp;" THEN cpi_u_rs_adj_18="&amp;ROUND('dat_file 1980'!$H$73/'dat_file 1980'!H38,3)&amp;";"</f>
        <v>ELSE IF ref_year=1983 THEN cpi_u_rs_adj_18=1.824;</v>
      </c>
    </row>
    <row r="39" spans="2:15">
      <c r="B39">
        <f>+Sheet3!A39</f>
        <v>1984</v>
      </c>
      <c r="C39">
        <f>ROUND('dat_file 1980'!C39/'dat_file 1980'!C$73,4)</f>
        <v>0.47310000000000002</v>
      </c>
      <c r="D39">
        <f>ROUND('dat_file 1980'!D39/'dat_file 1980'!D$73,4)</f>
        <v>0.434</v>
      </c>
      <c r="E39">
        <f>ROUND('dat_file 1980'!E39/'dat_file 1980'!E$73,4)</f>
        <v>0.4138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1980'!H$73,4)</f>
        <v>0.56659999999999999</v>
      </c>
      <c r="I39">
        <f>ROUND('dat_file 1980'!J39/'dat_file 1980'!J$73,4)</f>
        <v>0.51259999999999994</v>
      </c>
      <c r="K39" t="str">
        <f>"ELSE IF ref_year="&amp;'dat_file 1980'!B39&amp;" THEN cpi_u_rs_18="&amp;ROUND('dat_file 1980'!$D$73/'dat_file 1980'!D39,3)&amp;";"</f>
        <v>ELSE IF ref_year=1984 THEN cpi_u_rs_18=2.304;</v>
      </c>
      <c r="O39" t="str">
        <f>"ELSE IF ref_year="&amp;'dat_file 1980'!B39&amp;" THEN cpi_u_rs_adj_18="&amp;ROUND('dat_file 1980'!$H$73/'dat_file 1980'!H39,3)&amp;";"</f>
        <v>ELSE IF ref_year=1984 THEN cpi_u_rs_adj_18=1.765;</v>
      </c>
    </row>
    <row r="40" spans="2:15">
      <c r="B40">
        <f>+Sheet3!A40</f>
        <v>1985</v>
      </c>
      <c r="C40">
        <f>ROUND('dat_file 1980'!C40/'dat_file 1980'!C$73,4)</f>
        <v>0.48959999999999998</v>
      </c>
      <c r="D40">
        <f>ROUND('dat_file 1980'!D40/'dat_file 1980'!D$73,4)</f>
        <v>0.44869999999999999</v>
      </c>
      <c r="E40">
        <f>ROUND('dat_file 1980'!E40/'dat_file 1980'!E$73,4)</f>
        <v>0.42849999999999999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1980'!H$73,4)</f>
        <v>0.58109999999999995</v>
      </c>
      <c r="I40">
        <f>ROUND('dat_file 1980'!J40/'dat_file 1980'!J$73,4)</f>
        <v>0.52710000000000001</v>
      </c>
      <c r="K40" t="str">
        <f>"ELSE IF ref_year="&amp;'dat_file 1980'!B40&amp;" THEN cpi_u_rs_18="&amp;ROUND('dat_file 1980'!$D$73/'dat_file 1980'!D40,3)&amp;";"</f>
        <v>ELSE IF ref_year=1985 THEN cpi_u_rs_18=2.229;</v>
      </c>
      <c r="O40" t="str">
        <f>"ELSE IF ref_year="&amp;'dat_file 1980'!B40&amp;" THEN cpi_u_rs_adj_18="&amp;ROUND('dat_file 1980'!$H$73/'dat_file 1980'!H40,3)&amp;";"</f>
        <v>ELSE IF ref_year=1985 THEN cpi_u_rs_adj_18=1.721;</v>
      </c>
    </row>
    <row r="41" spans="2:15">
      <c r="B41">
        <f>+Sheet3!A41</f>
        <v>1986</v>
      </c>
      <c r="C41">
        <f>ROUND('dat_file 1980'!C41/'dat_file 1980'!C$73,4)</f>
        <v>0.50019999999999998</v>
      </c>
      <c r="D41">
        <f>ROUND('dat_file 1980'!D41/'dat_file 1980'!D$73,4)</f>
        <v>0.45619999999999999</v>
      </c>
      <c r="E41">
        <f>ROUND('dat_file 1980'!E41/'dat_file 1980'!E$73,4)</f>
        <v>0.4365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1980'!H$73,4)</f>
        <v>0.58630000000000004</v>
      </c>
      <c r="I41">
        <f>ROUND('dat_file 1980'!J41/'dat_file 1980'!J$73,4)</f>
        <v>0.53339999999999999</v>
      </c>
      <c r="K41" t="str">
        <f>"ELSE IF ref_year="&amp;'dat_file 1980'!B41&amp;" THEN cpi_u_rs_18="&amp;ROUND('dat_file 1980'!$D$73/'dat_file 1980'!D41,3)&amp;";"</f>
        <v>ELSE IF ref_year=1986 THEN cpi_u_rs_18=2.192;</v>
      </c>
      <c r="O41" t="str">
        <f>"ELSE IF ref_year="&amp;'dat_file 1980'!B41&amp;" THEN cpi_u_rs_adj_18="&amp;ROUND('dat_file 1980'!$H$73/'dat_file 1980'!H41,3)&amp;";"</f>
        <v>ELSE IF ref_year=1986 THEN cpi_u_rs_adj_18=1.706;</v>
      </c>
    </row>
    <row r="42" spans="2:15">
      <c r="B42">
        <f>+Sheet3!A42</f>
        <v>1987</v>
      </c>
      <c r="C42">
        <f>ROUND('dat_file 1980'!C42/'dat_file 1980'!C$73,4)</f>
        <v>0.51570000000000005</v>
      </c>
      <c r="D42">
        <f>ROUND('dat_file 1980'!D42/'dat_file 1980'!D$73,4)</f>
        <v>0.47170000000000001</v>
      </c>
      <c r="E42">
        <f>ROUND('dat_file 1980'!E42/'dat_file 1980'!E$73,4)</f>
        <v>0.45240000000000002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1980'!H$73,4)</f>
        <v>0.60140000000000005</v>
      </c>
      <c r="I42">
        <f>ROUND('dat_file 1980'!J42/'dat_file 1980'!J$73,4)</f>
        <v>0.54910000000000003</v>
      </c>
      <c r="K42" t="str">
        <f>"ELSE IF ref_year="&amp;'dat_file 1980'!B42&amp;" THEN cpi_u_rs_18="&amp;ROUND('dat_file 1980'!$D$73/'dat_file 1980'!D42,3)&amp;";"</f>
        <v>ELSE IF ref_year=1987 THEN cpi_u_rs_18=2.12;</v>
      </c>
      <c r="O42" t="str">
        <f>"ELSE IF ref_year="&amp;'dat_file 1980'!B42&amp;" THEN cpi_u_rs_adj_18="&amp;ROUND('dat_file 1980'!$H$73/'dat_file 1980'!H42,3)&amp;";"</f>
        <v>ELSE IF ref_year=1987 THEN cpi_u_rs_adj_18=1.663;</v>
      </c>
    </row>
    <row r="43" spans="2:15">
      <c r="B43">
        <f>+Sheet3!A43</f>
        <v>1988</v>
      </c>
      <c r="C43">
        <f>ROUND('dat_file 1980'!C43/'dat_file 1980'!C$73,4)</f>
        <v>0.53580000000000005</v>
      </c>
      <c r="D43">
        <f>ROUND('dat_file 1980'!D43/'dat_file 1980'!D$73,4)</f>
        <v>0.48899999999999999</v>
      </c>
      <c r="E43">
        <f>ROUND('dat_file 1980'!E43/'dat_file 1980'!E$73,4)</f>
        <v>0.47110000000000002</v>
      </c>
      <c r="F43">
        <f>'dat_file 1980'!F43</f>
        <v>0.31080000000000002</v>
      </c>
      <c r="G43">
        <f>'dat_file 1980'!G43</f>
        <v>0.2823</v>
      </c>
      <c r="H43">
        <f>ROUND('dat_file 1980'!H43/'dat_file 1980'!H$73,4)</f>
        <v>0.61870000000000003</v>
      </c>
      <c r="I43">
        <f>ROUND('dat_file 1980'!J43/'dat_file 1980'!J$73,4)</f>
        <v>0.5665</v>
      </c>
      <c r="K43" t="str">
        <f>"ELSE IF ref_year="&amp;'dat_file 1980'!B43&amp;" THEN cpi_u_rs_18="&amp;ROUND('dat_file 1980'!$D$73/'dat_file 1980'!D43,3)&amp;";"</f>
        <v>ELSE IF ref_year=1988 THEN cpi_u_rs_18=2.045;</v>
      </c>
      <c r="O43" t="str">
        <f>"ELSE IF ref_year="&amp;'dat_file 1980'!B43&amp;" THEN cpi_u_rs_adj_18="&amp;ROUND('dat_file 1980'!$H$73/'dat_file 1980'!H43,3)&amp;";"</f>
        <v>ELSE IF ref_year=1988 THEN cpi_u_rs_adj_18=1.616;</v>
      </c>
    </row>
    <row r="44" spans="2:15">
      <c r="B44">
        <f>+Sheet3!A44</f>
        <v>1989</v>
      </c>
      <c r="C44">
        <f>ROUND('dat_file 1980'!C44/'dat_file 1980'!C$73,4)</f>
        <v>0.55920000000000003</v>
      </c>
      <c r="D44">
        <f>ROUND('dat_file 1980'!D44/'dat_file 1980'!D$73,4)</f>
        <v>0.51019999999999999</v>
      </c>
      <c r="E44">
        <f>ROUND('dat_file 1980'!E44/'dat_file 1980'!E$73,4)</f>
        <v>0.49380000000000002</v>
      </c>
      <c r="F44">
        <f>'dat_file 1980'!F44</f>
        <v>0.2979</v>
      </c>
      <c r="G44">
        <f>'dat_file 1980'!G44</f>
        <v>0.26939999999999997</v>
      </c>
      <c r="H44">
        <f>ROUND('dat_file 1980'!H44/'dat_file 1980'!H$73,4)</f>
        <v>0.64059999999999995</v>
      </c>
      <c r="I44">
        <f>ROUND('dat_file 1980'!J44/'dat_file 1980'!J$73,4)</f>
        <v>0.58809999999999996</v>
      </c>
      <c r="K44" t="str">
        <f>"ELSE IF ref_year="&amp;'dat_file 1980'!B44&amp;" THEN cpi_u_rs_18="&amp;ROUND('dat_file 1980'!$D$73/'dat_file 1980'!D44,3)&amp;";"</f>
        <v>ELSE IF ref_year=1989 THEN cpi_u_rs_18=1.96;</v>
      </c>
      <c r="O44" t="str">
        <f>"ELSE IF ref_year="&amp;'dat_file 1980'!B44&amp;" THEN cpi_u_rs_adj_18="&amp;ROUND('dat_file 1980'!$H$73/'dat_file 1980'!H44,3)&amp;";"</f>
        <v>ELSE IF ref_year=1989 THEN cpi_u_rs_adj_18=1.561;</v>
      </c>
    </row>
    <row r="45" spans="2:15">
      <c r="B45">
        <f>+Sheet3!A45</f>
        <v>1990</v>
      </c>
      <c r="C45">
        <f>ROUND('dat_file 1980'!C45/'dat_file 1980'!C$73,4)</f>
        <v>0.58379999999999999</v>
      </c>
      <c r="D45">
        <f>ROUND('dat_file 1980'!D45/'dat_file 1980'!D$73,4)</f>
        <v>0.53539999999999999</v>
      </c>
      <c r="E45">
        <f>ROUND('dat_file 1980'!E45/'dat_file 1980'!E$73,4)</f>
        <v>0.52049999999999996</v>
      </c>
      <c r="F45">
        <f>'dat_file 1980'!F45</f>
        <v>0.28389999999999999</v>
      </c>
      <c r="G45">
        <f>'dat_file 1980'!G45</f>
        <v>0.2555</v>
      </c>
      <c r="H45">
        <f>ROUND('dat_file 1980'!H45/'dat_file 1980'!H$73,4)</f>
        <v>0.66710000000000003</v>
      </c>
      <c r="I45">
        <f>ROUND('dat_file 1980'!J45/'dat_file 1980'!J$73,4)</f>
        <v>0.61419999999999997</v>
      </c>
      <c r="K45" t="str">
        <f>"ELSE IF ref_year="&amp;'dat_file 1980'!B45&amp;" THEN cpi_u_rs_18="&amp;ROUND('dat_file 1980'!$D$73/'dat_file 1980'!D45,3)&amp;";"</f>
        <v>ELSE IF ref_year=1990 THEN cpi_u_rs_18=1.868;</v>
      </c>
      <c r="O45" t="str">
        <f>"ELSE IF ref_year="&amp;'dat_file 1980'!B45&amp;" THEN cpi_u_rs_adj_18="&amp;ROUND('dat_file 1980'!$H$73/'dat_file 1980'!H45,3)&amp;";"</f>
        <v>ELSE IF ref_year=1990 THEN cpi_u_rs_adj_18=1.499;</v>
      </c>
    </row>
    <row r="46" spans="2:15">
      <c r="B46">
        <f>+Sheet3!A46</f>
        <v>1991</v>
      </c>
      <c r="C46">
        <f>ROUND('dat_file 1980'!C46/'dat_file 1980'!C$73,4)</f>
        <v>0.60329999999999995</v>
      </c>
      <c r="D46">
        <f>ROUND('dat_file 1980'!D46/'dat_file 1980'!D$73,4)</f>
        <v>0.55489999999999995</v>
      </c>
      <c r="E46">
        <f>ROUND('dat_file 1980'!E46/'dat_file 1980'!E$73,4)</f>
        <v>0.54239999999999999</v>
      </c>
      <c r="F46">
        <f>'dat_file 1980'!F46</f>
        <v>0.27389999999999998</v>
      </c>
      <c r="G46">
        <f>'dat_file 1980'!G46</f>
        <v>0.2452</v>
      </c>
      <c r="H46">
        <f>ROUND('dat_file 1980'!H46/'dat_file 1980'!H$73,4)</f>
        <v>0.68600000000000005</v>
      </c>
      <c r="I46">
        <f>ROUND('dat_file 1980'!J46/'dat_file 1980'!J$73,4)</f>
        <v>0.63319999999999999</v>
      </c>
      <c r="K46" t="str">
        <f>"ELSE IF ref_year="&amp;'dat_file 1980'!B46&amp;" THEN cpi_u_rs_18="&amp;ROUND('dat_file 1980'!$D$73/'dat_file 1980'!D46,3)&amp;";"</f>
        <v>ELSE IF ref_year=1991 THEN cpi_u_rs_18=1.802;</v>
      </c>
      <c r="O46" t="str">
        <f>"ELSE IF ref_year="&amp;'dat_file 1980'!B46&amp;" THEN cpi_u_rs_adj_18="&amp;ROUND('dat_file 1980'!$H$73/'dat_file 1980'!H46,3)&amp;";"</f>
        <v>ELSE IF ref_year=1991 THEN cpi_u_rs_adj_18=1.458;</v>
      </c>
    </row>
    <row r="47" spans="2:15">
      <c r="B47">
        <f>+Sheet3!A47</f>
        <v>1992</v>
      </c>
      <c r="C47">
        <f>ROUND('dat_file 1980'!C47/'dat_file 1980'!C$73,4)</f>
        <v>0.61939999999999995</v>
      </c>
      <c r="D47">
        <f>ROUND('dat_file 1980'!D47/'dat_file 1980'!D$73,4)</f>
        <v>0.56869999999999998</v>
      </c>
      <c r="E47">
        <f>ROUND('dat_file 1980'!E47/'dat_file 1980'!E$73,4)</f>
        <v>0.55869999999999997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1980'!H$73,4)</f>
        <v>0.6976</v>
      </c>
      <c r="I47">
        <f>ROUND('dat_file 1980'!J47/'dat_file 1980'!J$73,4)</f>
        <v>0.64610000000000001</v>
      </c>
      <c r="K47" t="str">
        <f>"ELSE IF ref_year="&amp;'dat_file 1980'!B47&amp;" THEN cpi_u_rs_18="&amp;ROUND('dat_file 1980'!$D$73/'dat_file 1980'!D47,3)&amp;";"</f>
        <v>ELSE IF ref_year=1992 THEN cpi_u_rs_18=1.758;</v>
      </c>
      <c r="O47" t="str">
        <f>"ELSE IF ref_year="&amp;'dat_file 1980'!B47&amp;" THEN cpi_u_rs_adj_18="&amp;ROUND('dat_file 1980'!$H$73/'dat_file 1980'!H47,3)&amp;";"</f>
        <v>ELSE IF ref_year=1992 THEN cpi_u_rs_adj_18=1.434;</v>
      </c>
    </row>
    <row r="48" spans="2:15">
      <c r="B48">
        <f>+Sheet3!A48</f>
        <v>1993</v>
      </c>
      <c r="C48">
        <f>ROUND('dat_file 1980'!C48/'dat_file 1980'!C$73,4)</f>
        <v>0.63480000000000003</v>
      </c>
      <c r="D48">
        <f>ROUND('dat_file 1980'!D48/'dat_file 1980'!D$73,4)</f>
        <v>0.58309999999999995</v>
      </c>
      <c r="E48">
        <f>ROUND('dat_file 1980'!E48/'dat_file 1980'!E$73,4)</f>
        <v>0.57540000000000002</v>
      </c>
      <c r="F48">
        <f>'dat_file 1980'!F48</f>
        <v>0.26069999999999999</v>
      </c>
      <c r="G48">
        <f>'dat_file 1980'!G48</f>
        <v>0.2311</v>
      </c>
      <c r="H48">
        <f>ROUND('dat_file 1980'!H48/'dat_file 1980'!H$73,4)</f>
        <v>0.70960000000000001</v>
      </c>
      <c r="I48">
        <f>ROUND('dat_file 1980'!J48/'dat_file 1980'!J$73,4)</f>
        <v>0.65890000000000004</v>
      </c>
      <c r="K48" t="str">
        <f>"ELSE IF ref_year="&amp;'dat_file 1980'!B48&amp;" THEN cpi_u_rs_18="&amp;ROUND('dat_file 1980'!$D$73/'dat_file 1980'!D48,3)&amp;";"</f>
        <v>ELSE IF ref_year=1993 THEN cpi_u_rs_18=1.715;</v>
      </c>
      <c r="O48" t="str">
        <f>"ELSE IF ref_year="&amp;'dat_file 1980'!B48&amp;" THEN cpi_u_rs_adj_18="&amp;ROUND('dat_file 1980'!$H$73/'dat_file 1980'!H48,3)&amp;";"</f>
        <v>ELSE IF ref_year=1993 THEN cpi_u_rs_adj_18=1.409;</v>
      </c>
    </row>
    <row r="49" spans="2:15">
      <c r="B49">
        <f>+Sheet3!A49</f>
        <v>1994</v>
      </c>
      <c r="C49">
        <f>ROUND('dat_file 1980'!C49/'dat_file 1980'!C$73,4)</f>
        <v>0.64800000000000002</v>
      </c>
      <c r="D49">
        <f>ROUND('dat_file 1980'!D49/'dat_file 1980'!D$73,4)</f>
        <v>0.59519999999999995</v>
      </c>
      <c r="E49">
        <f>ROUND('dat_file 1980'!E49/'dat_file 1980'!E$73,4)</f>
        <v>0.59019999999999995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1980'!H$73,4)</f>
        <v>0.71879999999999999</v>
      </c>
      <c r="I49">
        <f>ROUND('dat_file 1980'!J49/'dat_file 1980'!J$73,4)</f>
        <v>0.66969999999999996</v>
      </c>
      <c r="K49" t="str">
        <f>"ELSE IF ref_year="&amp;'dat_file 1980'!B49&amp;" THEN cpi_u_rs_18="&amp;ROUND('dat_file 1980'!$D$73/'dat_file 1980'!D49,3)&amp;";"</f>
        <v>ELSE IF ref_year=1994 THEN cpi_u_rs_18=1.68;</v>
      </c>
      <c r="O49" t="str">
        <f>"ELSE IF ref_year="&amp;'dat_file 1980'!B49&amp;" THEN cpi_u_rs_adj_18="&amp;ROUND('dat_file 1980'!$H$73/'dat_file 1980'!H49,3)&amp;";"</f>
        <v>ELSE IF ref_year=1994 THEN cpi_u_rs_adj_18=1.391;</v>
      </c>
    </row>
    <row r="50" spans="2:15">
      <c r="B50">
        <f>+Sheet3!A50</f>
        <v>1995</v>
      </c>
      <c r="C50">
        <f>ROUND('dat_file 1980'!C50/'dat_file 1980'!C$73,4)</f>
        <v>0.66169999999999995</v>
      </c>
      <c r="D50">
        <f>ROUND('dat_file 1980'!D50/'dat_file 1980'!D$73,4)</f>
        <v>0.60960000000000003</v>
      </c>
      <c r="E50">
        <f>ROUND('dat_file 1980'!E50/'dat_file 1980'!E$73,4)</f>
        <v>0.6069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1980'!H$73,4)</f>
        <v>0.73040000000000005</v>
      </c>
      <c r="I50">
        <f>ROUND('dat_file 1980'!J50/'dat_file 1980'!J$73,4)</f>
        <v>0.68259999999999998</v>
      </c>
      <c r="K50" t="str">
        <f>"ELSE IF ref_year="&amp;'dat_file 1980'!B50&amp;" THEN cpi_u_rs_18="&amp;ROUND('dat_file 1980'!$D$73/'dat_file 1980'!D50,3)&amp;";"</f>
        <v>ELSE IF ref_year=1995 THEN cpi_u_rs_18=1.64;</v>
      </c>
      <c r="O50" t="str">
        <f>"ELSE IF ref_year="&amp;'dat_file 1980'!B50&amp;" THEN cpi_u_rs_adj_18="&amp;ROUND('dat_file 1980'!$H$73/'dat_file 1980'!H50,3)&amp;";"</f>
        <v>ELSE IF ref_year=1995 THEN cpi_u_rs_adj_18=1.369;</v>
      </c>
    </row>
    <row r="51" spans="2:15">
      <c r="B51">
        <f>+Sheet3!A51</f>
        <v>1996</v>
      </c>
      <c r="C51">
        <f>ROUND('dat_file 1980'!C51/'dat_file 1980'!C$73,4)</f>
        <v>0.67579999999999996</v>
      </c>
      <c r="D51">
        <f>ROUND('dat_file 1980'!D51/'dat_file 1980'!D$73,4)</f>
        <v>0.62590000000000001</v>
      </c>
      <c r="E51">
        <f>ROUND('dat_file 1980'!E51/'dat_file 1980'!E$73,4)</f>
        <v>0.62480000000000002</v>
      </c>
      <c r="F51">
        <f>'dat_file 1980'!F51</f>
        <v>0.2429</v>
      </c>
      <c r="G51">
        <f>'dat_file 1980'!G51</f>
        <v>0.21290000000000001</v>
      </c>
      <c r="H51">
        <f>ROUND('dat_file 1980'!H51/'dat_file 1980'!H$73,4)</f>
        <v>0.74399999999999999</v>
      </c>
      <c r="I51">
        <f>ROUND('dat_file 1980'!J51/'dat_file 1980'!J$73,4)</f>
        <v>0.69710000000000005</v>
      </c>
      <c r="K51" t="str">
        <f>"ELSE IF ref_year="&amp;'dat_file 1980'!B51&amp;" THEN cpi_u_rs_18="&amp;ROUND('dat_file 1980'!$D$73/'dat_file 1980'!D51,3)&amp;";"</f>
        <v>ELSE IF ref_year=1996 THEN cpi_u_rs_18=1.598;</v>
      </c>
      <c r="O51" t="str">
        <f>"ELSE IF ref_year="&amp;'dat_file 1980'!B51&amp;" THEN cpi_u_rs_adj_18="&amp;ROUND('dat_file 1980'!$H$73/'dat_file 1980'!H51,3)&amp;";"</f>
        <v>ELSE IF ref_year=1996 THEN cpi_u_rs_adj_18=1.344;</v>
      </c>
    </row>
    <row r="52" spans="2:15">
      <c r="B52">
        <f>+Sheet3!A52</f>
        <v>1997</v>
      </c>
      <c r="C52">
        <f>ROUND('dat_file 1980'!C52/'dat_file 1980'!C$73,4)</f>
        <v>0.68759999999999999</v>
      </c>
      <c r="D52">
        <f>ROUND('dat_file 1980'!D52/'dat_file 1980'!D$73,4)</f>
        <v>0.63939999999999997</v>
      </c>
      <c r="E52">
        <f>ROUND('dat_file 1980'!E52/'dat_file 1980'!E$73,4)</f>
        <v>0.63919999999999999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1980'!H$73,4)</f>
        <v>0.75419999999999998</v>
      </c>
      <c r="I52">
        <f>ROUND('dat_file 1980'!J52/'dat_file 1980'!J$73,4)</f>
        <v>0.7087</v>
      </c>
      <c r="K52" t="str">
        <f>"ELSE IF ref_year="&amp;'dat_file 1980'!B52&amp;" THEN cpi_u_rs_18="&amp;ROUND('dat_file 1980'!$D$73/'dat_file 1980'!D52,3)&amp;";"</f>
        <v>ELSE IF ref_year=1997 THEN cpi_u_rs_18=1.564;</v>
      </c>
      <c r="O52" t="str">
        <f>"ELSE IF ref_year="&amp;'dat_file 1980'!B52&amp;" THEN cpi_u_rs_adj_18="&amp;ROUND('dat_file 1980'!$H$73/'dat_file 1980'!H52,3)&amp;";"</f>
        <v>ELSE IF ref_year=1997 THEN cpi_u_rs_adj_18=1.326;</v>
      </c>
    </row>
    <row r="53" spans="2:15">
      <c r="B53">
        <f>+Sheet3!A53</f>
        <v>1998</v>
      </c>
      <c r="C53">
        <f>ROUND('dat_file 1980'!C53/'dat_file 1980'!C$73,4)</f>
        <v>0.69310000000000005</v>
      </c>
      <c r="D53">
        <f>ROUND('dat_file 1980'!D53/'dat_file 1980'!D$73,4)</f>
        <v>0.64810000000000001</v>
      </c>
      <c r="E53">
        <f>ROUND('dat_file 1980'!E53/'dat_file 1980'!E$73,4)</f>
        <v>0.64910000000000001</v>
      </c>
      <c r="F53">
        <f>'dat_file 1980'!F53</f>
        <v>0.23449999999999999</v>
      </c>
      <c r="G53">
        <f>'dat_file 1980'!G53</f>
        <v>0.2049</v>
      </c>
      <c r="H53">
        <f>ROUND('dat_file 1980'!H53/'dat_file 1980'!H$73,4)</f>
        <v>0.75839999999999996</v>
      </c>
      <c r="I53">
        <f>ROUND('dat_file 1980'!J53/'dat_file 1980'!J$73,4)</f>
        <v>0.71489999999999998</v>
      </c>
      <c r="K53" t="str">
        <f>"ELSE IF ref_year="&amp;'dat_file 1980'!B53&amp;" THEN cpi_u_rs_18="&amp;ROUND('dat_file 1980'!$D$73/'dat_file 1980'!D53,3)&amp;";"</f>
        <v>ELSE IF ref_year=1998 THEN cpi_u_rs_18=1.543;</v>
      </c>
      <c r="O53" t="str">
        <f>"ELSE IF ref_year="&amp;'dat_file 1980'!B53&amp;" THEN cpi_u_rs_adj_18="&amp;ROUND('dat_file 1980'!$H$73/'dat_file 1980'!H53,3)&amp;";"</f>
        <v>ELSE IF ref_year=1998 THEN cpi_u_rs_adj_18=1.319;</v>
      </c>
    </row>
    <row r="54" spans="2:15">
      <c r="B54">
        <f>+Sheet3!A54</f>
        <v>1999</v>
      </c>
      <c r="C54">
        <f>ROUND('dat_file 1980'!C54/'dat_file 1980'!C$73,4)</f>
        <v>0.70320000000000005</v>
      </c>
      <c r="D54">
        <f>ROUND('dat_file 1980'!D54/'dat_file 1980'!D$73,4)</f>
        <v>0.66159999999999997</v>
      </c>
      <c r="E54">
        <f>ROUND('dat_file 1980'!E54/'dat_file 1980'!E$73,4)</f>
        <v>0.66349999999999998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1980'!H$73,4)</f>
        <v>0.76819999999999999</v>
      </c>
      <c r="I54">
        <f>ROUND('dat_file 1980'!J54/'dat_file 1980'!J$73,4)</f>
        <v>0.72609999999999997</v>
      </c>
      <c r="K54" t="str">
        <f>"ELSE IF ref_year="&amp;'dat_file 1980'!B54&amp;" THEN cpi_u_rs_18="&amp;ROUND('dat_file 1980'!$D$73/'dat_file 1980'!D54,3)&amp;";"</f>
        <v>ELSE IF ref_year=1999 THEN cpi_u_rs_18=1.511;</v>
      </c>
      <c r="O54" t="str">
        <f>"ELSE IF ref_year="&amp;'dat_file 1980'!B54&amp;" THEN cpi_u_rs_adj_18="&amp;ROUND('dat_file 1980'!$H$73/'dat_file 1980'!H54,3)&amp;";"</f>
        <v>ELSE IF ref_year=1999 THEN cpi_u_rs_adj_18=1.302;</v>
      </c>
    </row>
    <row r="55" spans="2:15">
      <c r="B55">
        <f>+Sheet3!A55</f>
        <v>2000</v>
      </c>
      <c r="C55">
        <f>ROUND('dat_file 1980'!C55/'dat_file 1980'!C$73,4)</f>
        <v>0.72099999999999997</v>
      </c>
      <c r="D55">
        <f>ROUND('dat_file 1980'!D55/'dat_file 1980'!D$73,4)</f>
        <v>0.68410000000000004</v>
      </c>
      <c r="E55">
        <f>ROUND('dat_file 1980'!E55/'dat_file 1980'!E$73,4)</f>
        <v>0.68579999999999997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1980'!H$73,4)</f>
        <v>0.78810000000000002</v>
      </c>
      <c r="I55">
        <f>ROUND('dat_file 1980'!J55/'dat_file 1980'!J$73,4)</f>
        <v>0.74719999999999998</v>
      </c>
      <c r="K55" t="str">
        <f>"ELSE IF ref_year="&amp;'dat_file 1980'!B55&amp;" THEN cpi_u_rs_18="&amp;ROUND('dat_file 1980'!$D$73/'dat_file 1980'!D55,3)&amp;";"</f>
        <v>ELSE IF ref_year=2000 THEN cpi_u_rs_18=1.462;</v>
      </c>
      <c r="O55" t="str">
        <f>"ELSE IF ref_year="&amp;'dat_file 1980'!B55&amp;" THEN cpi_u_rs_adj_18="&amp;ROUND('dat_file 1980'!$H$73/'dat_file 1980'!H55,3)&amp;";"</f>
        <v>ELSE IF ref_year=2000 THEN cpi_u_rs_adj_18=1.269;</v>
      </c>
    </row>
    <row r="56" spans="2:15">
      <c r="B56">
        <f>+Sheet3!A56</f>
        <v>2001</v>
      </c>
      <c r="C56">
        <f>ROUND('dat_file 1980'!C56/'dat_file 1980'!C$73,4)</f>
        <v>0.73540000000000005</v>
      </c>
      <c r="D56">
        <f>ROUND('dat_file 1980'!D56/'dat_file 1980'!D$73,4)</f>
        <v>0.7036</v>
      </c>
      <c r="E56">
        <f>ROUND('dat_file 1980'!E56/'dat_file 1980'!E$73,4)</f>
        <v>0.70530000000000004</v>
      </c>
      <c r="F56">
        <f>'dat_file 1980'!F56</f>
        <v>0.216</v>
      </c>
      <c r="G56">
        <f>'dat_file 1980'!G56</f>
        <v>0.18859999999999999</v>
      </c>
      <c r="H56">
        <f>ROUND('dat_file 1980'!H56/'dat_file 1980'!H$73,4)</f>
        <v>0.80430000000000001</v>
      </c>
      <c r="I56">
        <f>ROUND('dat_file 1980'!J56/'dat_file 1980'!J$73,4)</f>
        <v>0.76500000000000001</v>
      </c>
      <c r="K56" t="str">
        <f>"ELSE IF ref_year="&amp;'dat_file 1980'!B56&amp;" THEN cpi_u_rs_18="&amp;ROUND('dat_file 1980'!$D$73/'dat_file 1980'!D56,3)&amp;";"</f>
        <v>ELSE IF ref_year=2001 THEN cpi_u_rs_18=1.421;</v>
      </c>
      <c r="O56" t="str">
        <f>"ELSE IF ref_year="&amp;'dat_file 1980'!B56&amp;" THEN cpi_u_rs_adj_18="&amp;ROUND('dat_file 1980'!$H$73/'dat_file 1980'!H56,3)&amp;";"</f>
        <v>ELSE IF ref_year=2001 THEN cpi_u_rs_adj_18=1.243;</v>
      </c>
    </row>
    <row r="57" spans="2:15">
      <c r="B57">
        <f>+Sheet3!A57</f>
        <v>2002</v>
      </c>
      <c r="C57">
        <f>ROUND('dat_file 1980'!C57/'dat_file 1980'!C$73,4)</f>
        <v>0.74509999999999998</v>
      </c>
      <c r="D57">
        <f>ROUND('dat_file 1980'!D57/'dat_file 1980'!D$73,4)</f>
        <v>0.7147</v>
      </c>
      <c r="E57">
        <f>ROUND('dat_file 1980'!E57/'dat_file 1980'!E$73,4)</f>
        <v>0.71640000000000004</v>
      </c>
      <c r="F57">
        <f>'dat_file 1980'!F57</f>
        <v>0.2127</v>
      </c>
      <c r="G57">
        <f>'dat_file 1980'!G57</f>
        <v>0.1857</v>
      </c>
      <c r="H57">
        <f>ROUND('dat_file 1980'!H57/'dat_file 1980'!H$73,4)</f>
        <v>0.8105</v>
      </c>
      <c r="I57">
        <f>ROUND('dat_file 1980'!J57/'dat_file 1980'!J$73,4)</f>
        <v>0.77329999999999999</v>
      </c>
      <c r="K57" t="str">
        <f>"ELSE IF ref_year="&amp;'dat_file 1980'!B57&amp;" THEN cpi_u_rs_18="&amp;ROUND('dat_file 1980'!$D$73/'dat_file 1980'!D57,3)&amp;";"</f>
        <v>ELSE IF ref_year=2002 THEN cpi_u_rs_18=1.399;</v>
      </c>
      <c r="O57" t="str">
        <f>"ELSE IF ref_year="&amp;'dat_file 1980'!B57&amp;" THEN cpi_u_rs_adj_18="&amp;ROUND('dat_file 1980'!$H$73/'dat_file 1980'!H57,3)&amp;";"</f>
        <v>ELSE IF ref_year=2002 THEN cpi_u_rs_adj_18=1.234;</v>
      </c>
    </row>
    <row r="58" spans="2:15">
      <c r="B58">
        <f>+Sheet3!A58</f>
        <v>2003</v>
      </c>
      <c r="C58">
        <f>ROUND('dat_file 1980'!C58/'dat_file 1980'!C$73,4)</f>
        <v>0.76070000000000004</v>
      </c>
      <c r="D58">
        <f>ROUND('dat_file 1980'!D58/'dat_file 1980'!D$73,4)</f>
        <v>0.73099999999999998</v>
      </c>
      <c r="E58">
        <f>ROUND('dat_file 1980'!E58/'dat_file 1980'!E$73,4)</f>
        <v>0.73280000000000001</v>
      </c>
      <c r="F58">
        <f>'dat_file 1980'!F58</f>
        <v>0.2079</v>
      </c>
      <c r="G58">
        <f>'dat_file 1980'!G58</f>
        <v>0.18149999999999999</v>
      </c>
      <c r="H58">
        <f>ROUND('dat_file 1980'!H58/'dat_file 1980'!H$73,4)</f>
        <v>0.82250000000000001</v>
      </c>
      <c r="I58">
        <f>ROUND('dat_file 1980'!J58/'dat_file 1980'!J$73,4)</f>
        <v>0.78700000000000003</v>
      </c>
      <c r="K58" t="str">
        <f>"ELSE IF ref_year="&amp;'dat_file 1980'!B58&amp;" THEN cpi_u_rs_18="&amp;ROUND('dat_file 1980'!$D$73/'dat_file 1980'!D58,3)&amp;";"</f>
        <v>ELSE IF ref_year=2003 THEN cpi_u_rs_18=1.368;</v>
      </c>
      <c r="O58" t="str">
        <f>"ELSE IF ref_year="&amp;'dat_file 1980'!B58&amp;" THEN cpi_u_rs_adj_18="&amp;ROUND('dat_file 1980'!$H$73/'dat_file 1980'!H58,3)&amp;";"</f>
        <v>ELSE IF ref_year=2003 THEN cpi_u_rs_adj_18=1.216;</v>
      </c>
    </row>
    <row r="59" spans="2:15">
      <c r="B59">
        <f>+Sheet3!A59</f>
        <v>2004</v>
      </c>
      <c r="C59">
        <f>ROUND('dat_file 1980'!C59/'dat_file 1980'!C$73,4)</f>
        <v>0.77959999999999996</v>
      </c>
      <c r="D59">
        <f>ROUND('dat_file 1980'!D59/'dat_file 1980'!D$73,4)</f>
        <v>0.75049999999999994</v>
      </c>
      <c r="E59">
        <f>ROUND('dat_file 1980'!E59/'dat_file 1980'!E$73,4)</f>
        <v>0.75229999999999997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1980'!H$73,4)</f>
        <v>0.83789999999999998</v>
      </c>
      <c r="I59">
        <f>ROUND('dat_file 1980'!J59/'dat_file 1980'!J$73,4)</f>
        <v>0.80400000000000005</v>
      </c>
      <c r="K59" t="str">
        <f>"ELSE IF ref_year="&amp;'dat_file 1980'!B59&amp;" THEN cpi_u_rs_18="&amp;ROUND('dat_file 1980'!$D$73/'dat_file 1980'!D59,3)&amp;";"</f>
        <v>ELSE IF ref_year=2004 THEN cpi_u_rs_18=1.332;</v>
      </c>
      <c r="O59" t="str">
        <f>"ELSE IF ref_year="&amp;'dat_file 1980'!B59&amp;" THEN cpi_u_rs_adj_18="&amp;ROUND('dat_file 1980'!$H$73/'dat_file 1980'!H59,3)&amp;";"</f>
        <v>ELSE IF ref_year=2004 THEN cpi_u_rs_adj_18=1.193;</v>
      </c>
    </row>
    <row r="60" spans="2:15">
      <c r="B60">
        <f>+Sheet3!A60</f>
        <v>2005</v>
      </c>
      <c r="C60">
        <f>ROUND('dat_file 1980'!C60/'dat_file 1980'!C$73,4)</f>
        <v>0.80210000000000004</v>
      </c>
      <c r="D60">
        <f>ROUND('dat_file 1980'!D60/'dat_file 1980'!D$73,4)</f>
        <v>0.77590000000000003</v>
      </c>
      <c r="E60">
        <f>ROUND('dat_file 1980'!E60/'dat_file 1980'!E$73,4)</f>
        <v>0.77769999999999995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1980'!H$73,4)</f>
        <v>0.85960000000000003</v>
      </c>
      <c r="I60">
        <f>ROUND('dat_file 1980'!J60/'dat_file 1980'!J$73,4)</f>
        <v>0.82720000000000005</v>
      </c>
      <c r="K60" t="str">
        <f>"ELSE IF ref_year="&amp;'dat_file 1980'!B60&amp;" THEN cpi_u_rs_18="&amp;ROUND('dat_file 1980'!$D$73/'dat_file 1980'!D60,3)&amp;";"</f>
        <v>ELSE IF ref_year=2005 THEN cpi_u_rs_18=1.289;</v>
      </c>
      <c r="O60" t="str">
        <f>"ELSE IF ref_year="&amp;'dat_file 1980'!B60&amp;" THEN cpi_u_rs_adj_18="&amp;ROUND('dat_file 1980'!$H$73/'dat_file 1980'!H60,3)&amp;";"</f>
        <v>ELSE IF ref_year=2005 THEN cpi_u_rs_adj_18=1.163;</v>
      </c>
    </row>
    <row r="61" spans="2:15">
      <c r="B61">
        <f>+Sheet3!A61</f>
        <v>2006</v>
      </c>
      <c r="C61">
        <f>ROUND('dat_file 1980'!C61/'dat_file 1980'!C$73,4)</f>
        <v>0.82469999999999999</v>
      </c>
      <c r="D61">
        <f>ROUND('dat_file 1980'!D61/'dat_file 1980'!D$73,4)</f>
        <v>0.80110000000000003</v>
      </c>
      <c r="E61">
        <f>ROUND('dat_file 1980'!E61/'dat_file 1980'!E$73,4)</f>
        <v>0.80279999999999996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1980'!H$73,4)</f>
        <v>0.88060000000000005</v>
      </c>
      <c r="I61">
        <f>ROUND('dat_file 1980'!J61/'dat_file 1980'!J$73,4)</f>
        <v>0.85</v>
      </c>
      <c r="K61" t="str">
        <f>"ELSE IF ref_year="&amp;'dat_file 1980'!B61&amp;" THEN cpi_u_rs_18="&amp;ROUND('dat_file 1980'!$D$73/'dat_file 1980'!D61,3)&amp;";"</f>
        <v>ELSE IF ref_year=2006 THEN cpi_u_rs_18=1.248;</v>
      </c>
      <c r="O61" t="str">
        <f>"ELSE IF ref_year="&amp;'dat_file 1980'!B61&amp;" THEN cpi_u_rs_adj_18="&amp;ROUND('dat_file 1980'!$H$73/'dat_file 1980'!H61,3)&amp;";"</f>
        <v>ELSE IF ref_year=2006 THEN cpi_u_rs_adj_18=1.136;</v>
      </c>
    </row>
    <row r="62" spans="2:15">
      <c r="B62">
        <f>+Sheet3!A62</f>
        <v>2007</v>
      </c>
      <c r="C62">
        <f>ROUND('dat_file 1980'!C62/'dat_file 1980'!C$73,4)</f>
        <v>0.8458</v>
      </c>
      <c r="D62">
        <f>ROUND('dat_file 1980'!D62/'dat_file 1980'!D$73,4)</f>
        <v>0.82389999999999997</v>
      </c>
      <c r="E62">
        <f>ROUND('dat_file 1980'!E62/'dat_file 1980'!E$73,4)</f>
        <v>0.82569999999999999</v>
      </c>
      <c r="F62">
        <f>'dat_file 1980'!F62</f>
        <v>0.1845</v>
      </c>
      <c r="G62">
        <f>'dat_file 1980'!G62</f>
        <v>0.16109999999999999</v>
      </c>
      <c r="H62">
        <f>ROUND('dat_file 1980'!H62/'dat_file 1980'!H$73,4)</f>
        <v>0.89859999999999995</v>
      </c>
      <c r="I62">
        <f>ROUND('dat_file 1980'!J62/'dat_file 1980'!J$73,4)</f>
        <v>0.86990000000000001</v>
      </c>
      <c r="K62" t="str">
        <f>"ELSE IF ref_year="&amp;'dat_file 1980'!B62&amp;" THEN cpi_u_rs_18="&amp;ROUND('dat_file 1980'!$D$73/'dat_file 1980'!D62,3)&amp;";"</f>
        <v>ELSE IF ref_year=2007 THEN cpi_u_rs_18=1.214;</v>
      </c>
      <c r="O62" t="str">
        <f>"ELSE IF ref_year="&amp;'dat_file 1980'!B62&amp;" THEN cpi_u_rs_adj_18="&amp;ROUND('dat_file 1980'!$H$73/'dat_file 1980'!H62,3)&amp;";"</f>
        <v>ELSE IF ref_year=2007 THEN cpi_u_rs_adj_18=1.113;</v>
      </c>
    </row>
    <row r="63" spans="2:15">
      <c r="B63">
        <f>+Sheet3!A63</f>
        <v>2008</v>
      </c>
      <c r="C63">
        <f>ROUND('dat_file 1980'!C63/'dat_file 1980'!C$73,4)</f>
        <v>0.87080000000000002</v>
      </c>
      <c r="D63">
        <f>ROUND('dat_file 1980'!D63/'dat_file 1980'!D$73,4)</f>
        <v>0.85560000000000003</v>
      </c>
      <c r="E63">
        <f>ROUND('dat_file 1980'!E63/'dat_file 1980'!E$73,4)</f>
        <v>0.85740000000000005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1980'!H$73,4)</f>
        <v>0.92600000000000005</v>
      </c>
      <c r="I63">
        <f>ROUND('dat_file 1980'!J63/'dat_file 1980'!J$73,4)</f>
        <v>0.89890000000000003</v>
      </c>
      <c r="K63" t="str">
        <f>"ELSE IF ref_year="&amp;'dat_file 1980'!B63&amp;" THEN cpi_u_rs_18="&amp;ROUND('dat_file 1980'!$D$73/'dat_file 1980'!D63,3)&amp;";"</f>
        <v>ELSE IF ref_year=2008 THEN cpi_u_rs_18=1.169;</v>
      </c>
      <c r="O63" t="str">
        <f>"ELSE IF ref_year="&amp;'dat_file 1980'!B63&amp;" THEN cpi_u_rs_adj_18="&amp;ROUND('dat_file 1980'!$H$73/'dat_file 1980'!H63,3)&amp;";"</f>
        <v>ELSE IF ref_year=2008 THEN cpi_u_rs_adj_18=1.08;</v>
      </c>
    </row>
    <row r="64" spans="2:15">
      <c r="B64">
        <f>+Sheet3!A64</f>
        <v>2009</v>
      </c>
      <c r="C64">
        <f>ROUND('dat_file 1980'!C64/'dat_file 1980'!C$73,4)</f>
        <v>0.86839999999999995</v>
      </c>
      <c r="D64">
        <f>ROUND('dat_file 1980'!D64/'dat_file 1980'!D$73,4)</f>
        <v>0.85260000000000002</v>
      </c>
      <c r="E64">
        <f>ROUND('dat_file 1980'!E64/'dat_file 1980'!E$73,4)</f>
        <v>0.85440000000000005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1980'!H$73,4)</f>
        <v>0.91539999999999999</v>
      </c>
      <c r="I64">
        <f>ROUND('dat_file 1980'!J64/'dat_file 1980'!J$73,4)</f>
        <v>0.89139999999999997</v>
      </c>
      <c r="K64" t="str">
        <f>"ELSE IF ref_year="&amp;'dat_file 1980'!B64&amp;" THEN cpi_u_rs_18="&amp;ROUND('dat_file 1980'!$D$73/'dat_file 1980'!D64,3)&amp;";"</f>
        <v>ELSE IF ref_year=2009 THEN cpi_u_rs_18=1.173;</v>
      </c>
      <c r="O64" t="str">
        <f>"ELSE IF ref_year="&amp;'dat_file 1980'!B64&amp;" THEN cpi_u_rs_adj_18="&amp;ROUND('dat_file 1980'!$H$73/'dat_file 1980'!H64,3)&amp;";"</f>
        <v>ELSE IF ref_year=2009 THEN cpi_u_rs_adj_18=1.092;</v>
      </c>
    </row>
    <row r="65" spans="2:15">
      <c r="B65">
        <f>+Sheet3!A65</f>
        <v>2010</v>
      </c>
      <c r="C65">
        <f>ROUND('dat_file 1980'!C65/'dat_file 1980'!C$73,4)</f>
        <v>0.88400000000000001</v>
      </c>
      <c r="D65">
        <f>ROUND('dat_file 1980'!D65/'dat_file 1980'!D$73,4)</f>
        <v>0.86639999999999995</v>
      </c>
      <c r="E65">
        <f>ROUND('dat_file 1980'!E65/'dat_file 1980'!E$73,4)</f>
        <v>0.86839999999999995</v>
      </c>
      <c r="F65">
        <f>'dat_file 1980'!F65</f>
        <v>0.1754</v>
      </c>
      <c r="G65">
        <f>'dat_file 1980'!G65</f>
        <v>0.1532</v>
      </c>
      <c r="H65">
        <f>ROUND('dat_file 1980'!H65/'dat_file 1980'!H$73,4)</f>
        <v>0.92290000000000005</v>
      </c>
      <c r="I65">
        <f>ROUND('dat_file 1980'!J65/'dat_file 1980'!J$73,4)</f>
        <v>0.90139999999999998</v>
      </c>
      <c r="K65" t="str">
        <f>"ELSE IF ref_year="&amp;'dat_file 1980'!B65&amp;" THEN cpi_u_rs_18="&amp;ROUND('dat_file 1980'!$D$73/'dat_file 1980'!D65,3)&amp;";"</f>
        <v>ELSE IF ref_year=2010 THEN cpi_u_rs_18=1.154;</v>
      </c>
      <c r="O65" t="str">
        <f>"ELSE IF ref_year="&amp;'dat_file 1980'!B65&amp;" THEN cpi_u_rs_adj_18="&amp;ROUND('dat_file 1980'!$H$73/'dat_file 1980'!H65,3)&amp;";"</f>
        <v>ELSE IF ref_year=2010 THEN cpi_u_rs_adj_18=1.084;</v>
      </c>
    </row>
    <row r="66" spans="2:15">
      <c r="B66">
        <f>+Sheet3!A66</f>
        <v>2011</v>
      </c>
      <c r="C66">
        <f>ROUND('dat_file 1980'!C66/'dat_file 1980'!C$73,4)</f>
        <v>0.90629999999999999</v>
      </c>
      <c r="D66">
        <f>ROUND('dat_file 1980'!D66/'dat_file 1980'!D$73,4)</f>
        <v>0.89410000000000001</v>
      </c>
      <c r="E66">
        <f>ROUND('dat_file 1980'!E66/'dat_file 1980'!E$73,4)</f>
        <v>0.89580000000000004</v>
      </c>
      <c r="F66">
        <f>'dat_file 1980'!F66</f>
        <v>0.17</v>
      </c>
      <c r="G66">
        <f>'dat_file 1980'!G66</f>
        <v>0.14849999999999999</v>
      </c>
      <c r="H66">
        <f>ROUND('dat_file 1980'!H66/'dat_file 1980'!H$73,4)</f>
        <v>0.94489999999999996</v>
      </c>
      <c r="I66">
        <f>ROUND('dat_file 1980'!J66/'dat_file 1980'!J$73,4)</f>
        <v>0.9254</v>
      </c>
      <c r="K66" t="str">
        <f>"ELSE IF ref_year="&amp;'dat_file 1980'!B66&amp;" THEN cpi_u_rs_18="&amp;ROUND('dat_file 1980'!$D$73/'dat_file 1980'!D66,3)&amp;";"</f>
        <v>ELSE IF ref_year=2011 THEN cpi_u_rs_18=1.118;</v>
      </c>
      <c r="O66" t="str">
        <f>"ELSE IF ref_year="&amp;'dat_file 1980'!B66&amp;" THEN cpi_u_rs_adj_18="&amp;ROUND('dat_file 1980'!$H$73/'dat_file 1980'!H66,3)&amp;";"</f>
        <v>ELSE IF ref_year=2011 THEN cpi_u_rs_adj_18=1.058;</v>
      </c>
    </row>
    <row r="67" spans="2:15">
      <c r="B67">
        <f>+Sheet3!A67</f>
        <v>2012</v>
      </c>
      <c r="C67">
        <f>ROUND('dat_file 1980'!C67/'dat_file 1980'!C$73,4)</f>
        <v>0.92320000000000002</v>
      </c>
      <c r="D67">
        <f>ROUND('dat_file 1980'!D67/'dat_file 1980'!D$73,4)</f>
        <v>0.91279999999999994</v>
      </c>
      <c r="E67">
        <f>ROUND('dat_file 1980'!E67/'dat_file 1980'!E$73,4)</f>
        <v>0.9143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1980'!H$73,4)</f>
        <v>0.95709999999999995</v>
      </c>
      <c r="I67">
        <f>ROUND('dat_file 1980'!J67/'dat_file 1980'!J$73,4)</f>
        <v>0.94030000000000002</v>
      </c>
      <c r="K67" t="str">
        <f>"ELSE IF ref_year="&amp;'dat_file 1980'!B67&amp;" THEN cpi_u_rs_18="&amp;ROUND('dat_file 1980'!$D$73/'dat_file 1980'!D67,3)&amp;";"</f>
        <v>ELSE IF ref_year=2012 THEN cpi_u_rs_18=1.096;</v>
      </c>
      <c r="O67" t="str">
        <f>"ELSE IF ref_year="&amp;'dat_file 1980'!B67&amp;" THEN cpi_u_rs_adj_18="&amp;ROUND('dat_file 1980'!$H$73/'dat_file 1980'!H67,3)&amp;";"</f>
        <v>ELSE IF ref_year=2012 THEN cpi_u_rs_adj_18=1.045;</v>
      </c>
    </row>
    <row r="68" spans="2:15">
      <c r="B68">
        <f>+Sheet3!A68</f>
        <v>2013</v>
      </c>
      <c r="C68">
        <f>ROUND('dat_file 1980'!C68/'dat_file 1980'!C$73,4)</f>
        <v>0.93569999999999998</v>
      </c>
      <c r="D68">
        <f>ROUND('dat_file 1980'!D68/'dat_file 1980'!D$73,4)</f>
        <v>0.92659999999999998</v>
      </c>
      <c r="E68">
        <f>ROUND('dat_file 1980'!E68/'dat_file 1980'!E$73,4)</f>
        <v>0.92769999999999997</v>
      </c>
      <c r="F68">
        <f>'dat_file 1980'!F68</f>
        <v>0.16400000000000001</v>
      </c>
      <c r="G68">
        <f>'dat_file 1980'!G68</f>
        <v>0.1434</v>
      </c>
      <c r="H68">
        <f>ROUND('dat_file 1980'!H68/'dat_file 1980'!H$73,4)</f>
        <v>0.96399999999999997</v>
      </c>
      <c r="I68">
        <f>ROUND('dat_file 1980'!J68/'dat_file 1980'!J$73,4)</f>
        <v>0.94989999999999997</v>
      </c>
      <c r="K68" t="str">
        <f>"ELSE IF ref_year="&amp;'dat_file 1980'!B68&amp;" THEN cpi_u_rs_18="&amp;ROUND('dat_file 1980'!$D$73/'dat_file 1980'!D68,3)&amp;";"</f>
        <v>ELSE IF ref_year=2013 THEN cpi_u_rs_18=1.079;</v>
      </c>
      <c r="O68" t="str">
        <f>"ELSE IF ref_year="&amp;'dat_file 1980'!B68&amp;" THEN cpi_u_rs_adj_18="&amp;ROUND('dat_file 1980'!$H$73/'dat_file 1980'!H68,3)&amp;";"</f>
        <v>ELSE IF ref_year=2013 THEN cpi_u_rs_adj_18=1.037;</v>
      </c>
    </row>
    <row r="69" spans="2:15">
      <c r="B69">
        <f>+Sheet3!A69</f>
        <v>2014</v>
      </c>
      <c r="C69">
        <f>ROUND('dat_file 1980'!C69/'dat_file 1980'!C$73,4)</f>
        <v>0.94989999999999997</v>
      </c>
      <c r="D69">
        <f>ROUND('dat_file 1980'!D69/'dat_file 1980'!D$73,4)</f>
        <v>0.94199999999999995</v>
      </c>
      <c r="E69">
        <f>ROUND('dat_file 1980'!E69/'dat_file 1980'!E$73,4)</f>
        <v>0.94279999999999997</v>
      </c>
      <c r="F69">
        <f>'dat_file 1980'!F69</f>
        <v>0.1613</v>
      </c>
      <c r="G69">
        <f>'dat_file 1980'!G69</f>
        <v>0.1411</v>
      </c>
      <c r="H69">
        <f>ROUND('dat_file 1980'!H69/'dat_file 1980'!H$73,4)</f>
        <v>0.97230000000000005</v>
      </c>
      <c r="I69">
        <f>ROUND('dat_file 1980'!J69/'dat_file 1980'!J$73,4)</f>
        <v>0.96060000000000001</v>
      </c>
      <c r="K69" t="str">
        <f>"ELSE IF ref_year="&amp;'dat_file 1980'!B69&amp;" THEN cpi_u_rs_18="&amp;ROUND('dat_file 1980'!$D$73/'dat_file 1980'!D69,3)&amp;";"</f>
        <v>ELSE IF ref_year=2014 THEN cpi_u_rs_18=1.062;</v>
      </c>
      <c r="O69" t="str">
        <f>"ELSE IF ref_year="&amp;'dat_file 1980'!B69&amp;" THEN cpi_u_rs_adj_18="&amp;ROUND('dat_file 1980'!$H$73/'dat_file 1980'!H69,3)&amp;";"</f>
        <v>ELSE IF ref_year=2014 THEN cpi_u_rs_adj_18=1.028;</v>
      </c>
    </row>
    <row r="70" spans="2:15">
      <c r="B70">
        <f>+Sheet3!A70</f>
        <v>2015</v>
      </c>
      <c r="C70">
        <f>ROUND('dat_file 1980'!C70/'dat_file 1980'!C$73,4)</f>
        <v>0.95199999999999996</v>
      </c>
      <c r="D70">
        <f>ROUND('dat_file 1980'!D70/'dat_file 1980'!D$73,4)</f>
        <v>0.94369999999999998</v>
      </c>
      <c r="E70">
        <f>ROUND('dat_file 1980'!E70/'dat_file 1980'!E$73,4)</f>
        <v>0.94389999999999996</v>
      </c>
      <c r="F70">
        <f>'dat_file 1980'!F70</f>
        <v>0.16109999999999999</v>
      </c>
      <c r="G70">
        <f>'dat_file 1980'!G70</f>
        <v>0.1409</v>
      </c>
      <c r="H70">
        <f>ROUND('dat_file 1980'!H70/'dat_file 1980'!H$73,4)</f>
        <v>0.96619999999999995</v>
      </c>
      <c r="I70">
        <f>ROUND('dat_file 1980'!J70/'dat_file 1980'!J$73,4)</f>
        <v>0.9577</v>
      </c>
      <c r="K70" t="str">
        <f>"ELSE IF ref_year="&amp;'dat_file 1980'!B70&amp;" THEN cpi_u_rs_18="&amp;ROUND('dat_file 1980'!$D$73/'dat_file 1980'!D70,3)&amp;";"</f>
        <v>ELSE IF ref_year=2015 THEN cpi_u_rs_18=1.06;</v>
      </c>
      <c r="O70" t="str">
        <f>"ELSE IF ref_year="&amp;'dat_file 1980'!B70&amp;" THEN cpi_u_rs_adj_18="&amp;ROUND('dat_file 1980'!$H$73/'dat_file 1980'!H70,3)&amp;";"</f>
        <v>ELSE IF ref_year=2015 THEN cpi_u_rs_adj_18=1.035;</v>
      </c>
    </row>
    <row r="71" spans="2:15">
      <c r="B71">
        <f>+Sheet3!A71</f>
        <v>2016</v>
      </c>
      <c r="C71">
        <f>ROUND('dat_file 1980'!C71/'dat_file 1980'!C$73,4)</f>
        <v>0.96150000000000002</v>
      </c>
      <c r="D71">
        <f>ROUND('dat_file 1980'!D71/'dat_file 1980'!D$73,4)</f>
        <v>0.95589999999999997</v>
      </c>
      <c r="E71">
        <f>ROUND('dat_file 1980'!E71/'dat_file 1980'!E$73,4)</f>
        <v>0.95579999999999998</v>
      </c>
      <c r="F71">
        <f>'dat_file 1980'!F71</f>
        <v>0.159</v>
      </c>
      <c r="G71">
        <f>'dat_file 1980'!G71</f>
        <v>0.13919999999999999</v>
      </c>
      <c r="H71">
        <f>ROUND('dat_file 1980'!H71/'dat_file 1980'!H$73,4)</f>
        <v>0.97089999999999999</v>
      </c>
      <c r="I71">
        <f>ROUND('dat_file 1980'!J71/'dat_file 1980'!J$73,4)</f>
        <v>0.96519999999999995</v>
      </c>
      <c r="K71" t="str">
        <f>"ELSE IF ref_year="&amp;'dat_file 1980'!B71&amp;" THEN cpi_u_rs_18="&amp;ROUND('dat_file 1980'!$D$73/'dat_file 1980'!D71,3)&amp;";"</f>
        <v>ELSE IF ref_year=2016 THEN cpi_u_rs_18=1.046;</v>
      </c>
      <c r="O71" t="str">
        <f>"ELSE IF ref_year="&amp;'dat_file 1980'!B71&amp;" THEN cpi_u_rs_adj_18="&amp;ROUND('dat_file 1980'!$H$73/'dat_file 1980'!H71,3)&amp;";"</f>
        <v>ELSE IF ref_year=2016 THEN cpi_u_rs_adj_18=1.03;</v>
      </c>
    </row>
    <row r="72" spans="2:15">
      <c r="B72">
        <f>+Sheet3!A72</f>
        <v>2017</v>
      </c>
      <c r="C72">
        <f>ROUND('dat_file 1980'!C72/'dat_file 1980'!C$73,4)</f>
        <v>0.97909999999999997</v>
      </c>
      <c r="D72">
        <f>ROUND('dat_file 1980'!D72/'dat_file 1980'!D$73,4)</f>
        <v>0.97619999999999996</v>
      </c>
      <c r="E72">
        <f>ROUND('dat_file 1980'!E72/'dat_file 1980'!E$73,4)</f>
        <v>0.97619999999999996</v>
      </c>
      <c r="F72">
        <f>'dat_file 1980'!F72</f>
        <v>0.15570000000000001</v>
      </c>
      <c r="G72">
        <f>'dat_file 1980'!G72</f>
        <v>0.1363</v>
      </c>
      <c r="H72">
        <f>ROUND('dat_file 1980'!H72/'dat_file 1980'!H$73,4)</f>
        <v>0.98380000000000001</v>
      </c>
      <c r="I72">
        <f>ROUND('dat_file 1980'!J72/'dat_file 1980'!J$73,4)</f>
        <v>0.98089999999999999</v>
      </c>
      <c r="K72" t="str">
        <f>"ELSE IF ref_year="&amp;'dat_file 1980'!B72&amp;" THEN cpi_u_rs_18="&amp;ROUND('dat_file 1980'!$D$73/'dat_file 1980'!D72,3)&amp;";"</f>
        <v>ELSE IF ref_year=2017 THEN cpi_u_rs_18=1.024;</v>
      </c>
      <c r="O72" t="str">
        <f>"ELSE IF ref_year="&amp;'dat_file 1980'!B72&amp;" THEN cpi_u_rs_adj_18="&amp;ROUND('dat_file 1980'!$H$73/'dat_file 1980'!H72,3)&amp;";"</f>
        <v>ELSE IF ref_year=2017 THEN cpi_u_rs_adj_18=1.016;</v>
      </c>
    </row>
    <row r="73" spans="2:15">
      <c r="B73">
        <f>+Sheet3!A73</f>
        <v>2018</v>
      </c>
      <c r="C73">
        <f>ROUND('dat_file 1980'!C73/'dat_file 1980'!C$73,4)</f>
        <v>1</v>
      </c>
      <c r="D73">
        <f>ROUND('dat_file 1980'!D73/'dat_file 1980'!D$73,4)</f>
        <v>1</v>
      </c>
      <c r="E73">
        <f>ROUND('dat_file 1980'!E73/'dat_file 1980'!E$73,4)</f>
        <v>1</v>
      </c>
      <c r="F73">
        <f>'dat_file 1980'!F73</f>
        <v>0.152</v>
      </c>
      <c r="G73">
        <f>'dat_file 1980'!G73</f>
        <v>0.13300000000000001</v>
      </c>
      <c r="H73">
        <f>ROUND('dat_file 1980'!H73/'dat_file 1980'!H$73,4)</f>
        <v>1</v>
      </c>
      <c r="I73">
        <f>ROUND('dat_file 1980'!J73/'dat_file 1980'!J$73,4)</f>
        <v>1</v>
      </c>
      <c r="K73" t="str">
        <f>"ELSE IF ref_year="&amp;'dat_file 1980'!B73&amp;" THEN cpi_u_rs_18="&amp;ROUND('dat_file 1980'!$D$73/'dat_file 1980'!D73,3)&amp;";"</f>
        <v>ELSE IF ref_year=2018 THEN cpi_u_rs_18=1;</v>
      </c>
      <c r="O73" t="str">
        <f>"ELSE IF ref_year="&amp;'dat_file 1980'!B73&amp;" THEN cpi_u_rs_adj_18="&amp;ROUND('dat_file 1980'!$H$73/'dat_file 1980'!H73,3)&amp;";"</f>
        <v>ELSE IF ref_year=2018 THEN cpi_u_rs_adj_18=1;</v>
      </c>
    </row>
    <row r="74" spans="2:15">
      <c r="B74">
        <f>+Sheet3!A74</f>
        <v>2019</v>
      </c>
      <c r="C74">
        <f>ROUND('dat_file 1980'!C74/'dat_file 1980'!C$73,4)</f>
        <v>1.0148999999999999</v>
      </c>
      <c r="D74">
        <f>ROUND('dat_file 1980'!D74/'dat_file 1980'!D$73,4)</f>
        <v>1.0181</v>
      </c>
      <c r="E74">
        <f>ROUND('dat_file 1980'!E74/'dat_file 1980'!E$73,4)</f>
        <v>1.0181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1980'!H$73,4)</f>
        <v>1.0101</v>
      </c>
      <c r="I74">
        <f>ROUND('dat_file 1980'!J74/'dat_file 1980'!J$73,4)</f>
        <v>1.0133000000000001</v>
      </c>
    </row>
    <row r="75" spans="2:15">
      <c r="B75">
        <f>+Sheet3!A75</f>
        <v>2020</v>
      </c>
      <c r="C75">
        <f>ROUND('dat_file 1980'!C75/'dat_file 1980'!C$73,4)</f>
        <v>1.0261</v>
      </c>
      <c r="D75">
        <f>ROUND('dat_file 1980'!D75/'dat_file 1980'!D$73,4)</f>
        <v>1.0317000000000001</v>
      </c>
      <c r="E75">
        <f>ROUND('dat_file 1980'!E75/'dat_file 1980'!E$73,4)</f>
        <v>1.0306999999999999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1980'!H$73,4)</f>
        <v>1.0155000000000001</v>
      </c>
      <c r="I75">
        <f>ROUND('dat_file 1980'!J75/'dat_file 1980'!J$73,4)</f>
        <v>1.0215000000000001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3AB2-ABB4-4778-9C69-637A46163613}">
  <dimension ref="B1:O75"/>
  <sheetViews>
    <sheetView topLeftCell="A60" workbookViewId="0">
      <selection activeCell="B73" sqref="B73:I75"/>
    </sheetView>
  </sheetViews>
  <sheetFormatPr defaultColWidth="9.28515625" defaultRowHeight="12.75"/>
  <cols>
    <col min="14" max="14" width="14.28515625" customWidth="1"/>
  </cols>
  <sheetData>
    <row r="1" spans="2:15">
      <c r="B1" t="s">
        <v>0</v>
      </c>
      <c r="C1" t="s">
        <v>14</v>
      </c>
      <c r="D1" t="s">
        <v>45</v>
      </c>
      <c r="E1" t="s">
        <v>36</v>
      </c>
      <c r="F1" t="s">
        <v>40</v>
      </c>
      <c r="G1" t="s">
        <v>39</v>
      </c>
      <c r="H1" t="s">
        <v>72</v>
      </c>
      <c r="I1" t="s">
        <v>96</v>
      </c>
    </row>
    <row r="2" spans="2:15">
      <c r="B2">
        <f>+Sheet3!A2</f>
        <v>1947</v>
      </c>
      <c r="C2">
        <f>ROUND('dat_file 1980'!C2/'dat_file 1980'!C$74,4)</f>
        <v>0.11360000000000001</v>
      </c>
      <c r="D2">
        <f>ROUND('dat_file 1980'!D2/'dat_file 1980'!D$74,4)</f>
        <v>9.98E-2</v>
      </c>
      <c r="E2">
        <f>ROUND('dat_file 1980'!E2/'dat_file 1980'!E$74,4)</f>
        <v>8.72E-2</v>
      </c>
      <c r="F2">
        <f>'dat_file 1980'!F2</f>
        <v>1.496</v>
      </c>
      <c r="G2">
        <f>'dat_file 1980'!G2</f>
        <v>1.4978</v>
      </c>
      <c r="H2">
        <f>ROUND('dat_file 1980'!H2/'dat_file 1980'!H$74,4)</f>
        <v>0.1908</v>
      </c>
      <c r="I2">
        <f>ROUND('dat_file 1980'!J2/'dat_file 1980'!J$74,4)</f>
        <v>0.16889999999999999</v>
      </c>
    </row>
    <row r="3" spans="2:15">
      <c r="B3">
        <f>+Sheet3!A3</f>
        <v>1948</v>
      </c>
      <c r="C3">
        <f>ROUND('dat_file 1980'!C3/'dat_file 1980'!C$74,4)</f>
        <v>0.1201</v>
      </c>
      <c r="D3">
        <f>ROUND('dat_file 1980'!D3/'dat_file 1980'!D$74,4)</f>
        <v>0.10780000000000001</v>
      </c>
      <c r="E3">
        <f>ROUND('dat_file 1980'!E3/'dat_file 1980'!E$74,4)</f>
        <v>9.4299999999999995E-2</v>
      </c>
      <c r="F3">
        <f>'dat_file 1980'!F3</f>
        <v>1.3852</v>
      </c>
      <c r="G3">
        <f>'dat_file 1980'!G3</f>
        <v>1.3858999999999999</v>
      </c>
      <c r="H3">
        <f>ROUND('dat_file 1980'!H3/'dat_file 1980'!H$74,4)</f>
        <v>0.20399999999999999</v>
      </c>
      <c r="I3">
        <f>ROUND('dat_file 1980'!J3/'dat_file 1980'!J$74,4)</f>
        <v>0.1804</v>
      </c>
    </row>
    <row r="4" spans="2:15">
      <c r="B4">
        <f>+Sheet3!A4</f>
        <v>1949</v>
      </c>
      <c r="C4">
        <f>ROUND('dat_file 1980'!C4/'dat_file 1980'!C$74,4)</f>
        <v>0.1191</v>
      </c>
      <c r="D4">
        <f>ROUND('dat_file 1980'!D4/'dat_file 1980'!D$74,4)</f>
        <v>0.10639999999999999</v>
      </c>
      <c r="E4">
        <f>ROUND('dat_file 1980'!E4/'dat_file 1980'!E$74,4)</f>
        <v>9.3100000000000002E-2</v>
      </c>
      <c r="F4">
        <f>'dat_file 1980'!F4</f>
        <v>1.4025000000000001</v>
      </c>
      <c r="G4">
        <f>'dat_file 1980'!G4</f>
        <v>1.4034</v>
      </c>
      <c r="H4">
        <f>ROUND('dat_file 1980'!H4/'dat_file 1980'!H$74,4)</f>
        <v>0.19919999999999999</v>
      </c>
      <c r="I4">
        <f>ROUND('dat_file 1980'!J4/'dat_file 1980'!J$74,4)</f>
        <v>0.17630000000000001</v>
      </c>
    </row>
    <row r="5" spans="2:15">
      <c r="B5">
        <f>+Sheet3!A5</f>
        <v>1950</v>
      </c>
      <c r="C5">
        <f>ROUND('dat_file 1980'!C5/'dat_file 1980'!C$74,4)</f>
        <v>0.1205</v>
      </c>
      <c r="D5">
        <f>ROUND('dat_file 1980'!D5/'dat_file 1980'!D$74,4)</f>
        <v>0.10780000000000001</v>
      </c>
      <c r="E5">
        <f>ROUND('dat_file 1980'!E5/'dat_file 1980'!E$74,4)</f>
        <v>9.4299999999999995E-2</v>
      </c>
      <c r="F5">
        <f>'dat_file 1980'!F5</f>
        <v>1.3852</v>
      </c>
      <c r="G5">
        <f>'dat_file 1980'!G5</f>
        <v>1.3858999999999999</v>
      </c>
      <c r="H5">
        <f>ROUND('dat_file 1980'!H5/'dat_file 1980'!H$74,4)</f>
        <v>0.19950000000000001</v>
      </c>
      <c r="I5">
        <f>ROUND('dat_file 1980'!J5/'dat_file 1980'!J$74,4)</f>
        <v>0.17630000000000001</v>
      </c>
    </row>
    <row r="6" spans="2:15">
      <c r="B6">
        <f>+Sheet3!A6</f>
        <v>1951</v>
      </c>
      <c r="C6">
        <f>ROUND('dat_file 1980'!C6/'dat_file 1980'!C$74,4)</f>
        <v>0.1288</v>
      </c>
      <c r="D6">
        <f>ROUND('dat_file 1980'!D6/'dat_file 1980'!D$74,4)</f>
        <v>0.1163</v>
      </c>
      <c r="E6">
        <f>ROUND('dat_file 1980'!E6/'dat_file 1980'!E$74,4)</f>
        <v>0.1017</v>
      </c>
      <c r="F6">
        <f>'dat_file 1980'!F6</f>
        <v>1.2838000000000001</v>
      </c>
      <c r="G6">
        <f>'dat_file 1980'!G6</f>
        <v>1.2846</v>
      </c>
      <c r="H6">
        <f>ROUND('dat_file 1980'!H6/'dat_file 1980'!H$74,4)</f>
        <v>0.21310000000000001</v>
      </c>
      <c r="I6">
        <f>ROUND('dat_file 1980'!J6/'dat_file 1980'!J$74,4)</f>
        <v>0.1885</v>
      </c>
    </row>
    <row r="7" spans="2:15">
      <c r="B7">
        <f>+Sheet3!A7</f>
        <v>1952</v>
      </c>
      <c r="C7">
        <f>ROUND('dat_file 1980'!C7/'dat_file 1980'!C$74,4)</f>
        <v>0.13139999999999999</v>
      </c>
      <c r="D7">
        <f>ROUND('dat_file 1980'!D7/'dat_file 1980'!D$74,4)</f>
        <v>0.11840000000000001</v>
      </c>
      <c r="E7">
        <f>ROUND('dat_file 1980'!E7/'dat_file 1980'!E$74,4)</f>
        <v>0.1037</v>
      </c>
      <c r="F7">
        <f>'dat_file 1980'!F7</f>
        <v>1.2606999999999999</v>
      </c>
      <c r="G7">
        <f>'dat_file 1980'!G7</f>
        <v>1.2604</v>
      </c>
      <c r="H7">
        <f>ROUND('dat_file 1980'!H7/'dat_file 1980'!H$74,4)</f>
        <v>0.21460000000000001</v>
      </c>
      <c r="I7">
        <f>ROUND('dat_file 1980'!J7/'dat_file 1980'!J$74,4)</f>
        <v>0.1898</v>
      </c>
    </row>
    <row r="8" spans="2:15">
      <c r="B8">
        <f>+Sheet3!A8</f>
        <v>1953</v>
      </c>
      <c r="C8">
        <f>ROUND('dat_file 1980'!C8/'dat_file 1980'!C$74,4)</f>
        <v>0.1331</v>
      </c>
      <c r="D8">
        <f>ROUND('dat_file 1980'!D8/'dat_file 1980'!D$74,4)</f>
        <v>0.1192</v>
      </c>
      <c r="E8">
        <f>ROUND('dat_file 1980'!E8/'dat_file 1980'!E$74,4)</f>
        <v>0.10440000000000001</v>
      </c>
      <c r="F8">
        <f>'dat_file 1980'!F8</f>
        <v>1.2522</v>
      </c>
      <c r="G8">
        <f>'dat_file 1980'!G8</f>
        <v>1.2508999999999999</v>
      </c>
      <c r="H8">
        <f>ROUND('dat_file 1980'!H8/'dat_file 1980'!H$74,4)</f>
        <v>0.2137</v>
      </c>
      <c r="I8">
        <f>ROUND('dat_file 1980'!J8/'dat_file 1980'!J$74,4)</f>
        <v>0.189</v>
      </c>
    </row>
    <row r="9" spans="2:15">
      <c r="B9">
        <f>+Sheet3!A9</f>
        <v>1954</v>
      </c>
      <c r="C9">
        <f>ROUND('dat_file 1980'!C9/'dat_file 1980'!C$74,4)</f>
        <v>0.1343</v>
      </c>
      <c r="D9">
        <f>ROUND('dat_file 1980'!D9/'dat_file 1980'!D$74,4)</f>
        <v>0.1203</v>
      </c>
      <c r="E9">
        <f>ROUND('dat_file 1980'!E9/'dat_file 1980'!E$74,4)</f>
        <v>0.1052</v>
      </c>
      <c r="F9">
        <f>'dat_file 1980'!F9</f>
        <v>1.2412000000000001</v>
      </c>
      <c r="G9">
        <f>'dat_file 1980'!G9</f>
        <v>1.2416</v>
      </c>
      <c r="H9">
        <f>ROUND('dat_file 1980'!H9/'dat_file 1980'!H$74,4)</f>
        <v>0.21329999999999999</v>
      </c>
      <c r="I9">
        <f>ROUND('dat_file 1980'!J9/'dat_file 1980'!J$74,4)</f>
        <v>0.1885</v>
      </c>
    </row>
    <row r="10" spans="2:15">
      <c r="B10">
        <f>+Sheet3!A10</f>
        <v>1955</v>
      </c>
      <c r="C10">
        <f>ROUND('dat_file 1980'!C10/'dat_file 1980'!C$74,4)</f>
        <v>0.1348</v>
      </c>
      <c r="D10">
        <f>ROUND('dat_file 1980'!D10/'dat_file 1980'!D$74,4)</f>
        <v>0.1198</v>
      </c>
      <c r="E10">
        <f>ROUND('dat_file 1980'!E10/'dat_file 1980'!E$74,4)</f>
        <v>0.1048</v>
      </c>
      <c r="F10">
        <f>'dat_file 1980'!F10</f>
        <v>1.2466999999999999</v>
      </c>
      <c r="G10">
        <f>'dat_file 1980'!G10</f>
        <v>1.2463</v>
      </c>
      <c r="H10">
        <f>ROUND('dat_file 1980'!H10/'dat_file 1980'!H$74,4)</f>
        <v>0.21</v>
      </c>
      <c r="I10">
        <f>ROUND('dat_file 1980'!J10/'dat_file 1980'!J$74,4)</f>
        <v>0.1857</v>
      </c>
    </row>
    <row r="11" spans="2:15">
      <c r="B11">
        <f>+Sheet3!A11</f>
        <v>1956</v>
      </c>
      <c r="C11">
        <f>ROUND('dat_file 1980'!C11/'dat_file 1980'!C$74,4)</f>
        <v>0.13739999999999999</v>
      </c>
      <c r="D11">
        <f>ROUND('dat_file 1980'!D11/'dat_file 1980'!D$74,4)</f>
        <v>0.1216</v>
      </c>
      <c r="E11">
        <f>ROUND('dat_file 1980'!E11/'dat_file 1980'!E$74,4)</f>
        <v>0.10639999999999999</v>
      </c>
      <c r="F11">
        <f>'dat_file 1980'!F11</f>
        <v>1.2276</v>
      </c>
      <c r="G11">
        <f>'dat_file 1980'!G11</f>
        <v>1.2279</v>
      </c>
      <c r="H11">
        <f>ROUND('dat_file 1980'!H11/'dat_file 1980'!H$74,4)</f>
        <v>0.2109</v>
      </c>
      <c r="I11">
        <f>ROUND('dat_file 1980'!J11/'dat_file 1980'!J$74,4)</f>
        <v>0.1865</v>
      </c>
    </row>
    <row r="12" spans="2:15">
      <c r="B12">
        <f>+Sheet3!A12</f>
        <v>1957</v>
      </c>
      <c r="C12">
        <f>ROUND('dat_file 1980'!C12/'dat_file 1980'!C$74,4)</f>
        <v>0.1416</v>
      </c>
      <c r="D12">
        <f>ROUND('dat_file 1980'!D12/'dat_file 1980'!D$74,4)</f>
        <v>0.12559999999999999</v>
      </c>
      <c r="E12">
        <f>ROUND('dat_file 1980'!E12/'dat_file 1980'!E$74,4)</f>
        <v>0.1099</v>
      </c>
      <c r="F12">
        <f>'dat_file 1980'!F12</f>
        <v>1.1886000000000001</v>
      </c>
      <c r="G12">
        <f>'dat_file 1980'!G12</f>
        <v>1.1886000000000001</v>
      </c>
      <c r="H12">
        <f>ROUND('dat_file 1980'!H12/'dat_file 1980'!H$74,4)</f>
        <v>0.2155</v>
      </c>
      <c r="I12">
        <f>ROUND('dat_file 1980'!J12/'dat_file 1980'!J$74,4)</f>
        <v>0.19059999999999999</v>
      </c>
    </row>
    <row r="13" spans="2:15">
      <c r="B13">
        <f>+Sheet3!A13</f>
        <v>1958</v>
      </c>
      <c r="C13">
        <f>ROUND('dat_file 1980'!C13/'dat_file 1980'!C$74,4)</f>
        <v>0.14499999999999999</v>
      </c>
      <c r="D13">
        <f>ROUND('dat_file 1980'!D13/'dat_file 1980'!D$74,4)</f>
        <v>0.12909999999999999</v>
      </c>
      <c r="E13">
        <f>ROUND('dat_file 1980'!E13/'dat_file 1980'!E$74,4)</f>
        <v>0.113</v>
      </c>
      <c r="F13">
        <f>'dat_file 1980'!F13</f>
        <v>1.1567000000000001</v>
      </c>
      <c r="G13">
        <f>'dat_file 1980'!G13</f>
        <v>1.1556999999999999</v>
      </c>
      <c r="H13">
        <f>ROUND('dat_file 1980'!H13/'dat_file 1980'!H$74,4)</f>
        <v>0.21909999999999999</v>
      </c>
      <c r="I13">
        <f>ROUND('dat_file 1980'!J13/'dat_file 1980'!J$74,4)</f>
        <v>0.19389999999999999</v>
      </c>
    </row>
    <row r="14" spans="2:15">
      <c r="B14">
        <f>+Sheet3!A14</f>
        <v>1959</v>
      </c>
      <c r="C14">
        <f>ROUND('dat_file 1980'!C14/'dat_file 1980'!C$74,4)</f>
        <v>0.14710000000000001</v>
      </c>
      <c r="D14">
        <f>ROUND('dat_file 1980'!D14/'dat_file 1980'!D$74,4)</f>
        <v>0.13009999999999999</v>
      </c>
      <c r="E14">
        <f>ROUND('dat_file 1980'!E14/'dat_file 1980'!E$74,4)</f>
        <v>0.1138</v>
      </c>
      <c r="F14">
        <f>'dat_file 1980'!F14</f>
        <v>1.1472</v>
      </c>
      <c r="G14">
        <f>'dat_file 1980'!G14</f>
        <v>1.1477999999999999</v>
      </c>
      <c r="H14">
        <f>ROUND('dat_file 1980'!H14/'dat_file 1980'!H$74,4)</f>
        <v>0.2185</v>
      </c>
      <c r="I14">
        <f>ROUND('dat_file 1980'!J14/'dat_file 1980'!J$74,4)</f>
        <v>0.193</v>
      </c>
    </row>
    <row r="15" spans="2:15">
      <c r="B15">
        <f>+Sheet3!A15</f>
        <v>1960</v>
      </c>
      <c r="C15">
        <f>ROUND('dat_file 1980'!C15/'dat_file 1980'!C$74,4)</f>
        <v>0.14949999999999999</v>
      </c>
      <c r="D15">
        <f>ROUND('dat_file 1980'!D15/'dat_file 1980'!D$74,4)</f>
        <v>0.13220000000000001</v>
      </c>
      <c r="E15">
        <f>ROUND('dat_file 1980'!E15/'dat_file 1980'!E$74,4)</f>
        <v>0.1158</v>
      </c>
      <c r="F15">
        <f>'dat_file 1980'!F15</f>
        <v>1.1288</v>
      </c>
      <c r="G15">
        <f>'dat_file 1980'!G15</f>
        <v>1.1284000000000001</v>
      </c>
      <c r="H15">
        <f>ROUND('dat_file 1980'!H15/'dat_file 1980'!H$74,4)</f>
        <v>0.21970000000000001</v>
      </c>
      <c r="I15">
        <f>ROUND('dat_file 1980'!J15/'dat_file 1980'!J$74,4)</f>
        <v>0.1943</v>
      </c>
      <c r="K15" t="str">
        <f>"IF ref_year="&amp;'dat_file 1980'!B15&amp;" THEN cpi_u_rs_18="&amp;ROUND('dat_file 1980'!$D$73/'dat_file 1980'!D15,3)&amp;";"</f>
        <v>IF ref_year=1960 THEN cpi_u_rs_18=7.427;</v>
      </c>
      <c r="O15" t="str">
        <f>"IF ref_year="&amp;'dat_file 1980'!B15&amp;" THEN cpi_u_rs_adj_18="&amp;ROUND('dat_file 1980'!$H$73/'dat_file 1980'!H15,3)&amp;";"</f>
        <v>IF ref_year=1960 THEN cpi_u_rs_adj_18=4.507;</v>
      </c>
    </row>
    <row r="16" spans="2:15">
      <c r="B16">
        <f>+Sheet3!A16</f>
        <v>1961</v>
      </c>
      <c r="C16">
        <f>ROUND('dat_file 1980'!C16/'dat_file 1980'!C$74,4)</f>
        <v>0.15110000000000001</v>
      </c>
      <c r="D16">
        <f>ROUND('dat_file 1980'!D16/'dat_file 1980'!D$74,4)</f>
        <v>0.1336</v>
      </c>
      <c r="E16">
        <f>ROUND('dat_file 1980'!E16/'dat_file 1980'!E$74,4)</f>
        <v>0.11700000000000001</v>
      </c>
      <c r="F16">
        <f>'dat_file 1980'!F16</f>
        <v>1.1174999999999999</v>
      </c>
      <c r="G16">
        <f>'dat_file 1980'!G16</f>
        <v>1.1171</v>
      </c>
      <c r="H16">
        <f>ROUND('dat_file 1980'!H16/'dat_file 1980'!H$74,4)</f>
        <v>0.2195</v>
      </c>
      <c r="I16">
        <f>ROUND('dat_file 1980'!J16/'dat_file 1980'!J$74,4)</f>
        <v>0.1943</v>
      </c>
      <c r="K16" t="str">
        <f>"ELSE IF ref_year="&amp;'dat_file 1980'!B16&amp;" THEN cpi_u_rs_18="&amp;ROUND('dat_file 1980'!$D$73/'dat_file 1980'!D16,3)&amp;";"</f>
        <v>ELSE IF ref_year=1961 THEN cpi_u_rs_18=7.352;</v>
      </c>
      <c r="O16" t="str">
        <f>"ELSE IF ref_year="&amp;'dat_file 1980'!B16&amp;" THEN cpi_u_rs_adj_18="&amp;ROUND('dat_file 1980'!$H$73/'dat_file 1980'!H16,3)&amp;";"</f>
        <v>ELSE IF ref_year=1961 THEN cpi_u_rs_adj_18=4.511;</v>
      </c>
    </row>
    <row r="17" spans="2:15">
      <c r="B17">
        <f>+Sheet3!A17</f>
        <v>1962</v>
      </c>
      <c r="C17">
        <f>ROUND('dat_file 1980'!C17/'dat_file 1980'!C$74,4)</f>
        <v>0.15290000000000001</v>
      </c>
      <c r="D17">
        <f>ROUND('dat_file 1980'!D17/'dat_file 1980'!D$74,4)</f>
        <v>0.13489999999999999</v>
      </c>
      <c r="E17">
        <f>ROUND('dat_file 1980'!E17/'dat_file 1980'!E$74,4)</f>
        <v>0.1181</v>
      </c>
      <c r="F17">
        <f>'dat_file 1980'!F17</f>
        <v>1.1065</v>
      </c>
      <c r="G17">
        <f>'dat_file 1980'!G17</f>
        <v>1.1060000000000001</v>
      </c>
      <c r="H17">
        <f>ROUND('dat_file 1980'!H17/'dat_file 1980'!H$74,4)</f>
        <v>0.21920000000000001</v>
      </c>
      <c r="I17">
        <f>ROUND('dat_file 1980'!J17/'dat_file 1980'!J$74,4)</f>
        <v>0.19389999999999999</v>
      </c>
      <c r="K17" t="str">
        <f>"ELSE IF ref_year="&amp;'dat_file 1980'!B17&amp;" THEN cpi_u_rs_18="&amp;ROUND('dat_file 1980'!$D$73/'dat_file 1980'!D17,3)&amp;";"</f>
        <v>ELSE IF ref_year=1962 THEN cpi_u_rs_18=7.28;</v>
      </c>
      <c r="O17" t="str">
        <f>"ELSE IF ref_year="&amp;'dat_file 1980'!B17&amp;" THEN cpi_u_rs_adj_18="&amp;ROUND('dat_file 1980'!$H$73/'dat_file 1980'!H17,3)&amp;";"</f>
        <v>ELSE IF ref_year=1962 THEN cpi_u_rs_adj_18=4.515;</v>
      </c>
    </row>
    <row r="18" spans="2:15">
      <c r="B18">
        <f>+Sheet3!A18</f>
        <v>1963</v>
      </c>
      <c r="C18">
        <f>ROUND('dat_file 1980'!C18/'dat_file 1980'!C$74,4)</f>
        <v>0.1547</v>
      </c>
      <c r="D18">
        <f>ROUND('dat_file 1980'!D18/'dat_file 1980'!D$74,4)</f>
        <v>0.1368</v>
      </c>
      <c r="E18">
        <f>ROUND('dat_file 1980'!E18/'dat_file 1980'!E$74,4)</f>
        <v>0.1197</v>
      </c>
      <c r="F18">
        <f>'dat_file 1980'!F18</f>
        <v>1.0913999999999999</v>
      </c>
      <c r="G18">
        <f>'dat_file 1980'!G18</f>
        <v>1.0914999999999999</v>
      </c>
      <c r="H18">
        <f>ROUND('dat_file 1980'!H18/'dat_file 1980'!H$74,4)</f>
        <v>0.2198</v>
      </c>
      <c r="I18">
        <f>ROUND('dat_file 1980'!J18/'dat_file 1980'!J$74,4)</f>
        <v>0.1943</v>
      </c>
      <c r="K18" t="str">
        <f>"ELSE IF ref_year="&amp;'dat_file 1980'!B18&amp;" THEN cpi_u_rs_18="&amp;ROUND('dat_file 1980'!$D$73/'dat_file 1980'!D18,3)&amp;";"</f>
        <v>ELSE IF ref_year=1963 THEN cpi_u_rs_18=7.181;</v>
      </c>
      <c r="O18" t="str">
        <f>"ELSE IF ref_year="&amp;'dat_file 1980'!B18&amp;" THEN cpi_u_rs_adj_18="&amp;ROUND('dat_file 1980'!$H$73/'dat_file 1980'!H18,3)&amp;";"</f>
        <v>ELSE IF ref_year=1963 THEN cpi_u_rs_adj_18=4.503;</v>
      </c>
    </row>
    <row r="19" spans="2:15">
      <c r="B19">
        <f>+Sheet3!A19</f>
        <v>1964</v>
      </c>
      <c r="C19">
        <f>ROUND('dat_file 1980'!C19/'dat_file 1980'!C$74,4)</f>
        <v>0.157</v>
      </c>
      <c r="D19">
        <f>ROUND('dat_file 1980'!D19/'dat_file 1980'!D$74,4)</f>
        <v>0.1386</v>
      </c>
      <c r="E19">
        <f>ROUND('dat_file 1980'!E19/'dat_file 1980'!E$74,4)</f>
        <v>0.12130000000000001</v>
      </c>
      <c r="F19">
        <f>'dat_file 1980'!F19</f>
        <v>1.0768</v>
      </c>
      <c r="G19">
        <f>'dat_file 1980'!G19</f>
        <v>1.0773999999999999</v>
      </c>
      <c r="H19">
        <f>ROUND('dat_file 1980'!H19/'dat_file 1980'!H$74,4)</f>
        <v>0.22040000000000001</v>
      </c>
      <c r="I19">
        <f>ROUND('dat_file 1980'!J19/'dat_file 1980'!J$74,4)</f>
        <v>0.1951</v>
      </c>
      <c r="K19" t="str">
        <f>"ELSE IF ref_year="&amp;'dat_file 1980'!B19&amp;" THEN cpi_u_rs_18="&amp;ROUND('dat_file 1980'!$D$73/'dat_file 1980'!D19,3)&amp;";"</f>
        <v>ELSE IF ref_year=1964 THEN cpi_u_rs_18=7.085;</v>
      </c>
      <c r="O19" t="str">
        <f>"ELSE IF ref_year="&amp;'dat_file 1980'!B19&amp;" THEN cpi_u_rs_adj_18="&amp;ROUND('dat_file 1980'!$H$73/'dat_file 1980'!H19,3)&amp;";"</f>
        <v>ELSE IF ref_year=1964 THEN cpi_u_rs_adj_18=4.491;</v>
      </c>
    </row>
    <row r="20" spans="2:15">
      <c r="B20">
        <f>+Sheet3!A20</f>
        <v>1965</v>
      </c>
      <c r="C20">
        <f>ROUND('dat_file 1980'!C20/'dat_file 1980'!C$74,4)</f>
        <v>0.15920000000000001</v>
      </c>
      <c r="D20">
        <f>ROUND('dat_file 1980'!D20/'dat_file 1980'!D$74,4)</f>
        <v>0.14080000000000001</v>
      </c>
      <c r="E20">
        <f>ROUND('dat_file 1980'!E20/'dat_file 1980'!E$74,4)</f>
        <v>0.1232</v>
      </c>
      <c r="F20">
        <f>'dat_file 1980'!F20</f>
        <v>1.0605</v>
      </c>
      <c r="G20">
        <f>'dat_file 1980'!G20</f>
        <v>1.0603</v>
      </c>
      <c r="H20">
        <f>ROUND('dat_file 1980'!H20/'dat_file 1980'!H$74,4)</f>
        <v>0.22140000000000001</v>
      </c>
      <c r="I20">
        <f>ROUND('dat_file 1980'!J20/'dat_file 1980'!J$74,4)</f>
        <v>0.19589999999999999</v>
      </c>
      <c r="K20" t="str">
        <f>"ELSE IF ref_year="&amp;'dat_file 1980'!B20&amp;" THEN cpi_u_rs_18="&amp;ROUND('dat_file 1980'!$D$73/'dat_file 1980'!D20,3)&amp;";"</f>
        <v>ELSE IF ref_year=1965 THEN cpi_u_rs_18=6.977;</v>
      </c>
      <c r="O20" t="str">
        <f>"ELSE IF ref_year="&amp;'dat_file 1980'!B20&amp;" THEN cpi_u_rs_adj_18="&amp;ROUND('dat_file 1980'!$H$73/'dat_file 1980'!H20,3)&amp;";"</f>
        <v>ELSE IF ref_year=1965 THEN cpi_u_rs_adj_18=4.471;</v>
      </c>
    </row>
    <row r="21" spans="2:15">
      <c r="B21">
        <f>+Sheet3!A21</f>
        <v>1966</v>
      </c>
      <c r="C21">
        <f>ROUND('dat_file 1980'!C21/'dat_file 1980'!C$74,4)</f>
        <v>0.16320000000000001</v>
      </c>
      <c r="D21">
        <f>ROUND('dat_file 1980'!D21/'dat_file 1980'!D$74,4)</f>
        <v>0.14480000000000001</v>
      </c>
      <c r="E21">
        <f>ROUND('dat_file 1980'!E21/'dat_file 1980'!E$74,4)</f>
        <v>0.12670000000000001</v>
      </c>
      <c r="F21">
        <f>'dat_file 1980'!F21</f>
        <v>1.0313000000000001</v>
      </c>
      <c r="G21">
        <f>'dat_file 1980'!G21</f>
        <v>1.0308999999999999</v>
      </c>
      <c r="H21">
        <f>ROUND('dat_file 1980'!H21/'dat_file 1980'!H$74,4)</f>
        <v>0.2253</v>
      </c>
      <c r="I21">
        <f>ROUND('dat_file 1980'!J21/'dat_file 1980'!J$74,4)</f>
        <v>0.19919999999999999</v>
      </c>
      <c r="K21" t="str">
        <f>"ELSE IF ref_year="&amp;'dat_file 1980'!B21&amp;" THEN cpi_u_rs_18="&amp;ROUND('dat_file 1980'!$D$73/'dat_file 1980'!D21,3)&amp;";"</f>
        <v>ELSE IF ref_year=1966 THEN cpi_u_rs_18=6.785;</v>
      </c>
      <c r="O21" t="str">
        <f>"ELSE IF ref_year="&amp;'dat_file 1980'!B21&amp;" THEN cpi_u_rs_adj_18="&amp;ROUND('dat_file 1980'!$H$73/'dat_file 1980'!H21,3)&amp;";"</f>
        <v>ELSE IF ref_year=1966 THEN cpi_u_rs_adj_18=4.395;</v>
      </c>
    </row>
    <row r="22" spans="2:15">
      <c r="B22">
        <f>+Sheet3!A22</f>
        <v>1967</v>
      </c>
      <c r="C22">
        <f>ROUND('dat_file 1980'!C22/'dat_file 1980'!C$74,4)</f>
        <v>0.1673</v>
      </c>
      <c r="D22">
        <f>ROUND('dat_file 1980'!D22/'dat_file 1980'!D$74,4)</f>
        <v>0.14929999999999999</v>
      </c>
      <c r="E22">
        <f>ROUND('dat_file 1980'!E22/'dat_file 1980'!E$74,4)</f>
        <v>0.13059999999999999</v>
      </c>
      <c r="F22">
        <f>'dat_file 1980'!F22</f>
        <v>1</v>
      </c>
      <c r="G22">
        <f>'dat_file 1980'!G22</f>
        <v>1</v>
      </c>
      <c r="H22">
        <f>ROUND('dat_file 1980'!H22/'dat_file 1980'!H$74,4)</f>
        <v>0.2298</v>
      </c>
      <c r="I22">
        <f>ROUND('dat_file 1980'!J22/'dat_file 1980'!J$74,4)</f>
        <v>0.20330000000000001</v>
      </c>
      <c r="K22" t="str">
        <f>"ELSE IF ref_year="&amp;'dat_file 1980'!B22&amp;" THEN cpi_u_rs_18="&amp;ROUND('dat_file 1980'!$D$73/'dat_file 1980'!D22,3)&amp;";"</f>
        <v>ELSE IF ref_year=1967 THEN cpi_u_rs_18=6.579;</v>
      </c>
      <c r="O22" t="str">
        <f>"ELSE IF ref_year="&amp;'dat_file 1980'!B22&amp;" THEN cpi_u_rs_adj_18="&amp;ROUND('dat_file 1980'!$H$73/'dat_file 1980'!H22,3)&amp;";"</f>
        <v>ELSE IF ref_year=1967 THEN cpi_u_rs_adj_18=4.308;</v>
      </c>
    </row>
    <row r="23" spans="2:15">
      <c r="B23">
        <f>+Sheet3!A23</f>
        <v>1968</v>
      </c>
      <c r="C23">
        <f>ROUND('dat_file 1980'!C23/'dat_file 1980'!C$74,4)</f>
        <v>0.1739</v>
      </c>
      <c r="D23">
        <f>ROUND('dat_file 1980'!D23/'dat_file 1980'!D$74,4)</f>
        <v>0.15509999999999999</v>
      </c>
      <c r="E23">
        <f>ROUND('dat_file 1980'!E23/'dat_file 1980'!E$74,4)</f>
        <v>0.1361</v>
      </c>
      <c r="F23">
        <f>'dat_file 1980'!F23</f>
        <v>0.96230000000000004</v>
      </c>
      <c r="G23">
        <f>'dat_file 1980'!G23</f>
        <v>0.95979999999999999</v>
      </c>
      <c r="H23">
        <f>ROUND('dat_file 1980'!H23/'dat_file 1980'!H$74,4)</f>
        <v>0.23630000000000001</v>
      </c>
      <c r="I23">
        <f>ROUND('dat_file 1980'!J23/'dat_file 1980'!J$74,4)</f>
        <v>0.20899999999999999</v>
      </c>
      <c r="K23" t="str">
        <f>"ELSE IF ref_year="&amp;'dat_file 1980'!B23&amp;" THEN cpi_u_rs_18="&amp;ROUND('dat_file 1980'!$D$73/'dat_file 1980'!D23,3)&amp;";"</f>
        <v>ELSE IF ref_year=1968 THEN cpi_u_rs_18=6.331;</v>
      </c>
      <c r="O23" t="str">
        <f>"ELSE IF ref_year="&amp;'dat_file 1980'!B23&amp;" THEN cpi_u_rs_adj_18="&amp;ROUND('dat_file 1980'!$H$73/'dat_file 1980'!H23,3)&amp;";"</f>
        <v>ELSE IF ref_year=1968 THEN cpi_u_rs_adj_18=4.19;</v>
      </c>
    </row>
    <row r="24" spans="2:15">
      <c r="B24">
        <f>+Sheet3!A24</f>
        <v>1969</v>
      </c>
      <c r="C24">
        <f>ROUND('dat_file 1980'!C24/'dat_file 1980'!C$74,4)</f>
        <v>0.1817</v>
      </c>
      <c r="D24">
        <f>ROUND('dat_file 1980'!D24/'dat_file 1980'!D$74,4)</f>
        <v>0.16209999999999999</v>
      </c>
      <c r="E24">
        <f>ROUND('dat_file 1980'!E24/'dat_file 1980'!E$74,4)</f>
        <v>0.14360000000000001</v>
      </c>
      <c r="F24">
        <f>'dat_file 1980'!F24</f>
        <v>0.92120000000000002</v>
      </c>
      <c r="G24">
        <f>'dat_file 1980'!G24</f>
        <v>0.91010000000000002</v>
      </c>
      <c r="H24">
        <f>ROUND('dat_file 1980'!H24/'dat_file 1980'!H$74,4)</f>
        <v>0.2442</v>
      </c>
      <c r="I24">
        <f>ROUND('dat_file 1980'!J24/'dat_file 1980'!J$74,4)</f>
        <v>0.216</v>
      </c>
      <c r="K24" t="str">
        <f>"ELSE IF ref_year="&amp;'dat_file 1980'!B24&amp;" THEN cpi_u_rs_18="&amp;ROUND('dat_file 1980'!$D$73/'dat_file 1980'!D24,3)&amp;";"</f>
        <v>ELSE IF ref_year=1969 THEN cpi_u_rs_18=6.06;</v>
      </c>
      <c r="O24" t="str">
        <f>"ELSE IF ref_year="&amp;'dat_file 1980'!B24&amp;" THEN cpi_u_rs_adj_18="&amp;ROUND('dat_file 1980'!$H$73/'dat_file 1980'!H24,3)&amp;";"</f>
        <v>ELSE IF ref_year=1969 THEN cpi_u_rs_adj_18=4.054;</v>
      </c>
    </row>
    <row r="25" spans="2:15">
      <c r="B25">
        <f>+Sheet3!A25</f>
        <v>1970</v>
      </c>
      <c r="C25">
        <f>ROUND('dat_file 1980'!C25/'dat_file 1980'!C$74,4)</f>
        <v>0.19020000000000001</v>
      </c>
      <c r="D25">
        <f>ROUND('dat_file 1980'!D25/'dat_file 1980'!D$74,4)</f>
        <v>0.1701</v>
      </c>
      <c r="E25">
        <f>ROUND('dat_file 1980'!E25/'dat_file 1980'!E$74,4)</f>
        <v>0.15179999999999999</v>
      </c>
      <c r="F25">
        <f>'dat_file 1980'!F25</f>
        <v>0.87790000000000001</v>
      </c>
      <c r="G25">
        <f>'dat_file 1980'!G25</f>
        <v>0.86080000000000001</v>
      </c>
      <c r="H25">
        <f>ROUND('dat_file 1980'!H25/'dat_file 1980'!H$74,4)</f>
        <v>0.25359999999999999</v>
      </c>
      <c r="I25">
        <f>ROUND('dat_file 1980'!J25/'dat_file 1980'!J$74,4)</f>
        <v>0.22409999999999999</v>
      </c>
      <c r="K25" t="str">
        <f>"ELSE IF ref_year="&amp;'dat_file 1980'!B25&amp;" THEN cpi_u_rs_18="&amp;ROUND('dat_file 1980'!$D$73/'dat_file 1980'!D25,3)&amp;";"</f>
        <v>ELSE IF ref_year=1970 THEN cpi_u_rs_18=5.776;</v>
      </c>
      <c r="O25" t="str">
        <f>"ELSE IF ref_year="&amp;'dat_file 1980'!B25&amp;" THEN cpi_u_rs_adj_18="&amp;ROUND('dat_file 1980'!$H$73/'dat_file 1980'!H25,3)&amp;";"</f>
        <v>ELSE IF ref_year=1970 THEN cpi_u_rs_adj_18=3.904;</v>
      </c>
    </row>
    <row r="26" spans="2:15">
      <c r="B26">
        <f>+Sheet3!A26</f>
        <v>1971</v>
      </c>
      <c r="C26">
        <f>ROUND('dat_file 1980'!C26/'dat_file 1980'!C$74,4)</f>
        <v>0.1983</v>
      </c>
      <c r="D26">
        <f>ROUND('dat_file 1980'!D26/'dat_file 1980'!D$74,4)</f>
        <v>0.17749999999999999</v>
      </c>
      <c r="E26">
        <f>ROUND('dat_file 1980'!E26/'dat_file 1980'!E$74,4)</f>
        <v>0.15840000000000001</v>
      </c>
      <c r="F26">
        <f>'dat_file 1980'!F26</f>
        <v>0.84109999999999996</v>
      </c>
      <c r="G26">
        <f>'dat_file 1980'!G26</f>
        <v>0.82469999999999999</v>
      </c>
      <c r="H26">
        <f>ROUND('dat_file 1980'!H26/'dat_file 1980'!H$74,4)</f>
        <v>0.26190000000000002</v>
      </c>
      <c r="I26">
        <f>ROUND('dat_file 1980'!J26/'dat_file 1980'!J$74,4)</f>
        <v>0.23150000000000001</v>
      </c>
      <c r="K26" t="str">
        <f>"ELSE IF ref_year="&amp;'dat_file 1980'!B26&amp;" THEN cpi_u_rs_18="&amp;ROUND('dat_file 1980'!$D$73/'dat_file 1980'!D26,3)&amp;";"</f>
        <v>ELSE IF ref_year=1971 THEN cpi_u_rs_18=5.534;</v>
      </c>
      <c r="O26" t="str">
        <f>"ELSE IF ref_year="&amp;'dat_file 1980'!B26&amp;" THEN cpi_u_rs_adj_18="&amp;ROUND('dat_file 1980'!$H$73/'dat_file 1980'!H26,3)&amp;";"</f>
        <v>ELSE IF ref_year=1971 THEN cpi_u_rs_adj_18=3.78;</v>
      </c>
    </row>
    <row r="27" spans="2:15">
      <c r="B27">
        <f>+Sheet3!A27</f>
        <v>1972</v>
      </c>
      <c r="C27">
        <f>ROUND('dat_file 1980'!C27/'dat_file 1980'!C$74,4)</f>
        <v>0.2051</v>
      </c>
      <c r="D27">
        <f>ROUND('dat_file 1980'!D27/'dat_file 1980'!D$74,4)</f>
        <v>0.18279999999999999</v>
      </c>
      <c r="E27">
        <f>ROUND('dat_file 1980'!E27/'dat_file 1980'!E$74,4)</f>
        <v>0.16350000000000001</v>
      </c>
      <c r="F27">
        <f>'dat_file 1980'!F27</f>
        <v>0.81659999999999999</v>
      </c>
      <c r="G27">
        <f>'dat_file 1980'!G27</f>
        <v>0.79900000000000004</v>
      </c>
      <c r="H27">
        <f>ROUND('dat_file 1980'!H27/'dat_file 1980'!H$74,4)</f>
        <v>0.26690000000000003</v>
      </c>
      <c r="I27">
        <f>ROUND('dat_file 1980'!J27/'dat_file 1980'!J$74,4)</f>
        <v>0.23599999999999999</v>
      </c>
      <c r="K27" t="str">
        <f>"ELSE IF ref_year="&amp;'dat_file 1980'!B27&amp;" THEN cpi_u_rs_18="&amp;ROUND('dat_file 1980'!$D$73/'dat_file 1980'!D27,3)&amp;";"</f>
        <v>ELSE IF ref_year=1972 THEN cpi_u_rs_18=5.373;</v>
      </c>
      <c r="O27" t="str">
        <f>"ELSE IF ref_year="&amp;'dat_file 1980'!B27&amp;" THEN cpi_u_rs_adj_18="&amp;ROUND('dat_file 1980'!$H$73/'dat_file 1980'!H27,3)&amp;";"</f>
        <v>ELSE IF ref_year=1972 THEN cpi_u_rs_adj_18=3.71;</v>
      </c>
    </row>
    <row r="28" spans="2:15">
      <c r="B28">
        <f>+Sheet3!A28</f>
        <v>1973</v>
      </c>
      <c r="C28">
        <f>ROUND('dat_file 1980'!C28/'dat_file 1980'!C$74,4)</f>
        <v>0.21609999999999999</v>
      </c>
      <c r="D28">
        <f>ROUND('dat_file 1980'!D28/'dat_file 1980'!D$74,4)</f>
        <v>0.1943</v>
      </c>
      <c r="E28">
        <f>ROUND('dat_file 1980'!E28/'dat_file 1980'!E$74,4)</f>
        <v>0.17369999999999999</v>
      </c>
      <c r="F28">
        <f>'dat_file 1980'!F28</f>
        <v>0.76849999999999996</v>
      </c>
      <c r="G28">
        <f>'dat_file 1980'!G28</f>
        <v>0.75229999999999997</v>
      </c>
      <c r="H28">
        <f>ROUND('dat_file 1980'!H28/'dat_file 1980'!H$74,4)</f>
        <v>0.28060000000000002</v>
      </c>
      <c r="I28">
        <f>ROUND('dat_file 1980'!J28/'dat_file 1980'!J$74,4)</f>
        <v>0.24829999999999999</v>
      </c>
      <c r="K28" t="str">
        <f>"ELSE IF ref_year="&amp;'dat_file 1980'!B28&amp;" THEN cpi_u_rs_18="&amp;ROUND('dat_file 1980'!$D$73/'dat_file 1980'!D28,3)&amp;";"</f>
        <v>ELSE IF ref_year=1973 THEN cpi_u_rs_18=5.056;</v>
      </c>
      <c r="O28" t="str">
        <f>"ELSE IF ref_year="&amp;'dat_file 1980'!B28&amp;" THEN cpi_u_rs_adj_18="&amp;ROUND('dat_file 1980'!$H$73/'dat_file 1980'!H28,3)&amp;";"</f>
        <v>ELSE IF ref_year=1973 THEN cpi_u_rs_adj_18=3.528;</v>
      </c>
    </row>
    <row r="29" spans="2:15">
      <c r="B29">
        <f>+Sheet3!A29</f>
        <v>1974</v>
      </c>
      <c r="C29">
        <f>ROUND('dat_file 1980'!C29/'dat_file 1980'!C$74,4)</f>
        <v>0.23860000000000001</v>
      </c>
      <c r="D29">
        <f>ROUND('dat_file 1980'!D29/'dat_file 1980'!D$74,4)</f>
        <v>0.2137</v>
      </c>
      <c r="E29">
        <f>ROUND('dat_file 1980'!E29/'dat_file 1980'!E$74,4)</f>
        <v>0.1928</v>
      </c>
      <c r="F29">
        <f>'dat_file 1980'!F29</f>
        <v>0.6986</v>
      </c>
      <c r="G29">
        <f>'dat_file 1980'!G29</f>
        <v>0.67749999999999999</v>
      </c>
      <c r="H29">
        <f>ROUND('dat_file 1980'!H29/'dat_file 1980'!H$74,4)</f>
        <v>0.30559999999999998</v>
      </c>
      <c r="I29">
        <f>ROUND('dat_file 1980'!J29/'dat_file 1980'!J$74,4)</f>
        <v>0.27029999999999998</v>
      </c>
      <c r="K29" t="str">
        <f>"ELSE IF ref_year="&amp;'dat_file 1980'!B29&amp;" THEN cpi_u_rs_18="&amp;ROUND('dat_file 1980'!$D$73/'dat_file 1980'!D29,3)&amp;";"</f>
        <v>ELSE IF ref_year=1974 THEN cpi_u_rs_18=4.596;</v>
      </c>
      <c r="O29" t="str">
        <f>"ELSE IF ref_year="&amp;'dat_file 1980'!B29&amp;" THEN cpi_u_rs_adj_18="&amp;ROUND('dat_file 1980'!$H$73/'dat_file 1980'!H29,3)&amp;";"</f>
        <v>ELSE IF ref_year=1974 THEN cpi_u_rs_adj_18=3.239;</v>
      </c>
    </row>
    <row r="30" spans="2:15">
      <c r="B30">
        <f>+Sheet3!A30</f>
        <v>1975</v>
      </c>
      <c r="C30">
        <f>ROUND('dat_file 1980'!C30/'dat_file 1980'!C$74,4)</f>
        <v>0.25850000000000001</v>
      </c>
      <c r="D30">
        <f>ROUND('dat_file 1980'!D30/'dat_file 1980'!D$74,4)</f>
        <v>0.23119999999999999</v>
      </c>
      <c r="E30">
        <f>ROUND('dat_file 1980'!E30/'dat_file 1980'!E$74,4)</f>
        <v>0.2104</v>
      </c>
      <c r="F30">
        <f>'dat_file 1980'!F30</f>
        <v>0.64559999999999995</v>
      </c>
      <c r="G30">
        <f>'dat_file 1980'!G30</f>
        <v>0.62080000000000002</v>
      </c>
      <c r="H30">
        <f>ROUND('dat_file 1980'!H30/'dat_file 1980'!H$74,4)</f>
        <v>0.32740000000000002</v>
      </c>
      <c r="I30">
        <f>ROUND('dat_file 1980'!J30/'dat_file 1980'!J$74,4)</f>
        <v>0.28960000000000002</v>
      </c>
      <c r="K30" t="str">
        <f>"ELSE IF ref_year="&amp;'dat_file 1980'!B30&amp;" THEN cpi_u_rs_18="&amp;ROUND('dat_file 1980'!$D$73/'dat_file 1980'!D30,3)&amp;";"</f>
        <v>ELSE IF ref_year=1975 THEN cpi_u_rs_18=4.247;</v>
      </c>
      <c r="O30" t="str">
        <f>"ELSE IF ref_year="&amp;'dat_file 1980'!B30&amp;" THEN cpi_u_rs_adj_18="&amp;ROUND('dat_file 1980'!$H$73/'dat_file 1980'!H30,3)&amp;";"</f>
        <v>ELSE IF ref_year=1975 THEN cpi_u_rs_adj_18=3.024;</v>
      </c>
    </row>
    <row r="31" spans="2:15">
      <c r="B31">
        <f>+Sheet3!A31</f>
        <v>1976</v>
      </c>
      <c r="C31">
        <f>ROUND('dat_file 1980'!C31/'dat_file 1980'!C$74,4)</f>
        <v>0.27260000000000001</v>
      </c>
      <c r="D31">
        <f>ROUND('dat_file 1980'!D31/'dat_file 1980'!D$74,4)</f>
        <v>0.24460000000000001</v>
      </c>
      <c r="E31">
        <f>ROUND('dat_file 1980'!E31/'dat_file 1980'!E$74,4)</f>
        <v>0.22259999999999999</v>
      </c>
      <c r="F31">
        <f>'dat_file 1980'!F31</f>
        <v>0.61040000000000005</v>
      </c>
      <c r="G31">
        <f>'dat_file 1980'!G31</f>
        <v>0.58699999999999997</v>
      </c>
      <c r="H31">
        <f>ROUND('dat_file 1980'!H31/'dat_file 1980'!H$74,4)</f>
        <v>0.34260000000000002</v>
      </c>
      <c r="I31">
        <f>ROUND('dat_file 1980'!J31/'dat_file 1980'!J$74,4)</f>
        <v>0.30309999999999998</v>
      </c>
      <c r="K31" t="str">
        <f>"ELSE IF ref_year="&amp;'dat_file 1980'!B31&amp;" THEN cpi_u_rs_18="&amp;ROUND('dat_file 1980'!$D$73/'dat_file 1980'!D31,3)&amp;";"</f>
        <v>ELSE IF ref_year=1976 THEN cpi_u_rs_18=4.016;</v>
      </c>
      <c r="O31" t="str">
        <f>"ELSE IF ref_year="&amp;'dat_file 1980'!B31&amp;" THEN cpi_u_rs_adj_18="&amp;ROUND('dat_file 1980'!$H$73/'dat_file 1980'!H31,3)&amp;";"</f>
        <v>ELSE IF ref_year=1976 THEN cpi_u_rs_adj_18=2.89;</v>
      </c>
    </row>
    <row r="32" spans="2:15">
      <c r="B32">
        <f>+Sheet3!A32</f>
        <v>1977</v>
      </c>
      <c r="C32">
        <f>ROUND('dat_file 1980'!C32/'dat_file 1980'!C$74,4)</f>
        <v>0.29039999999999999</v>
      </c>
      <c r="D32">
        <f>ROUND('dat_file 1980'!D32/'dat_file 1980'!D$74,4)</f>
        <v>0.26</v>
      </c>
      <c r="E32">
        <f>ROUND('dat_file 1980'!E32/'dat_file 1980'!E$74,4)</f>
        <v>0.23699999999999999</v>
      </c>
      <c r="F32">
        <f>'dat_file 1980'!F32</f>
        <v>0.57420000000000004</v>
      </c>
      <c r="G32">
        <f>'dat_file 1980'!G32</f>
        <v>0.55120000000000002</v>
      </c>
      <c r="H32">
        <f>ROUND('dat_file 1980'!H32/'dat_file 1980'!H$74,4)</f>
        <v>0.3604</v>
      </c>
      <c r="I32">
        <f>ROUND('dat_file 1980'!J32/'dat_file 1980'!J$74,4)</f>
        <v>0.31859999999999999</v>
      </c>
      <c r="K32" t="str">
        <f>"ELSE IF ref_year="&amp;'dat_file 1980'!B32&amp;" THEN cpi_u_rs_18="&amp;ROUND('dat_file 1980'!$D$73/'dat_file 1980'!D32,3)&amp;";"</f>
        <v>ELSE IF ref_year=1977 THEN cpi_u_rs_18=3.778;</v>
      </c>
      <c r="O32" t="str">
        <f>"ELSE IF ref_year="&amp;'dat_file 1980'!B32&amp;" THEN cpi_u_rs_adj_18="&amp;ROUND('dat_file 1980'!$H$73/'dat_file 1980'!H32,3)&amp;";"</f>
        <v>ELSE IF ref_year=1977 THEN cpi_u_rs_adj_18=2.747;</v>
      </c>
    </row>
    <row r="33" spans="2:15">
      <c r="B33">
        <f>+Sheet3!A33</f>
        <v>1978</v>
      </c>
      <c r="C33">
        <f>ROUND('dat_file 1980'!C33/'dat_file 1980'!C$74,4)</f>
        <v>0.31059999999999999</v>
      </c>
      <c r="D33">
        <f>ROUND('dat_file 1980'!D33/'dat_file 1980'!D$74,4)</f>
        <v>0.27779999999999999</v>
      </c>
      <c r="E33">
        <f>ROUND('dat_file 1980'!E33/'dat_file 1980'!E$74,4)</f>
        <v>0.255</v>
      </c>
      <c r="F33">
        <f>'dat_file 1980'!F33</f>
        <v>0.53739999999999999</v>
      </c>
      <c r="G33">
        <f>'dat_file 1980'!G33</f>
        <v>0.51229999999999998</v>
      </c>
      <c r="H33">
        <f>ROUND('dat_file 1980'!H33/'dat_file 1980'!H$74,4)</f>
        <v>0.38229999999999997</v>
      </c>
      <c r="I33">
        <f>ROUND('dat_file 1980'!J33/'dat_file 1980'!J$74,4)</f>
        <v>0.33910000000000001</v>
      </c>
      <c r="K33" t="str">
        <f>"ELSE IF ref_year="&amp;'dat_file 1980'!B33&amp;" THEN cpi_u_rs_18="&amp;ROUND('dat_file 1980'!$D$73/'dat_file 1980'!D33,3)&amp;";"</f>
        <v>ELSE IF ref_year=1978 THEN cpi_u_rs_18=3.535;</v>
      </c>
      <c r="O33" t="str">
        <f>"ELSE IF ref_year="&amp;'dat_file 1980'!B33&amp;" THEN cpi_u_rs_adj_18="&amp;ROUND('dat_file 1980'!$H$73/'dat_file 1980'!H33,3)&amp;";"</f>
        <v>ELSE IF ref_year=1978 THEN cpi_u_rs_adj_18=2.59;</v>
      </c>
    </row>
    <row r="34" spans="2:15">
      <c r="B34">
        <f>+Sheet3!A34</f>
        <v>1979</v>
      </c>
      <c r="C34">
        <f>ROUND('dat_file 1980'!C34/'dat_file 1980'!C$74,4)</f>
        <v>0.3382</v>
      </c>
      <c r="D34">
        <f>ROUND('dat_file 1980'!D34/'dat_file 1980'!D$74,4)</f>
        <v>0.30420000000000003</v>
      </c>
      <c r="E34">
        <f>ROUND('dat_file 1980'!E34/'dat_file 1980'!E$74,4)</f>
        <v>0.28399999999999997</v>
      </c>
      <c r="F34">
        <f>'dat_file 1980'!F34</f>
        <v>0.49080000000000001</v>
      </c>
      <c r="G34">
        <f>'dat_file 1980'!G34</f>
        <v>0.46010000000000001</v>
      </c>
      <c r="H34">
        <f>ROUND('dat_file 1980'!H34/'dat_file 1980'!H$74,4)</f>
        <v>0.41549999999999998</v>
      </c>
      <c r="I34">
        <f>ROUND('dat_file 1980'!J34/'dat_file 1980'!J$74,4)</f>
        <v>0.36930000000000002</v>
      </c>
      <c r="K34" t="str">
        <f>"ELSE IF ref_year="&amp;'dat_file 1980'!B34&amp;" THEN cpi_u_rs_18="&amp;ROUND('dat_file 1980'!$D$73/'dat_file 1980'!D34,3)&amp;";"</f>
        <v>ELSE IF ref_year=1979 THEN cpi_u_rs_18=3.229;</v>
      </c>
      <c r="O34" t="str">
        <f>"ELSE IF ref_year="&amp;'dat_file 1980'!B34&amp;" THEN cpi_u_rs_adj_18="&amp;ROUND('dat_file 1980'!$H$73/'dat_file 1980'!H34,3)&amp;";"</f>
        <v>ELSE IF ref_year=1979 THEN cpi_u_rs_adj_18=2.383;</v>
      </c>
    </row>
    <row r="35" spans="2:15">
      <c r="B35">
        <f>+Sheet3!A35</f>
        <v>1980</v>
      </c>
      <c r="C35">
        <f>ROUND('dat_file 1980'!C35/'dat_file 1980'!C$74,4)</f>
        <v>0.37459999999999999</v>
      </c>
      <c r="D35">
        <f>ROUND('dat_file 1980'!D35/'dat_file 1980'!D$74,4)</f>
        <v>0.3382</v>
      </c>
      <c r="E35">
        <f>ROUND('dat_file 1980'!E35/'dat_file 1980'!E$74,4)</f>
        <v>0.32229999999999998</v>
      </c>
      <c r="F35">
        <f>'dat_file 1980'!F35</f>
        <v>0.44140000000000001</v>
      </c>
      <c r="G35">
        <f>'dat_file 1980'!G35</f>
        <v>0.40529999999999999</v>
      </c>
      <c r="H35">
        <f>ROUND('dat_file 1980'!H35/'dat_file 1980'!H$74,4)</f>
        <v>0.4587</v>
      </c>
      <c r="I35">
        <f>ROUND('dat_file 1980'!J35/'dat_file 1980'!J$74,4)</f>
        <v>0.40899999999999997</v>
      </c>
      <c r="K35" t="str">
        <f>"ELSE IF ref_year="&amp;'dat_file 1980'!B35&amp;" THEN cpi_u_rs_18="&amp;ROUND('dat_file 1980'!$D$73/'dat_file 1980'!D35,3)&amp;";"</f>
        <v>ELSE IF ref_year=1980 THEN cpi_u_rs_18=2.904;</v>
      </c>
      <c r="O35" t="str">
        <f>"ELSE IF ref_year="&amp;'dat_file 1980'!B35&amp;" THEN cpi_u_rs_adj_18="&amp;ROUND('dat_file 1980'!$H$73/'dat_file 1980'!H35,3)&amp;";"</f>
        <v>ELSE IF ref_year=1980 THEN cpi_u_rs_adj_18=2.158;</v>
      </c>
    </row>
    <row r="36" spans="2:15">
      <c r="B36">
        <f>+Sheet3!A36</f>
        <v>1981</v>
      </c>
      <c r="C36">
        <f>ROUND('dat_file 1980'!C36/'dat_file 1980'!C$74,4)</f>
        <v>0.40820000000000001</v>
      </c>
      <c r="D36">
        <f>ROUND('dat_file 1980'!D36/'dat_file 1980'!D$74,4)</f>
        <v>0.37009999999999998</v>
      </c>
      <c r="E36">
        <f>ROUND('dat_file 1980'!E36/'dat_file 1980'!E$74,4)</f>
        <v>0.35560000000000003</v>
      </c>
      <c r="F36">
        <f>'dat_file 1980'!F36</f>
        <v>0.40329999999999999</v>
      </c>
      <c r="G36">
        <f>'dat_file 1980'!G36</f>
        <v>0.3674</v>
      </c>
      <c r="H36">
        <f>ROUND('dat_file 1980'!H36/'dat_file 1980'!H$74,4)</f>
        <v>0.49830000000000002</v>
      </c>
      <c r="I36">
        <f>ROUND('dat_file 1980'!J36/'dat_file 1980'!J$74,4)</f>
        <v>0.44540000000000002</v>
      </c>
      <c r="K36" t="str">
        <f>"ELSE IF ref_year="&amp;'dat_file 1980'!B36&amp;" THEN cpi_u_rs_18="&amp;ROUND('dat_file 1980'!$D$73/'dat_file 1980'!D36,3)&amp;";"</f>
        <v>ELSE IF ref_year=1981 THEN cpi_u_rs_18=2.654;</v>
      </c>
      <c r="O36" t="str">
        <f>"ELSE IF ref_year="&amp;'dat_file 1980'!B36&amp;" THEN cpi_u_rs_adj_18="&amp;ROUND('dat_file 1980'!$H$73/'dat_file 1980'!H36,3)&amp;";"</f>
        <v>ELSE IF ref_year=1981 THEN cpi_u_rs_adj_18=1.987;</v>
      </c>
    </row>
    <row r="37" spans="2:15">
      <c r="B37">
        <f>+Sheet3!A37</f>
        <v>1982</v>
      </c>
      <c r="C37">
        <f>ROUND('dat_file 1980'!C37/'dat_file 1980'!C$74,4)</f>
        <v>0.43080000000000002</v>
      </c>
      <c r="D37">
        <f>ROUND('dat_file 1980'!D37/'dat_file 1980'!D$74,4)</f>
        <v>0.39250000000000002</v>
      </c>
      <c r="E37">
        <f>ROUND('dat_file 1980'!E37/'dat_file 1980'!E$74,4)</f>
        <v>0.3775</v>
      </c>
      <c r="F37">
        <f>'dat_file 1980'!F37</f>
        <v>0.38030000000000003</v>
      </c>
      <c r="G37">
        <f>'dat_file 1980'!G37</f>
        <v>0.34610000000000002</v>
      </c>
      <c r="H37">
        <f>ROUND('dat_file 1980'!H37/'dat_file 1980'!H$74,4)</f>
        <v>0.52439999999999998</v>
      </c>
      <c r="I37">
        <f>ROUND('dat_file 1980'!J37/'dat_file 1980'!J$74,4)</f>
        <v>0.4703</v>
      </c>
      <c r="K37" t="str">
        <f>"ELSE IF ref_year="&amp;'dat_file 1980'!B37&amp;" THEN cpi_u_rs_18="&amp;ROUND('dat_file 1980'!$D$73/'dat_file 1980'!D37,3)&amp;";"</f>
        <v>ELSE IF ref_year=1982 THEN cpi_u_rs_18=2.502;</v>
      </c>
      <c r="O37" t="str">
        <f>"ELSE IF ref_year="&amp;'dat_file 1980'!B37&amp;" THEN cpi_u_rs_adj_18="&amp;ROUND('dat_file 1980'!$H$73/'dat_file 1980'!H37,3)&amp;";"</f>
        <v>ELSE IF ref_year=1982 THEN cpi_u_rs_adj_18=1.888;</v>
      </c>
    </row>
    <row r="38" spans="2:15">
      <c r="B38">
        <f>+Sheet3!A38</f>
        <v>1983</v>
      </c>
      <c r="C38">
        <f>ROUND('dat_file 1980'!C38/'dat_file 1980'!C$74,4)</f>
        <v>0.4491</v>
      </c>
      <c r="D38">
        <f>ROUND('dat_file 1980'!D38/'dat_file 1980'!D$74,4)</f>
        <v>0.4093</v>
      </c>
      <c r="E38">
        <f>ROUND('dat_file 1980'!E38/'dat_file 1980'!E$74,4)</f>
        <v>0.3896</v>
      </c>
      <c r="F38">
        <f>'dat_file 1980'!F38</f>
        <v>0.36480000000000001</v>
      </c>
      <c r="G38">
        <f>'dat_file 1980'!G38</f>
        <v>0.33529999999999999</v>
      </c>
      <c r="H38">
        <f>ROUND('dat_file 1980'!H38/'dat_file 1980'!H$74,4)</f>
        <v>0.54259999999999997</v>
      </c>
      <c r="I38">
        <f>ROUND('dat_file 1980'!J38/'dat_file 1980'!J$74,4)</f>
        <v>0.4879</v>
      </c>
      <c r="K38" t="str">
        <f>"ELSE IF ref_year="&amp;'dat_file 1980'!B38&amp;" THEN cpi_u_rs_18="&amp;ROUND('dat_file 1980'!$D$73/'dat_file 1980'!D38,3)&amp;";"</f>
        <v>ELSE IF ref_year=1983 THEN cpi_u_rs_18=2.4;</v>
      </c>
      <c r="O38" t="str">
        <f>"ELSE IF ref_year="&amp;'dat_file 1980'!B38&amp;" THEN cpi_u_rs_adj_18="&amp;ROUND('dat_file 1980'!$H$73/'dat_file 1980'!H38,3)&amp;";"</f>
        <v>ELSE IF ref_year=1983 THEN cpi_u_rs_adj_18=1.824;</v>
      </c>
    </row>
    <row r="39" spans="2:15">
      <c r="B39">
        <f>+Sheet3!A39</f>
        <v>1984</v>
      </c>
      <c r="C39">
        <f>ROUND('dat_file 1980'!C39/'dat_file 1980'!C$74,4)</f>
        <v>0.46610000000000001</v>
      </c>
      <c r="D39">
        <f>ROUND('dat_file 1980'!D39/'dat_file 1980'!D$74,4)</f>
        <v>0.42630000000000001</v>
      </c>
      <c r="E39">
        <f>ROUND('dat_file 1980'!E39/'dat_file 1980'!E$74,4)</f>
        <v>0.40639999999999998</v>
      </c>
      <c r="F39">
        <f>'dat_file 1980'!F39</f>
        <v>0.35020000000000001</v>
      </c>
      <c r="G39">
        <f>'dat_file 1980'!G39</f>
        <v>0.32150000000000001</v>
      </c>
      <c r="H39">
        <f>ROUND('dat_file 1980'!H39/'dat_file 1980'!H$74,4)</f>
        <v>0.56089999999999995</v>
      </c>
      <c r="I39">
        <f>ROUND('dat_file 1980'!J39/'dat_file 1980'!J$74,4)</f>
        <v>0.50590000000000002</v>
      </c>
      <c r="K39" t="str">
        <f>"ELSE IF ref_year="&amp;'dat_file 1980'!B39&amp;" THEN cpi_u_rs_18="&amp;ROUND('dat_file 1980'!$D$73/'dat_file 1980'!D39,3)&amp;";"</f>
        <v>ELSE IF ref_year=1984 THEN cpi_u_rs_18=2.304;</v>
      </c>
      <c r="O39" t="str">
        <f>"ELSE IF ref_year="&amp;'dat_file 1980'!B39&amp;" THEN cpi_u_rs_adj_18="&amp;ROUND('dat_file 1980'!$H$73/'dat_file 1980'!H39,3)&amp;";"</f>
        <v>ELSE IF ref_year=1984 THEN cpi_u_rs_adj_18=1.765;</v>
      </c>
    </row>
    <row r="40" spans="2:15">
      <c r="B40">
        <f>+Sheet3!A40</f>
        <v>1985</v>
      </c>
      <c r="C40">
        <f>ROUND('dat_file 1980'!C40/'dat_file 1980'!C$74,4)</f>
        <v>0.4824</v>
      </c>
      <c r="D40">
        <f>ROUND('dat_file 1980'!D40/'dat_file 1980'!D$74,4)</f>
        <v>0.44069999999999998</v>
      </c>
      <c r="E40">
        <f>ROUND('dat_file 1980'!E40/'dat_file 1980'!E$74,4)</f>
        <v>0.4209</v>
      </c>
      <c r="F40">
        <f>'dat_file 1980'!F40</f>
        <v>0.33879999999999999</v>
      </c>
      <c r="G40">
        <f>'dat_file 1980'!G40</f>
        <v>0.31040000000000001</v>
      </c>
      <c r="H40">
        <f>ROUND('dat_file 1980'!H40/'dat_file 1980'!H$74,4)</f>
        <v>0.57530000000000003</v>
      </c>
      <c r="I40">
        <f>ROUND('dat_file 1980'!J40/'dat_file 1980'!J$74,4)</f>
        <v>0.5202</v>
      </c>
      <c r="K40" t="str">
        <f>"ELSE IF ref_year="&amp;'dat_file 1980'!B40&amp;" THEN cpi_u_rs_18="&amp;ROUND('dat_file 1980'!$D$73/'dat_file 1980'!D40,3)&amp;";"</f>
        <v>ELSE IF ref_year=1985 THEN cpi_u_rs_18=2.229;</v>
      </c>
      <c r="O40" t="str">
        <f>"ELSE IF ref_year="&amp;'dat_file 1980'!B40&amp;" THEN cpi_u_rs_adj_18="&amp;ROUND('dat_file 1980'!$H$73/'dat_file 1980'!H40,3)&amp;";"</f>
        <v>ELSE IF ref_year=1985 THEN cpi_u_rs_adj_18=1.721;</v>
      </c>
    </row>
    <row r="41" spans="2:15">
      <c r="B41">
        <f>+Sheet3!A41</f>
        <v>1986</v>
      </c>
      <c r="C41">
        <f>ROUND('dat_file 1980'!C41/'dat_file 1980'!C$74,4)</f>
        <v>0.4929</v>
      </c>
      <c r="D41">
        <f>ROUND('dat_file 1980'!D41/'dat_file 1980'!D$74,4)</f>
        <v>0.4481</v>
      </c>
      <c r="E41">
        <f>ROUND('dat_file 1980'!E41/'dat_file 1980'!E$74,4)</f>
        <v>0.42870000000000003</v>
      </c>
      <c r="F41">
        <f>'dat_file 1980'!F41</f>
        <v>0.33310000000000001</v>
      </c>
      <c r="G41">
        <f>'dat_file 1980'!G41</f>
        <v>0.30470000000000003</v>
      </c>
      <c r="H41">
        <f>ROUND('dat_file 1980'!H41/'dat_file 1980'!H$74,4)</f>
        <v>0.58040000000000003</v>
      </c>
      <c r="I41">
        <f>ROUND('dat_file 1980'!J41/'dat_file 1980'!J$74,4)</f>
        <v>0.52639999999999998</v>
      </c>
      <c r="K41" t="str">
        <f>"ELSE IF ref_year="&amp;'dat_file 1980'!B41&amp;" THEN cpi_u_rs_18="&amp;ROUND('dat_file 1980'!$D$73/'dat_file 1980'!D41,3)&amp;";"</f>
        <v>ELSE IF ref_year=1986 THEN cpi_u_rs_18=2.192;</v>
      </c>
      <c r="O41" t="str">
        <f>"ELSE IF ref_year="&amp;'dat_file 1980'!B41&amp;" THEN cpi_u_rs_adj_18="&amp;ROUND('dat_file 1980'!$H$73/'dat_file 1980'!H41,3)&amp;";"</f>
        <v>ELSE IF ref_year=1986 THEN cpi_u_rs_adj_18=1.706;</v>
      </c>
    </row>
    <row r="42" spans="2:15">
      <c r="B42">
        <f>+Sheet3!A42</f>
        <v>1987</v>
      </c>
      <c r="C42">
        <f>ROUND('dat_file 1980'!C42/'dat_file 1980'!C$74,4)</f>
        <v>0.5081</v>
      </c>
      <c r="D42">
        <f>ROUND('dat_file 1980'!D42/'dat_file 1980'!D$74,4)</f>
        <v>0.46329999999999999</v>
      </c>
      <c r="E42">
        <f>ROUND('dat_file 1980'!E42/'dat_file 1980'!E$74,4)</f>
        <v>0.44429999999999997</v>
      </c>
      <c r="F42">
        <f>'dat_file 1980'!F42</f>
        <v>0.32219999999999999</v>
      </c>
      <c r="G42">
        <f>'dat_file 1980'!G42</f>
        <v>0.29399999999999998</v>
      </c>
      <c r="H42">
        <f>ROUND('dat_file 1980'!H42/'dat_file 1980'!H$74,4)</f>
        <v>0.59540000000000004</v>
      </c>
      <c r="I42">
        <f>ROUND('dat_file 1980'!J42/'dat_file 1980'!J$74,4)</f>
        <v>0.54190000000000005</v>
      </c>
      <c r="K42" t="str">
        <f>"ELSE IF ref_year="&amp;'dat_file 1980'!B42&amp;" THEN cpi_u_rs_18="&amp;ROUND('dat_file 1980'!$D$73/'dat_file 1980'!D42,3)&amp;";"</f>
        <v>ELSE IF ref_year=1987 THEN cpi_u_rs_18=2.12;</v>
      </c>
      <c r="O42" t="str">
        <f>"ELSE IF ref_year="&amp;'dat_file 1980'!B42&amp;" THEN cpi_u_rs_adj_18="&amp;ROUND('dat_file 1980'!$H$73/'dat_file 1980'!H42,3)&amp;";"</f>
        <v>ELSE IF ref_year=1987 THEN cpi_u_rs_adj_18=1.663;</v>
      </c>
    </row>
    <row r="43" spans="2:15">
      <c r="B43">
        <f>+Sheet3!A43</f>
        <v>1988</v>
      </c>
      <c r="C43">
        <f>ROUND('dat_file 1980'!C43/'dat_file 1980'!C$74,4)</f>
        <v>0.52790000000000004</v>
      </c>
      <c r="D43">
        <f>ROUND('dat_file 1980'!D43/'dat_file 1980'!D$74,4)</f>
        <v>0.4803</v>
      </c>
      <c r="E43">
        <f>ROUND('dat_file 1980'!E43/'dat_file 1980'!E$74,4)</f>
        <v>0.4627</v>
      </c>
      <c r="F43">
        <f>'dat_file 1980'!F43</f>
        <v>0.31080000000000002</v>
      </c>
      <c r="G43">
        <f>'dat_file 1980'!G43</f>
        <v>0.2823</v>
      </c>
      <c r="H43">
        <f>ROUND('dat_file 1980'!H43/'dat_file 1980'!H$74,4)</f>
        <v>0.61250000000000004</v>
      </c>
      <c r="I43">
        <f>ROUND('dat_file 1980'!J43/'dat_file 1980'!J$74,4)</f>
        <v>0.55910000000000004</v>
      </c>
      <c r="K43" t="str">
        <f>"ELSE IF ref_year="&amp;'dat_file 1980'!B43&amp;" THEN cpi_u_rs_18="&amp;ROUND('dat_file 1980'!$D$73/'dat_file 1980'!D43,3)&amp;";"</f>
        <v>ELSE IF ref_year=1988 THEN cpi_u_rs_18=2.045;</v>
      </c>
      <c r="O43" t="str">
        <f>"ELSE IF ref_year="&amp;'dat_file 1980'!B43&amp;" THEN cpi_u_rs_adj_18="&amp;ROUND('dat_file 1980'!$H$73/'dat_file 1980'!H43,3)&amp;";"</f>
        <v>ELSE IF ref_year=1988 THEN cpi_u_rs_adj_18=1.616;</v>
      </c>
    </row>
    <row r="44" spans="2:15">
      <c r="B44">
        <f>+Sheet3!A44</f>
        <v>1989</v>
      </c>
      <c r="C44">
        <f>ROUND('dat_file 1980'!C44/'dat_file 1980'!C$74,4)</f>
        <v>0.55100000000000005</v>
      </c>
      <c r="D44">
        <f>ROUND('dat_file 1980'!D44/'dat_file 1980'!D$74,4)</f>
        <v>0.50109999999999999</v>
      </c>
      <c r="E44">
        <f>ROUND('dat_file 1980'!E44/'dat_file 1980'!E$74,4)</f>
        <v>0.48499999999999999</v>
      </c>
      <c r="F44">
        <f>'dat_file 1980'!F44</f>
        <v>0.2979</v>
      </c>
      <c r="G44">
        <f>'dat_file 1980'!G44</f>
        <v>0.26939999999999997</v>
      </c>
      <c r="H44">
        <f>ROUND('dat_file 1980'!H44/'dat_file 1980'!H$74,4)</f>
        <v>0.6341</v>
      </c>
      <c r="I44">
        <f>ROUND('dat_file 1980'!J44/'dat_file 1980'!J$74,4)</f>
        <v>0.58040000000000003</v>
      </c>
      <c r="K44" t="str">
        <f>"ELSE IF ref_year="&amp;'dat_file 1980'!B44&amp;" THEN cpi_u_rs_18="&amp;ROUND('dat_file 1980'!$D$73/'dat_file 1980'!D44,3)&amp;";"</f>
        <v>ELSE IF ref_year=1989 THEN cpi_u_rs_18=1.96;</v>
      </c>
      <c r="O44" t="str">
        <f>"ELSE IF ref_year="&amp;'dat_file 1980'!B44&amp;" THEN cpi_u_rs_adj_18="&amp;ROUND('dat_file 1980'!$H$73/'dat_file 1980'!H44,3)&amp;";"</f>
        <v>ELSE IF ref_year=1989 THEN cpi_u_rs_adj_18=1.561;</v>
      </c>
    </row>
    <row r="45" spans="2:15">
      <c r="B45">
        <f>+Sheet3!A45</f>
        <v>1990</v>
      </c>
      <c r="C45">
        <f>ROUND('dat_file 1980'!C45/'dat_file 1980'!C$74,4)</f>
        <v>0.57520000000000004</v>
      </c>
      <c r="D45">
        <f>ROUND('dat_file 1980'!D45/'dat_file 1980'!D$74,4)</f>
        <v>0.52580000000000005</v>
      </c>
      <c r="E45">
        <f>ROUND('dat_file 1980'!E45/'dat_file 1980'!E$74,4)</f>
        <v>0.51119999999999999</v>
      </c>
      <c r="F45">
        <f>'dat_file 1980'!F45</f>
        <v>0.28389999999999999</v>
      </c>
      <c r="G45">
        <f>'dat_file 1980'!G45</f>
        <v>0.2555</v>
      </c>
      <c r="H45">
        <f>ROUND('dat_file 1980'!H45/'dat_file 1980'!H$74,4)</f>
        <v>0.66039999999999999</v>
      </c>
      <c r="I45">
        <f>ROUND('dat_file 1980'!J45/'dat_file 1980'!J$74,4)</f>
        <v>0.60609999999999997</v>
      </c>
      <c r="K45" t="str">
        <f>"ELSE IF ref_year="&amp;'dat_file 1980'!B45&amp;" THEN cpi_u_rs_18="&amp;ROUND('dat_file 1980'!$D$73/'dat_file 1980'!D45,3)&amp;";"</f>
        <v>ELSE IF ref_year=1990 THEN cpi_u_rs_18=1.868;</v>
      </c>
      <c r="O45" t="str">
        <f>"ELSE IF ref_year="&amp;'dat_file 1980'!B45&amp;" THEN cpi_u_rs_adj_18="&amp;ROUND('dat_file 1980'!$H$73/'dat_file 1980'!H45,3)&amp;";"</f>
        <v>ELSE IF ref_year=1990 THEN cpi_u_rs_adj_18=1.499;</v>
      </c>
    </row>
    <row r="46" spans="2:15">
      <c r="B46">
        <f>+Sheet3!A46</f>
        <v>1991</v>
      </c>
      <c r="C46">
        <f>ROUND('dat_file 1980'!C46/'dat_file 1980'!C$74,4)</f>
        <v>0.59440000000000004</v>
      </c>
      <c r="D46">
        <f>ROUND('dat_file 1980'!D46/'dat_file 1980'!D$74,4)</f>
        <v>0.54500000000000004</v>
      </c>
      <c r="E46">
        <f>ROUND('dat_file 1980'!E46/'dat_file 1980'!E$74,4)</f>
        <v>0.53269999999999995</v>
      </c>
      <c r="F46">
        <f>'dat_file 1980'!F46</f>
        <v>0.27389999999999998</v>
      </c>
      <c r="G46">
        <f>'dat_file 1980'!G46</f>
        <v>0.2452</v>
      </c>
      <c r="H46">
        <f>ROUND('dat_file 1980'!H46/'dat_file 1980'!H$74,4)</f>
        <v>0.67910000000000004</v>
      </c>
      <c r="I46">
        <f>ROUND('dat_file 1980'!J46/'dat_file 1980'!J$74,4)</f>
        <v>0.62490000000000001</v>
      </c>
      <c r="K46" t="str">
        <f>"ELSE IF ref_year="&amp;'dat_file 1980'!B46&amp;" THEN cpi_u_rs_18="&amp;ROUND('dat_file 1980'!$D$73/'dat_file 1980'!D46,3)&amp;";"</f>
        <v>ELSE IF ref_year=1991 THEN cpi_u_rs_18=1.802;</v>
      </c>
      <c r="O46" t="str">
        <f>"ELSE IF ref_year="&amp;'dat_file 1980'!B46&amp;" THEN cpi_u_rs_adj_18="&amp;ROUND('dat_file 1980'!$H$73/'dat_file 1980'!H46,3)&amp;";"</f>
        <v>ELSE IF ref_year=1991 THEN cpi_u_rs_adj_18=1.458;</v>
      </c>
    </row>
    <row r="47" spans="2:15">
      <c r="B47">
        <f>+Sheet3!A47</f>
        <v>1992</v>
      </c>
      <c r="C47">
        <f>ROUND('dat_file 1980'!C47/'dat_file 1980'!C$74,4)</f>
        <v>0.61029999999999995</v>
      </c>
      <c r="D47">
        <f>ROUND('dat_file 1980'!D47/'dat_file 1980'!D$74,4)</f>
        <v>0.55859999999999999</v>
      </c>
      <c r="E47">
        <f>ROUND('dat_file 1980'!E47/'dat_file 1980'!E$74,4)</f>
        <v>0.54879999999999995</v>
      </c>
      <c r="F47">
        <f>'dat_file 1980'!F47</f>
        <v>0.26729999999999998</v>
      </c>
      <c r="G47">
        <f>'dat_file 1980'!G47</f>
        <v>0.23810000000000001</v>
      </c>
      <c r="H47">
        <f>ROUND('dat_file 1980'!H47/'dat_file 1980'!H$74,4)</f>
        <v>0.69059999999999999</v>
      </c>
      <c r="I47">
        <f>ROUND('dat_file 1980'!J47/'dat_file 1980'!J$74,4)</f>
        <v>0.63759999999999994</v>
      </c>
      <c r="K47" t="str">
        <f>"ELSE IF ref_year="&amp;'dat_file 1980'!B47&amp;" THEN cpi_u_rs_18="&amp;ROUND('dat_file 1980'!$D$73/'dat_file 1980'!D47,3)&amp;";"</f>
        <v>ELSE IF ref_year=1992 THEN cpi_u_rs_18=1.758;</v>
      </c>
      <c r="O47" t="str">
        <f>"ELSE IF ref_year="&amp;'dat_file 1980'!B47&amp;" THEN cpi_u_rs_adj_18="&amp;ROUND('dat_file 1980'!$H$73/'dat_file 1980'!H47,3)&amp;";"</f>
        <v>ELSE IF ref_year=1992 THEN cpi_u_rs_adj_18=1.434;</v>
      </c>
    </row>
    <row r="48" spans="2:15">
      <c r="B48">
        <f>+Sheet3!A48</f>
        <v>1993</v>
      </c>
      <c r="C48">
        <f>ROUND('dat_file 1980'!C48/'dat_file 1980'!C$74,4)</f>
        <v>0.62539999999999996</v>
      </c>
      <c r="D48">
        <f>ROUND('dat_file 1980'!D48/'dat_file 1980'!D$74,4)</f>
        <v>0.57269999999999999</v>
      </c>
      <c r="E48">
        <f>ROUND('dat_file 1980'!E48/'dat_file 1980'!E$74,4)</f>
        <v>0.56520000000000004</v>
      </c>
      <c r="F48">
        <f>'dat_file 1980'!F48</f>
        <v>0.26069999999999999</v>
      </c>
      <c r="G48">
        <f>'dat_file 1980'!G48</f>
        <v>0.2311</v>
      </c>
      <c r="H48">
        <f>ROUND('dat_file 1980'!H48/'dat_file 1980'!H$74,4)</f>
        <v>0.70250000000000001</v>
      </c>
      <c r="I48">
        <f>ROUND('dat_file 1980'!J48/'dat_file 1980'!J$74,4)</f>
        <v>0.65029999999999999</v>
      </c>
      <c r="K48" t="str">
        <f>"ELSE IF ref_year="&amp;'dat_file 1980'!B48&amp;" THEN cpi_u_rs_18="&amp;ROUND('dat_file 1980'!$D$73/'dat_file 1980'!D48,3)&amp;";"</f>
        <v>ELSE IF ref_year=1993 THEN cpi_u_rs_18=1.715;</v>
      </c>
      <c r="O48" t="str">
        <f>"ELSE IF ref_year="&amp;'dat_file 1980'!B48&amp;" THEN cpi_u_rs_adj_18="&amp;ROUND('dat_file 1980'!$H$73/'dat_file 1980'!H48,3)&amp;";"</f>
        <v>ELSE IF ref_year=1993 THEN cpi_u_rs_adj_18=1.409;</v>
      </c>
    </row>
    <row r="49" spans="2:15">
      <c r="B49">
        <f>+Sheet3!A49</f>
        <v>1994</v>
      </c>
      <c r="C49">
        <f>ROUND('dat_file 1980'!C49/'dat_file 1980'!C$74,4)</f>
        <v>0.63849999999999996</v>
      </c>
      <c r="D49">
        <f>ROUND('dat_file 1980'!D49/'dat_file 1980'!D$74,4)</f>
        <v>0.58460000000000001</v>
      </c>
      <c r="E49">
        <f>ROUND('dat_file 1980'!E49/'dat_file 1980'!E$74,4)</f>
        <v>0.57969999999999999</v>
      </c>
      <c r="F49">
        <f>'dat_file 1980'!F49</f>
        <v>0.25530000000000003</v>
      </c>
      <c r="G49">
        <f>'dat_file 1980'!G49</f>
        <v>0.22539999999999999</v>
      </c>
      <c r="H49">
        <f>ROUND('dat_file 1980'!H49/'dat_file 1980'!H$74,4)</f>
        <v>0.71160000000000001</v>
      </c>
      <c r="I49">
        <f>ROUND('dat_file 1980'!J49/'dat_file 1980'!J$74,4)</f>
        <v>0.66090000000000004</v>
      </c>
      <c r="K49" t="str">
        <f>"ELSE IF ref_year="&amp;'dat_file 1980'!B49&amp;" THEN cpi_u_rs_18="&amp;ROUND('dat_file 1980'!$D$73/'dat_file 1980'!D49,3)&amp;";"</f>
        <v>ELSE IF ref_year=1994 THEN cpi_u_rs_18=1.68;</v>
      </c>
      <c r="O49" t="str">
        <f>"ELSE IF ref_year="&amp;'dat_file 1980'!B49&amp;" THEN cpi_u_rs_adj_18="&amp;ROUND('dat_file 1980'!$H$73/'dat_file 1980'!H49,3)&amp;";"</f>
        <v>ELSE IF ref_year=1994 THEN cpi_u_rs_adj_18=1.391;</v>
      </c>
    </row>
    <row r="50" spans="2:15">
      <c r="B50">
        <f>+Sheet3!A50</f>
        <v>1995</v>
      </c>
      <c r="C50">
        <f>ROUND('dat_file 1980'!C50/'dat_file 1980'!C$74,4)</f>
        <v>0.65200000000000002</v>
      </c>
      <c r="D50">
        <f>ROUND('dat_file 1980'!D50/'dat_file 1980'!D$74,4)</f>
        <v>0.59870000000000001</v>
      </c>
      <c r="E50">
        <f>ROUND('dat_file 1980'!E50/'dat_file 1980'!E$74,4)</f>
        <v>0.59609999999999996</v>
      </c>
      <c r="F50">
        <f>'dat_file 1980'!F50</f>
        <v>0.24929999999999999</v>
      </c>
      <c r="G50">
        <f>'dat_file 1980'!G50</f>
        <v>0.21920000000000001</v>
      </c>
      <c r="H50">
        <f>ROUND('dat_file 1980'!H50/'dat_file 1980'!H$74,4)</f>
        <v>0.72309999999999997</v>
      </c>
      <c r="I50">
        <f>ROUND('dat_file 1980'!J50/'dat_file 1980'!J$74,4)</f>
        <v>0.67359999999999998</v>
      </c>
      <c r="K50" t="str">
        <f>"ELSE IF ref_year="&amp;'dat_file 1980'!B50&amp;" THEN cpi_u_rs_18="&amp;ROUND('dat_file 1980'!$D$73/'dat_file 1980'!D50,3)&amp;";"</f>
        <v>ELSE IF ref_year=1995 THEN cpi_u_rs_18=1.64;</v>
      </c>
      <c r="O50" t="str">
        <f>"ELSE IF ref_year="&amp;'dat_file 1980'!B50&amp;" THEN cpi_u_rs_adj_18="&amp;ROUND('dat_file 1980'!$H$73/'dat_file 1980'!H50,3)&amp;";"</f>
        <v>ELSE IF ref_year=1995 THEN cpi_u_rs_adj_18=1.369;</v>
      </c>
    </row>
    <row r="51" spans="2:15">
      <c r="B51">
        <f>+Sheet3!A51</f>
        <v>1996</v>
      </c>
      <c r="C51">
        <f>ROUND('dat_file 1980'!C51/'dat_file 1980'!C$74,4)</f>
        <v>0.66590000000000005</v>
      </c>
      <c r="D51">
        <f>ROUND('dat_file 1980'!D51/'dat_file 1980'!D$74,4)</f>
        <v>0.61470000000000002</v>
      </c>
      <c r="E51">
        <f>ROUND('dat_file 1980'!E51/'dat_file 1980'!E$74,4)</f>
        <v>0.61370000000000002</v>
      </c>
      <c r="F51">
        <f>'dat_file 1980'!F51</f>
        <v>0.2429</v>
      </c>
      <c r="G51">
        <f>'dat_file 1980'!G51</f>
        <v>0.21290000000000001</v>
      </c>
      <c r="H51">
        <f>ROUND('dat_file 1980'!H51/'dat_file 1980'!H$74,4)</f>
        <v>0.73650000000000004</v>
      </c>
      <c r="I51">
        <f>ROUND('dat_file 1980'!J51/'dat_file 1980'!J$74,4)</f>
        <v>0.68789999999999996</v>
      </c>
      <c r="K51" t="str">
        <f>"ELSE IF ref_year="&amp;'dat_file 1980'!B51&amp;" THEN cpi_u_rs_18="&amp;ROUND('dat_file 1980'!$D$73/'dat_file 1980'!D51,3)&amp;";"</f>
        <v>ELSE IF ref_year=1996 THEN cpi_u_rs_18=1.598;</v>
      </c>
      <c r="O51" t="str">
        <f>"ELSE IF ref_year="&amp;'dat_file 1980'!B51&amp;" THEN cpi_u_rs_adj_18="&amp;ROUND('dat_file 1980'!$H$73/'dat_file 1980'!H51,3)&amp;";"</f>
        <v>ELSE IF ref_year=1996 THEN cpi_u_rs_adj_18=1.344;</v>
      </c>
    </row>
    <row r="52" spans="2:15">
      <c r="B52">
        <f>+Sheet3!A52</f>
        <v>1997</v>
      </c>
      <c r="C52">
        <f>ROUND('dat_file 1980'!C52/'dat_file 1980'!C$74,4)</f>
        <v>0.67749999999999999</v>
      </c>
      <c r="D52">
        <f>ROUND('dat_file 1980'!D52/'dat_file 1980'!D$74,4)</f>
        <v>0.628</v>
      </c>
      <c r="E52">
        <f>ROUND('dat_file 1980'!E52/'dat_file 1980'!E$74,4)</f>
        <v>0.62780000000000002</v>
      </c>
      <c r="F52">
        <f>'dat_file 1980'!F52</f>
        <v>0.23769999999999999</v>
      </c>
      <c r="G52">
        <f>'dat_file 1980'!G52</f>
        <v>0.20810000000000001</v>
      </c>
      <c r="H52">
        <f>ROUND('dat_file 1980'!H52/'dat_file 1980'!H$74,4)</f>
        <v>0.74660000000000004</v>
      </c>
      <c r="I52">
        <f>ROUND('dat_file 1980'!J52/'dat_file 1980'!J$74,4)</f>
        <v>0.69940000000000002</v>
      </c>
      <c r="K52" t="str">
        <f>"ELSE IF ref_year="&amp;'dat_file 1980'!B52&amp;" THEN cpi_u_rs_18="&amp;ROUND('dat_file 1980'!$D$73/'dat_file 1980'!D52,3)&amp;";"</f>
        <v>ELSE IF ref_year=1997 THEN cpi_u_rs_18=1.564;</v>
      </c>
      <c r="O52" t="str">
        <f>"ELSE IF ref_year="&amp;'dat_file 1980'!B52&amp;" THEN cpi_u_rs_adj_18="&amp;ROUND('dat_file 1980'!$H$73/'dat_file 1980'!H52,3)&amp;";"</f>
        <v>ELSE IF ref_year=1997 THEN cpi_u_rs_adj_18=1.326;</v>
      </c>
    </row>
    <row r="53" spans="2:15">
      <c r="B53">
        <f>+Sheet3!A53</f>
        <v>1998</v>
      </c>
      <c r="C53">
        <f>ROUND('dat_file 1980'!C53/'dat_file 1980'!C$74,4)</f>
        <v>0.68289999999999995</v>
      </c>
      <c r="D53">
        <f>ROUND('dat_file 1980'!D53/'dat_file 1980'!D$74,4)</f>
        <v>0.63649999999999995</v>
      </c>
      <c r="E53">
        <f>ROUND('dat_file 1980'!E53/'dat_file 1980'!E$74,4)</f>
        <v>0.63759999999999994</v>
      </c>
      <c r="F53">
        <f>'dat_file 1980'!F53</f>
        <v>0.23449999999999999</v>
      </c>
      <c r="G53">
        <f>'dat_file 1980'!G53</f>
        <v>0.2049</v>
      </c>
      <c r="H53">
        <f>ROUND('dat_file 1980'!H53/'dat_file 1980'!H$74,4)</f>
        <v>0.75080000000000002</v>
      </c>
      <c r="I53">
        <f>ROUND('dat_file 1980'!J53/'dat_file 1980'!J$74,4)</f>
        <v>0.70550000000000002</v>
      </c>
      <c r="K53" t="str">
        <f>"ELSE IF ref_year="&amp;'dat_file 1980'!B53&amp;" THEN cpi_u_rs_18="&amp;ROUND('dat_file 1980'!$D$73/'dat_file 1980'!D53,3)&amp;";"</f>
        <v>ELSE IF ref_year=1998 THEN cpi_u_rs_18=1.543;</v>
      </c>
      <c r="O53" t="str">
        <f>"ELSE IF ref_year="&amp;'dat_file 1980'!B53&amp;" THEN cpi_u_rs_adj_18="&amp;ROUND('dat_file 1980'!$H$73/'dat_file 1980'!H53,3)&amp;";"</f>
        <v>ELSE IF ref_year=1998 THEN cpi_u_rs_adj_18=1.319;</v>
      </c>
    </row>
    <row r="54" spans="2:15">
      <c r="B54">
        <f>+Sheet3!A54</f>
        <v>1999</v>
      </c>
      <c r="C54">
        <f>ROUND('dat_file 1980'!C54/'dat_file 1980'!C$74,4)</f>
        <v>0.69279999999999997</v>
      </c>
      <c r="D54">
        <f>ROUND('dat_file 1980'!D54/'dat_file 1980'!D$74,4)</f>
        <v>0.64980000000000004</v>
      </c>
      <c r="E54">
        <f>ROUND('dat_file 1980'!E54/'dat_file 1980'!E$74,4)</f>
        <v>0.65159999999999996</v>
      </c>
      <c r="F54">
        <f>'dat_file 1980'!F54</f>
        <v>0.22969999999999999</v>
      </c>
      <c r="G54">
        <f>'dat_file 1980'!G54</f>
        <v>0.20050000000000001</v>
      </c>
      <c r="H54">
        <f>ROUND('dat_file 1980'!H54/'dat_file 1980'!H$74,4)</f>
        <v>0.76039999999999996</v>
      </c>
      <c r="I54">
        <f>ROUND('dat_file 1980'!J54/'dat_file 1980'!J$74,4)</f>
        <v>0.71660000000000001</v>
      </c>
      <c r="K54" t="str">
        <f>"ELSE IF ref_year="&amp;'dat_file 1980'!B54&amp;" THEN cpi_u_rs_18="&amp;ROUND('dat_file 1980'!$D$73/'dat_file 1980'!D54,3)&amp;";"</f>
        <v>ELSE IF ref_year=1999 THEN cpi_u_rs_18=1.511;</v>
      </c>
      <c r="O54" t="str">
        <f>"ELSE IF ref_year="&amp;'dat_file 1980'!B54&amp;" THEN cpi_u_rs_adj_18="&amp;ROUND('dat_file 1980'!$H$73/'dat_file 1980'!H54,3)&amp;";"</f>
        <v>ELSE IF ref_year=1999 THEN cpi_u_rs_adj_18=1.302;</v>
      </c>
    </row>
    <row r="55" spans="2:15">
      <c r="B55">
        <f>+Sheet3!A55</f>
        <v>2000</v>
      </c>
      <c r="C55">
        <f>ROUND('dat_file 1980'!C55/'dat_file 1980'!C$74,4)</f>
        <v>0.71040000000000003</v>
      </c>
      <c r="D55">
        <f>ROUND('dat_file 1980'!D55/'dat_file 1980'!D$74,4)</f>
        <v>0.67190000000000005</v>
      </c>
      <c r="E55">
        <f>ROUND('dat_file 1980'!E55/'dat_file 1980'!E$74,4)</f>
        <v>0.67359999999999998</v>
      </c>
      <c r="F55">
        <f>'dat_file 1980'!F55</f>
        <v>0.22220000000000001</v>
      </c>
      <c r="G55">
        <f>'dat_file 1980'!G55</f>
        <v>0.19400000000000001</v>
      </c>
      <c r="H55">
        <f>ROUND('dat_file 1980'!H55/'dat_file 1980'!H$74,4)</f>
        <v>0.7802</v>
      </c>
      <c r="I55">
        <f>ROUND('dat_file 1980'!J55/'dat_file 1980'!J$74,4)</f>
        <v>0.73740000000000006</v>
      </c>
      <c r="K55" t="str">
        <f>"ELSE IF ref_year="&amp;'dat_file 1980'!B55&amp;" THEN cpi_u_rs_18="&amp;ROUND('dat_file 1980'!$D$73/'dat_file 1980'!D55,3)&amp;";"</f>
        <v>ELSE IF ref_year=2000 THEN cpi_u_rs_18=1.462;</v>
      </c>
      <c r="O55" t="str">
        <f>"ELSE IF ref_year="&amp;'dat_file 1980'!B55&amp;" THEN cpi_u_rs_adj_18="&amp;ROUND('dat_file 1980'!$H$73/'dat_file 1980'!H55,3)&amp;";"</f>
        <v>ELSE IF ref_year=2000 THEN cpi_u_rs_adj_18=1.269;</v>
      </c>
    </row>
    <row r="56" spans="2:15">
      <c r="B56">
        <f>+Sheet3!A56</f>
        <v>2001</v>
      </c>
      <c r="C56">
        <f>ROUND('dat_file 1980'!C56/'dat_file 1980'!C$74,4)</f>
        <v>0.72460000000000002</v>
      </c>
      <c r="D56">
        <f>ROUND('dat_file 1980'!D56/'dat_file 1980'!D$74,4)</f>
        <v>0.69110000000000005</v>
      </c>
      <c r="E56">
        <f>ROUND('dat_file 1980'!E56/'dat_file 1980'!E$74,4)</f>
        <v>0.69269999999999998</v>
      </c>
      <c r="F56">
        <f>'dat_file 1980'!F56</f>
        <v>0.216</v>
      </c>
      <c r="G56">
        <f>'dat_file 1980'!G56</f>
        <v>0.18859999999999999</v>
      </c>
      <c r="H56">
        <f>ROUND('dat_file 1980'!H56/'dat_file 1980'!H$74,4)</f>
        <v>0.79620000000000002</v>
      </c>
      <c r="I56">
        <f>ROUND('dat_file 1980'!J56/'dat_file 1980'!J$74,4)</f>
        <v>0.755</v>
      </c>
      <c r="K56" t="str">
        <f>"ELSE IF ref_year="&amp;'dat_file 1980'!B56&amp;" THEN cpi_u_rs_18="&amp;ROUND('dat_file 1980'!$D$73/'dat_file 1980'!D56,3)&amp;";"</f>
        <v>ELSE IF ref_year=2001 THEN cpi_u_rs_18=1.421;</v>
      </c>
      <c r="O56" t="str">
        <f>"ELSE IF ref_year="&amp;'dat_file 1980'!B56&amp;" THEN cpi_u_rs_adj_18="&amp;ROUND('dat_file 1980'!$H$73/'dat_file 1980'!H56,3)&amp;";"</f>
        <v>ELSE IF ref_year=2001 THEN cpi_u_rs_adj_18=1.243;</v>
      </c>
    </row>
    <row r="57" spans="2:15">
      <c r="B57">
        <f>+Sheet3!A57</f>
        <v>2002</v>
      </c>
      <c r="C57">
        <f>ROUND('dat_file 1980'!C57/'dat_file 1980'!C$74,4)</f>
        <v>0.73409999999999997</v>
      </c>
      <c r="D57">
        <f>ROUND('dat_file 1980'!D57/'dat_file 1980'!D$74,4)</f>
        <v>0.70199999999999996</v>
      </c>
      <c r="E57">
        <f>ROUND('dat_file 1980'!E57/'dat_file 1980'!E$74,4)</f>
        <v>0.70369999999999999</v>
      </c>
      <c r="F57">
        <f>'dat_file 1980'!F57</f>
        <v>0.2127</v>
      </c>
      <c r="G57">
        <f>'dat_file 1980'!G57</f>
        <v>0.1857</v>
      </c>
      <c r="H57">
        <f>ROUND('dat_file 1980'!H57/'dat_file 1980'!H$74,4)</f>
        <v>0.8024</v>
      </c>
      <c r="I57">
        <f>ROUND('dat_file 1980'!J57/'dat_file 1980'!J$74,4)</f>
        <v>0.76319999999999999</v>
      </c>
      <c r="K57" t="str">
        <f>"ELSE IF ref_year="&amp;'dat_file 1980'!B57&amp;" THEN cpi_u_rs_18="&amp;ROUND('dat_file 1980'!$D$73/'dat_file 1980'!D57,3)&amp;";"</f>
        <v>ELSE IF ref_year=2002 THEN cpi_u_rs_18=1.399;</v>
      </c>
      <c r="O57" t="str">
        <f>"ELSE IF ref_year="&amp;'dat_file 1980'!B57&amp;" THEN cpi_u_rs_adj_18="&amp;ROUND('dat_file 1980'!$H$73/'dat_file 1980'!H57,3)&amp;";"</f>
        <v>ELSE IF ref_year=2002 THEN cpi_u_rs_adj_18=1.234;</v>
      </c>
    </row>
    <row r="58" spans="2:15">
      <c r="B58">
        <f>+Sheet3!A58</f>
        <v>2003</v>
      </c>
      <c r="C58">
        <f>ROUND('dat_file 1980'!C58/'dat_file 1980'!C$74,4)</f>
        <v>0.74950000000000006</v>
      </c>
      <c r="D58">
        <f>ROUND('dat_file 1980'!D58/'dat_file 1980'!D$74,4)</f>
        <v>0.71789999999999998</v>
      </c>
      <c r="E58">
        <f>ROUND('dat_file 1980'!E58/'dat_file 1980'!E$74,4)</f>
        <v>0.71970000000000001</v>
      </c>
      <c r="F58">
        <f>'dat_file 1980'!F58</f>
        <v>0.2079</v>
      </c>
      <c r="G58">
        <f>'dat_file 1980'!G58</f>
        <v>0.18149999999999999</v>
      </c>
      <c r="H58">
        <f>ROUND('dat_file 1980'!H58/'dat_file 1980'!H$74,4)</f>
        <v>0.81420000000000003</v>
      </c>
      <c r="I58">
        <f>ROUND('dat_file 1980'!J58/'dat_file 1980'!J$74,4)</f>
        <v>0.77669999999999995</v>
      </c>
      <c r="K58" t="str">
        <f>"ELSE IF ref_year="&amp;'dat_file 1980'!B58&amp;" THEN cpi_u_rs_18="&amp;ROUND('dat_file 1980'!$D$73/'dat_file 1980'!D58,3)&amp;";"</f>
        <v>ELSE IF ref_year=2003 THEN cpi_u_rs_18=1.368;</v>
      </c>
      <c r="O58" t="str">
        <f>"ELSE IF ref_year="&amp;'dat_file 1980'!B58&amp;" THEN cpi_u_rs_adj_18="&amp;ROUND('dat_file 1980'!$H$73/'dat_file 1980'!H58,3)&amp;";"</f>
        <v>ELSE IF ref_year=2003 THEN cpi_u_rs_adj_18=1.216;</v>
      </c>
    </row>
    <row r="59" spans="2:15">
      <c r="B59">
        <f>+Sheet3!A59</f>
        <v>2004</v>
      </c>
      <c r="C59">
        <f>ROUND('dat_file 1980'!C59/'dat_file 1980'!C$74,4)</f>
        <v>0.7681</v>
      </c>
      <c r="D59">
        <f>ROUND('dat_file 1980'!D59/'dat_file 1980'!D$74,4)</f>
        <v>0.73709999999999998</v>
      </c>
      <c r="E59">
        <f>ROUND('dat_file 1980'!E59/'dat_file 1980'!E$74,4)</f>
        <v>0.7389</v>
      </c>
      <c r="F59">
        <f>'dat_file 1980'!F59</f>
        <v>0.20250000000000001</v>
      </c>
      <c r="G59">
        <f>'dat_file 1980'!G59</f>
        <v>0.17680000000000001</v>
      </c>
      <c r="H59">
        <f>ROUND('dat_file 1980'!H59/'dat_file 1980'!H$74,4)</f>
        <v>0.82950000000000002</v>
      </c>
      <c r="I59">
        <f>ROUND('dat_file 1980'!J59/'dat_file 1980'!J$74,4)</f>
        <v>0.79349999999999998</v>
      </c>
      <c r="K59" t="str">
        <f>"ELSE IF ref_year="&amp;'dat_file 1980'!B59&amp;" THEN cpi_u_rs_18="&amp;ROUND('dat_file 1980'!$D$73/'dat_file 1980'!D59,3)&amp;";"</f>
        <v>ELSE IF ref_year=2004 THEN cpi_u_rs_18=1.332;</v>
      </c>
      <c r="O59" t="str">
        <f>"ELSE IF ref_year="&amp;'dat_file 1980'!B59&amp;" THEN cpi_u_rs_adj_18="&amp;ROUND('dat_file 1980'!$H$73/'dat_file 1980'!H59,3)&amp;";"</f>
        <v>ELSE IF ref_year=2004 THEN cpi_u_rs_adj_18=1.193;</v>
      </c>
    </row>
    <row r="60" spans="2:15">
      <c r="B60">
        <f>+Sheet3!A60</f>
        <v>2005</v>
      </c>
      <c r="C60">
        <f>ROUND('dat_file 1980'!C60/'dat_file 1980'!C$74,4)</f>
        <v>0.7903</v>
      </c>
      <c r="D60">
        <f>ROUND('dat_file 1980'!D60/'dat_file 1980'!D$74,4)</f>
        <v>0.7621</v>
      </c>
      <c r="E60">
        <f>ROUND('dat_file 1980'!E60/'dat_file 1980'!E$74,4)</f>
        <v>0.76390000000000002</v>
      </c>
      <c r="F60">
        <f>'dat_file 1980'!F60</f>
        <v>0.19589999999999999</v>
      </c>
      <c r="G60">
        <f>'dat_file 1980'!G60</f>
        <v>0.17100000000000001</v>
      </c>
      <c r="H60">
        <f>ROUND('dat_file 1980'!H60/'dat_file 1980'!H$74,4)</f>
        <v>0.85099999999999998</v>
      </c>
      <c r="I60">
        <f>ROUND('dat_file 1980'!J60/'dat_file 1980'!J$74,4)</f>
        <v>0.81640000000000001</v>
      </c>
      <c r="K60" t="str">
        <f>"ELSE IF ref_year="&amp;'dat_file 1980'!B60&amp;" THEN cpi_u_rs_18="&amp;ROUND('dat_file 1980'!$D$73/'dat_file 1980'!D60,3)&amp;";"</f>
        <v>ELSE IF ref_year=2005 THEN cpi_u_rs_18=1.289;</v>
      </c>
      <c r="O60" t="str">
        <f>"ELSE IF ref_year="&amp;'dat_file 1980'!B60&amp;" THEN cpi_u_rs_adj_18="&amp;ROUND('dat_file 1980'!$H$73/'dat_file 1980'!H60,3)&amp;";"</f>
        <v>ELSE IF ref_year=2005 THEN cpi_u_rs_adj_18=1.163;</v>
      </c>
    </row>
    <row r="61" spans="2:15">
      <c r="B61">
        <f>+Sheet3!A61</f>
        <v>2006</v>
      </c>
      <c r="C61">
        <f>ROUND('dat_file 1980'!C61/'dat_file 1980'!C$74,4)</f>
        <v>0.8125</v>
      </c>
      <c r="D61">
        <f>ROUND('dat_file 1980'!D61/'dat_file 1980'!D$74,4)</f>
        <v>0.78690000000000004</v>
      </c>
      <c r="E61">
        <f>ROUND('dat_file 1980'!E61/'dat_file 1980'!E$74,4)</f>
        <v>0.78849999999999998</v>
      </c>
      <c r="F61">
        <f>'dat_file 1980'!F61</f>
        <v>0.18970000000000001</v>
      </c>
      <c r="G61">
        <f>'dat_file 1980'!G61</f>
        <v>0.16569999999999999</v>
      </c>
      <c r="H61">
        <f>ROUND('dat_file 1980'!H61/'dat_file 1980'!H$74,4)</f>
        <v>0.87180000000000002</v>
      </c>
      <c r="I61">
        <f>ROUND('dat_file 1980'!J61/'dat_file 1980'!J$74,4)</f>
        <v>0.83889999999999998</v>
      </c>
      <c r="K61" t="str">
        <f>"ELSE IF ref_year="&amp;'dat_file 1980'!B61&amp;" THEN cpi_u_rs_18="&amp;ROUND('dat_file 1980'!$D$73/'dat_file 1980'!D61,3)&amp;";"</f>
        <v>ELSE IF ref_year=2006 THEN cpi_u_rs_18=1.248;</v>
      </c>
      <c r="O61" t="str">
        <f>"ELSE IF ref_year="&amp;'dat_file 1980'!B61&amp;" THEN cpi_u_rs_adj_18="&amp;ROUND('dat_file 1980'!$H$73/'dat_file 1980'!H61,3)&amp;";"</f>
        <v>ELSE IF ref_year=2006 THEN cpi_u_rs_adj_18=1.136;</v>
      </c>
    </row>
    <row r="62" spans="2:15">
      <c r="B62">
        <f>+Sheet3!A62</f>
        <v>2007</v>
      </c>
      <c r="C62">
        <f>ROUND('dat_file 1980'!C62/'dat_file 1980'!C$74,4)</f>
        <v>0.83330000000000004</v>
      </c>
      <c r="D62">
        <f>ROUND('dat_file 1980'!D62/'dat_file 1980'!D$74,4)</f>
        <v>0.80920000000000003</v>
      </c>
      <c r="E62">
        <f>ROUND('dat_file 1980'!E62/'dat_file 1980'!E$74,4)</f>
        <v>0.81100000000000005</v>
      </c>
      <c r="F62">
        <f>'dat_file 1980'!F62</f>
        <v>0.1845</v>
      </c>
      <c r="G62">
        <f>'dat_file 1980'!G62</f>
        <v>0.16109999999999999</v>
      </c>
      <c r="H62">
        <f>ROUND('dat_file 1980'!H62/'dat_file 1980'!H$74,4)</f>
        <v>0.88959999999999995</v>
      </c>
      <c r="I62">
        <f>ROUND('dat_file 1980'!J62/'dat_file 1980'!J$74,4)</f>
        <v>0.85850000000000004</v>
      </c>
      <c r="K62" t="str">
        <f>"ELSE IF ref_year="&amp;'dat_file 1980'!B62&amp;" THEN cpi_u_rs_18="&amp;ROUND('dat_file 1980'!$D$73/'dat_file 1980'!D62,3)&amp;";"</f>
        <v>ELSE IF ref_year=2007 THEN cpi_u_rs_18=1.214;</v>
      </c>
      <c r="O62" t="str">
        <f>"ELSE IF ref_year="&amp;'dat_file 1980'!B62&amp;" THEN cpi_u_rs_adj_18="&amp;ROUND('dat_file 1980'!$H$73/'dat_file 1980'!H62,3)&amp;";"</f>
        <v>ELSE IF ref_year=2007 THEN cpi_u_rs_adj_18=1.113;</v>
      </c>
    </row>
    <row r="63" spans="2:15">
      <c r="B63">
        <f>+Sheet3!A63</f>
        <v>2008</v>
      </c>
      <c r="C63">
        <f>ROUND('dat_file 1980'!C63/'dat_file 1980'!C$74,4)</f>
        <v>0.85799999999999998</v>
      </c>
      <c r="D63">
        <f>ROUND('dat_file 1980'!D63/'dat_file 1980'!D$74,4)</f>
        <v>0.84040000000000004</v>
      </c>
      <c r="E63">
        <f>ROUND('dat_file 1980'!E63/'dat_file 1980'!E$74,4)</f>
        <v>0.84219999999999995</v>
      </c>
      <c r="F63">
        <f>'dat_file 1980'!F63</f>
        <v>0.17760000000000001</v>
      </c>
      <c r="G63">
        <f>'dat_file 1980'!G63</f>
        <v>0.15509999999999999</v>
      </c>
      <c r="H63">
        <f>ROUND('dat_file 1980'!H63/'dat_file 1980'!H$74,4)</f>
        <v>0.91669999999999996</v>
      </c>
      <c r="I63">
        <f>ROUND('dat_file 1980'!J63/'dat_file 1980'!J$74,4)</f>
        <v>0.8871</v>
      </c>
      <c r="K63" t="str">
        <f>"ELSE IF ref_year="&amp;'dat_file 1980'!B63&amp;" THEN cpi_u_rs_18="&amp;ROUND('dat_file 1980'!$D$73/'dat_file 1980'!D63,3)&amp;";"</f>
        <v>ELSE IF ref_year=2008 THEN cpi_u_rs_18=1.169;</v>
      </c>
      <c r="O63" t="str">
        <f>"ELSE IF ref_year="&amp;'dat_file 1980'!B63&amp;" THEN cpi_u_rs_adj_18="&amp;ROUND('dat_file 1980'!$H$73/'dat_file 1980'!H63,3)&amp;";"</f>
        <v>ELSE IF ref_year=2008 THEN cpi_u_rs_adj_18=1.08;</v>
      </c>
    </row>
    <row r="64" spans="2:15">
      <c r="B64">
        <f>+Sheet3!A64</f>
        <v>2009</v>
      </c>
      <c r="C64">
        <f>ROUND('dat_file 1980'!C64/'dat_file 1980'!C$74,4)</f>
        <v>0.85560000000000003</v>
      </c>
      <c r="D64">
        <f>ROUND('dat_file 1980'!D64/'dat_file 1980'!D$74,4)</f>
        <v>0.83740000000000003</v>
      </c>
      <c r="E64">
        <f>ROUND('dat_file 1980'!E64/'dat_file 1980'!E$74,4)</f>
        <v>0.83919999999999995</v>
      </c>
      <c r="F64">
        <f>'dat_file 1980'!F64</f>
        <v>0.17829999999999999</v>
      </c>
      <c r="G64">
        <f>'dat_file 1980'!G64</f>
        <v>0.15570000000000001</v>
      </c>
      <c r="H64">
        <f>ROUND('dat_file 1980'!H64/'dat_file 1980'!H$74,4)</f>
        <v>0.90620000000000001</v>
      </c>
      <c r="I64">
        <f>ROUND('dat_file 1980'!J64/'dat_file 1980'!J$74,4)</f>
        <v>0.87980000000000003</v>
      </c>
      <c r="K64" t="str">
        <f>"ELSE IF ref_year="&amp;'dat_file 1980'!B64&amp;" THEN cpi_u_rs_18="&amp;ROUND('dat_file 1980'!$D$73/'dat_file 1980'!D64,3)&amp;";"</f>
        <v>ELSE IF ref_year=2009 THEN cpi_u_rs_18=1.173;</v>
      </c>
      <c r="O64" t="str">
        <f>"ELSE IF ref_year="&amp;'dat_file 1980'!B64&amp;" THEN cpi_u_rs_adj_18="&amp;ROUND('dat_file 1980'!$H$73/'dat_file 1980'!H64,3)&amp;";"</f>
        <v>ELSE IF ref_year=2009 THEN cpi_u_rs_adj_18=1.092;</v>
      </c>
    </row>
    <row r="65" spans="2:15">
      <c r="B65">
        <f>+Sheet3!A65</f>
        <v>2010</v>
      </c>
      <c r="C65">
        <f>ROUND('dat_file 1980'!C65/'dat_file 1980'!C$74,4)</f>
        <v>0.87090000000000001</v>
      </c>
      <c r="D65">
        <f>ROUND('dat_file 1980'!D65/'dat_file 1980'!D$74,4)</f>
        <v>0.85099999999999998</v>
      </c>
      <c r="E65">
        <f>ROUND('dat_file 1980'!E65/'dat_file 1980'!E$74,4)</f>
        <v>0.85289999999999999</v>
      </c>
      <c r="F65">
        <f>'dat_file 1980'!F65</f>
        <v>0.1754</v>
      </c>
      <c r="G65">
        <f>'dat_file 1980'!G65</f>
        <v>0.1532</v>
      </c>
      <c r="H65">
        <f>ROUND('dat_file 1980'!H65/'dat_file 1980'!H$74,4)</f>
        <v>0.91359999999999997</v>
      </c>
      <c r="I65">
        <f>ROUND('dat_file 1980'!J65/'dat_file 1980'!J$74,4)</f>
        <v>0.88959999999999995</v>
      </c>
      <c r="K65" t="str">
        <f>"ELSE IF ref_year="&amp;'dat_file 1980'!B65&amp;" THEN cpi_u_rs_18="&amp;ROUND('dat_file 1980'!$D$73/'dat_file 1980'!D65,3)&amp;";"</f>
        <v>ELSE IF ref_year=2010 THEN cpi_u_rs_18=1.154;</v>
      </c>
      <c r="O65" t="str">
        <f>"ELSE IF ref_year="&amp;'dat_file 1980'!B65&amp;" THEN cpi_u_rs_adj_18="&amp;ROUND('dat_file 1980'!$H$73/'dat_file 1980'!H65,3)&amp;";"</f>
        <v>ELSE IF ref_year=2010 THEN cpi_u_rs_adj_18=1.084;</v>
      </c>
    </row>
    <row r="66" spans="2:15">
      <c r="B66">
        <f>+Sheet3!A66</f>
        <v>2011</v>
      </c>
      <c r="C66">
        <f>ROUND('dat_file 1980'!C66/'dat_file 1980'!C$74,4)</f>
        <v>0.89300000000000002</v>
      </c>
      <c r="D66">
        <f>ROUND('dat_file 1980'!D66/'dat_file 1980'!D$74,4)</f>
        <v>0.87809999999999999</v>
      </c>
      <c r="E66">
        <f>ROUND('dat_file 1980'!E66/'dat_file 1980'!E$74,4)</f>
        <v>0.87980000000000003</v>
      </c>
      <c r="F66">
        <f>'dat_file 1980'!F66</f>
        <v>0.17</v>
      </c>
      <c r="G66">
        <f>'dat_file 1980'!G66</f>
        <v>0.14849999999999999</v>
      </c>
      <c r="H66">
        <f>ROUND('dat_file 1980'!H66/'dat_file 1980'!H$74,4)</f>
        <v>0.93540000000000001</v>
      </c>
      <c r="I66">
        <f>ROUND('dat_file 1980'!J66/'dat_file 1980'!J$74,4)</f>
        <v>0.9133</v>
      </c>
      <c r="K66" t="str">
        <f>"ELSE IF ref_year="&amp;'dat_file 1980'!B66&amp;" THEN cpi_u_rs_18="&amp;ROUND('dat_file 1980'!$D$73/'dat_file 1980'!D66,3)&amp;";"</f>
        <v>ELSE IF ref_year=2011 THEN cpi_u_rs_18=1.118;</v>
      </c>
      <c r="O66" t="str">
        <f>"ELSE IF ref_year="&amp;'dat_file 1980'!B66&amp;" THEN cpi_u_rs_adj_18="&amp;ROUND('dat_file 1980'!$H$73/'dat_file 1980'!H66,3)&amp;";"</f>
        <v>ELSE IF ref_year=2011 THEN cpi_u_rs_adj_18=1.058;</v>
      </c>
    </row>
    <row r="67" spans="2:15">
      <c r="B67">
        <f>+Sheet3!A67</f>
        <v>2012</v>
      </c>
      <c r="C67">
        <f>ROUND('dat_file 1980'!C67/'dat_file 1980'!C$74,4)</f>
        <v>0.90959999999999996</v>
      </c>
      <c r="D67">
        <f>ROUND('dat_file 1980'!D67/'dat_file 1980'!D$74,4)</f>
        <v>0.89649999999999996</v>
      </c>
      <c r="E67">
        <f>ROUND('dat_file 1980'!E67/'dat_file 1980'!E$74,4)</f>
        <v>0.89810000000000001</v>
      </c>
      <c r="F67">
        <f>'dat_file 1980'!F67</f>
        <v>0.16650000000000001</v>
      </c>
      <c r="G67">
        <f>'dat_file 1980'!G67</f>
        <v>0.14549999999999999</v>
      </c>
      <c r="H67">
        <f>ROUND('dat_file 1980'!H67/'dat_file 1980'!H$74,4)</f>
        <v>0.94750000000000001</v>
      </c>
      <c r="I67">
        <f>ROUND('dat_file 1980'!J67/'dat_file 1980'!J$74,4)</f>
        <v>0.92800000000000005</v>
      </c>
      <c r="K67" t="str">
        <f>"ELSE IF ref_year="&amp;'dat_file 1980'!B67&amp;" THEN cpi_u_rs_18="&amp;ROUND('dat_file 1980'!$D$73/'dat_file 1980'!D67,3)&amp;";"</f>
        <v>ELSE IF ref_year=2012 THEN cpi_u_rs_18=1.096;</v>
      </c>
      <c r="O67" t="str">
        <f>"ELSE IF ref_year="&amp;'dat_file 1980'!B67&amp;" THEN cpi_u_rs_adj_18="&amp;ROUND('dat_file 1980'!$H$73/'dat_file 1980'!H67,3)&amp;";"</f>
        <v>ELSE IF ref_year=2012 THEN cpi_u_rs_adj_18=1.045;</v>
      </c>
    </row>
    <row r="68" spans="2:15">
      <c r="B68">
        <f>+Sheet3!A68</f>
        <v>2013</v>
      </c>
      <c r="C68">
        <f>ROUND('dat_file 1980'!C68/'dat_file 1980'!C$74,4)</f>
        <v>0.92200000000000004</v>
      </c>
      <c r="D68">
        <f>ROUND('dat_file 1980'!D68/'dat_file 1980'!D$74,4)</f>
        <v>0.91010000000000002</v>
      </c>
      <c r="E68">
        <f>ROUND('dat_file 1980'!E68/'dat_file 1980'!E$74,4)</f>
        <v>0.91120000000000001</v>
      </c>
      <c r="F68">
        <f>'dat_file 1980'!F68</f>
        <v>0.16400000000000001</v>
      </c>
      <c r="G68">
        <f>'dat_file 1980'!G68</f>
        <v>0.1434</v>
      </c>
      <c r="H68">
        <f>ROUND('dat_file 1980'!H68/'dat_file 1980'!H$74,4)</f>
        <v>0.95430000000000004</v>
      </c>
      <c r="I68">
        <f>ROUND('dat_file 1980'!J68/'dat_file 1980'!J$74,4)</f>
        <v>0.93740000000000001</v>
      </c>
      <c r="K68" t="str">
        <f>"ELSE IF ref_year="&amp;'dat_file 1980'!B68&amp;" THEN cpi_u_rs_18="&amp;ROUND('dat_file 1980'!$D$73/'dat_file 1980'!D68,3)&amp;";"</f>
        <v>ELSE IF ref_year=2013 THEN cpi_u_rs_18=1.079;</v>
      </c>
      <c r="O68" t="str">
        <f>"ELSE IF ref_year="&amp;'dat_file 1980'!B68&amp;" THEN cpi_u_rs_adj_18="&amp;ROUND('dat_file 1980'!$H$73/'dat_file 1980'!H68,3)&amp;";"</f>
        <v>ELSE IF ref_year=2013 THEN cpi_u_rs_adj_18=1.037;</v>
      </c>
    </row>
    <row r="69" spans="2:15">
      <c r="B69">
        <f>+Sheet3!A69</f>
        <v>2014</v>
      </c>
      <c r="C69">
        <f>ROUND('dat_file 1980'!C69/'dat_file 1980'!C$74,4)</f>
        <v>0.93589999999999995</v>
      </c>
      <c r="D69">
        <f>ROUND('dat_file 1980'!D69/'dat_file 1980'!D$74,4)</f>
        <v>0.92520000000000002</v>
      </c>
      <c r="E69">
        <f>ROUND('dat_file 1980'!E69/'dat_file 1980'!E$74,4)</f>
        <v>0.92600000000000005</v>
      </c>
      <c r="F69">
        <f>'dat_file 1980'!F69</f>
        <v>0.1613</v>
      </c>
      <c r="G69">
        <f>'dat_file 1980'!G69</f>
        <v>0.1411</v>
      </c>
      <c r="H69">
        <f>ROUND('dat_file 1980'!H69/'dat_file 1980'!H$74,4)</f>
        <v>0.96250000000000002</v>
      </c>
      <c r="I69">
        <f>ROUND('dat_file 1980'!J69/'dat_file 1980'!J$74,4)</f>
        <v>0.94810000000000005</v>
      </c>
      <c r="K69" t="str">
        <f>"ELSE IF ref_year="&amp;'dat_file 1980'!B69&amp;" THEN cpi_u_rs_18="&amp;ROUND('dat_file 1980'!$D$73/'dat_file 1980'!D69,3)&amp;";"</f>
        <v>ELSE IF ref_year=2014 THEN cpi_u_rs_18=1.062;</v>
      </c>
      <c r="O69" t="str">
        <f>"ELSE IF ref_year="&amp;'dat_file 1980'!B69&amp;" THEN cpi_u_rs_adj_18="&amp;ROUND('dat_file 1980'!$H$73/'dat_file 1980'!H69,3)&amp;";"</f>
        <v>ELSE IF ref_year=2014 THEN cpi_u_rs_adj_18=1.028;</v>
      </c>
    </row>
    <row r="70" spans="2:15">
      <c r="B70">
        <f>+Sheet3!A70</f>
        <v>2015</v>
      </c>
      <c r="C70">
        <f>ROUND('dat_file 1980'!C70/'dat_file 1980'!C$74,4)</f>
        <v>0.93799999999999994</v>
      </c>
      <c r="D70">
        <f>ROUND('dat_file 1980'!D70/'dat_file 1980'!D$74,4)</f>
        <v>0.92679999999999996</v>
      </c>
      <c r="E70">
        <f>ROUND('dat_file 1980'!E70/'dat_file 1980'!E$74,4)</f>
        <v>0.92710000000000004</v>
      </c>
      <c r="F70">
        <f>'dat_file 1980'!F70</f>
        <v>0.16109999999999999</v>
      </c>
      <c r="G70">
        <f>'dat_file 1980'!G70</f>
        <v>0.1409</v>
      </c>
      <c r="H70">
        <f>ROUND('dat_file 1980'!H70/'dat_file 1980'!H$74,4)</f>
        <v>0.95650000000000002</v>
      </c>
      <c r="I70">
        <f>ROUND('dat_file 1980'!J70/'dat_file 1980'!J$74,4)</f>
        <v>0.94520000000000004</v>
      </c>
      <c r="K70" t="str">
        <f>"ELSE IF ref_year="&amp;'dat_file 1980'!B70&amp;" THEN cpi_u_rs_18="&amp;ROUND('dat_file 1980'!$D$73/'dat_file 1980'!D70,3)&amp;";"</f>
        <v>ELSE IF ref_year=2015 THEN cpi_u_rs_18=1.06;</v>
      </c>
      <c r="O70" t="str">
        <f>"ELSE IF ref_year="&amp;'dat_file 1980'!B70&amp;" THEN cpi_u_rs_adj_18="&amp;ROUND('dat_file 1980'!$H$73/'dat_file 1980'!H70,3)&amp;";"</f>
        <v>ELSE IF ref_year=2015 THEN cpi_u_rs_adj_18=1.035;</v>
      </c>
    </row>
    <row r="71" spans="2:15">
      <c r="B71">
        <f>+Sheet3!A71</f>
        <v>2016</v>
      </c>
      <c r="C71">
        <f>ROUND('dat_file 1980'!C71/'dat_file 1980'!C$74,4)</f>
        <v>0.94740000000000002</v>
      </c>
      <c r="D71">
        <f>ROUND('dat_file 1980'!D71/'dat_file 1980'!D$74,4)</f>
        <v>0.93879999999999997</v>
      </c>
      <c r="E71">
        <f>ROUND('dat_file 1980'!E71/'dat_file 1980'!E$74,4)</f>
        <v>0.93879999999999997</v>
      </c>
      <c r="F71">
        <f>'dat_file 1980'!F71</f>
        <v>0.159</v>
      </c>
      <c r="G71">
        <f>'dat_file 1980'!G71</f>
        <v>0.13919999999999999</v>
      </c>
      <c r="H71">
        <f>ROUND('dat_file 1980'!H71/'dat_file 1980'!H$74,4)</f>
        <v>0.96120000000000005</v>
      </c>
      <c r="I71">
        <f>ROUND('dat_file 1980'!J71/'dat_file 1980'!J$74,4)</f>
        <v>0.9526</v>
      </c>
      <c r="K71" t="str">
        <f>"ELSE IF ref_year="&amp;'dat_file 1980'!B71&amp;" THEN cpi_u_rs_18="&amp;ROUND('dat_file 1980'!$D$73/'dat_file 1980'!D71,3)&amp;";"</f>
        <v>ELSE IF ref_year=2016 THEN cpi_u_rs_18=1.046;</v>
      </c>
      <c r="O71" t="str">
        <f>"ELSE IF ref_year="&amp;'dat_file 1980'!B71&amp;" THEN cpi_u_rs_adj_18="&amp;ROUND('dat_file 1980'!$H$73/'dat_file 1980'!H71,3)&amp;";"</f>
        <v>ELSE IF ref_year=2016 THEN cpi_u_rs_adj_18=1.03;</v>
      </c>
    </row>
    <row r="72" spans="2:15">
      <c r="B72">
        <f>+Sheet3!A72</f>
        <v>2017</v>
      </c>
      <c r="C72">
        <f>ROUND('dat_file 1980'!C72/'dat_file 1980'!C$74,4)</f>
        <v>0.9647</v>
      </c>
      <c r="D72">
        <f>ROUND('dat_file 1980'!D72/'dat_file 1980'!D$74,4)</f>
        <v>0.95879999999999999</v>
      </c>
      <c r="E72">
        <f>ROUND('dat_file 1980'!E72/'dat_file 1980'!E$74,4)</f>
        <v>0.95879999999999999</v>
      </c>
      <c r="F72">
        <f>'dat_file 1980'!F72</f>
        <v>0.15570000000000001</v>
      </c>
      <c r="G72">
        <f>'dat_file 1980'!G72</f>
        <v>0.1363</v>
      </c>
      <c r="H72">
        <f>ROUND('dat_file 1980'!H72/'dat_file 1980'!H$74,4)</f>
        <v>0.97389999999999999</v>
      </c>
      <c r="I72">
        <f>ROUND('dat_file 1980'!J72/'dat_file 1980'!J$74,4)</f>
        <v>0.96809999999999996</v>
      </c>
      <c r="K72" t="str">
        <f>"ELSE IF ref_year="&amp;'dat_file 1980'!B72&amp;" THEN cpi_u_rs_18="&amp;ROUND('dat_file 1980'!$D$73/'dat_file 1980'!D72,3)&amp;";"</f>
        <v>ELSE IF ref_year=2017 THEN cpi_u_rs_18=1.024;</v>
      </c>
      <c r="O72" t="str">
        <f>"ELSE IF ref_year="&amp;'dat_file 1980'!B72&amp;" THEN cpi_u_rs_adj_18="&amp;ROUND('dat_file 1980'!$H$73/'dat_file 1980'!H72,3)&amp;";"</f>
        <v>ELSE IF ref_year=2017 THEN cpi_u_rs_adj_18=1.016;</v>
      </c>
    </row>
    <row r="73" spans="2:15">
      <c r="B73">
        <f>+Sheet3!A73</f>
        <v>2018</v>
      </c>
      <c r="C73">
        <f>ROUND('dat_file 1980'!C73/'dat_file 1980'!C$74,4)</f>
        <v>0.98529999999999995</v>
      </c>
      <c r="D73">
        <f>ROUND('dat_file 1980'!D73/'dat_file 1980'!D$74,4)</f>
        <v>0.98219999999999996</v>
      </c>
      <c r="E73">
        <f>ROUND('dat_file 1980'!E73/'dat_file 1980'!E$74,4)</f>
        <v>0.98219999999999996</v>
      </c>
      <c r="F73">
        <f>'dat_file 1980'!F73</f>
        <v>0.152</v>
      </c>
      <c r="G73">
        <f>'dat_file 1980'!G73</f>
        <v>0.13300000000000001</v>
      </c>
      <c r="H73">
        <f>ROUND('dat_file 1980'!H73/'dat_file 1980'!H$74,4)</f>
        <v>0.99</v>
      </c>
      <c r="I73">
        <f>ROUND('dat_file 1980'!J73/'dat_file 1980'!J$74,4)</f>
        <v>0.9869</v>
      </c>
      <c r="K73" t="str">
        <f>"ELSE IF ref_year="&amp;'dat_file 1980'!B73&amp;" THEN cpi_u_rs_18="&amp;ROUND('dat_file 1980'!$D$73/'dat_file 1980'!D73,3)&amp;";"</f>
        <v>ELSE IF ref_year=2018 THEN cpi_u_rs_18=1;</v>
      </c>
      <c r="O73" t="str">
        <f>"ELSE IF ref_year="&amp;'dat_file 1980'!B73&amp;" THEN cpi_u_rs_adj_18="&amp;ROUND('dat_file 1980'!$H$73/'dat_file 1980'!H73,3)&amp;";"</f>
        <v>ELSE IF ref_year=2018 THEN cpi_u_rs_adj_18=1;</v>
      </c>
    </row>
    <row r="74" spans="2:15">
      <c r="B74">
        <f>+Sheet3!A74</f>
        <v>2019</v>
      </c>
      <c r="C74">
        <f>ROUND('dat_file 1980'!C74/'dat_file 1980'!C$74,4)</f>
        <v>1</v>
      </c>
      <c r="D74">
        <f>ROUND('dat_file 1980'!D74/'dat_file 1980'!D$74,4)</f>
        <v>1</v>
      </c>
      <c r="E74">
        <f>ROUND('dat_file 1980'!E74/'dat_file 1980'!E$74,4)</f>
        <v>1</v>
      </c>
      <c r="F74">
        <f>'dat_file 1980'!F74</f>
        <v>0.14929999999999999</v>
      </c>
      <c r="G74">
        <f>'dat_file 1980'!G74</f>
        <v>0.13059999999999999</v>
      </c>
      <c r="H74">
        <f>ROUND('dat_file 1980'!H74/'dat_file 1980'!H$74,4)</f>
        <v>1</v>
      </c>
      <c r="I74">
        <f>ROUND('dat_file 1980'!J74/'dat_file 1980'!J$74,4)</f>
        <v>1</v>
      </c>
    </row>
    <row r="75" spans="2:15">
      <c r="B75">
        <f>+Sheet3!A75</f>
        <v>2020</v>
      </c>
      <c r="C75">
        <f>ROUND('dat_file 1980'!C75/'dat_file 1980'!C$74,4)</f>
        <v>1.0109999999999999</v>
      </c>
      <c r="D75">
        <f>ROUND('dat_file 1980'!D75/'dat_file 1980'!D$74,4)</f>
        <v>1.0133000000000001</v>
      </c>
      <c r="E75">
        <f>ROUND('dat_file 1980'!E75/'dat_file 1980'!E$74,4)</f>
        <v>1.0123</v>
      </c>
      <c r="F75">
        <f>'dat_file 1980'!F75</f>
        <v>0.14729999999999999</v>
      </c>
      <c r="G75">
        <f>'dat_file 1980'!G75</f>
        <v>0.12909999999999999</v>
      </c>
      <c r="H75">
        <f>ROUND('dat_file 1980'!H75/'dat_file 1980'!H$74,4)</f>
        <v>1.0053000000000001</v>
      </c>
      <c r="I75">
        <f>ROUND('dat_file 1980'!J75/'dat_file 1980'!J$74,4)</f>
        <v>1.0082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CPI-U-RS</vt:lpstr>
      <vt:lpstr>CPI-U</vt:lpstr>
      <vt:lpstr>PCE</vt:lpstr>
      <vt:lpstr>Sheet3</vt:lpstr>
      <vt:lpstr>cpi-u-rs-adj</vt:lpstr>
      <vt:lpstr>cpi-u-rs-adj-03</vt:lpstr>
      <vt:lpstr>dat_file 1980</vt:lpstr>
      <vt:lpstr>dat_file 2000</vt:lpstr>
      <vt:lpstr>dat_file 2012</vt:lpstr>
      <vt:lpstr>dat_file 2015</vt:lpstr>
      <vt:lpstr>dat_file 2020</vt:lpstr>
      <vt:lpstr>dat_file 2021</vt:lpstr>
      <vt:lpstr>compare cpi-u to cpi-u-rs</vt:lpstr>
      <vt:lpstr>dat_file 1994</vt:lpstr>
      <vt:lpstr>dat_file 2005</vt:lpstr>
      <vt:lpstr>dat_file 2013</vt:lpstr>
      <vt:lpstr>dat_file 2018</vt:lpstr>
      <vt:lpstr>dat_file 2019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A&amp;L User</dc:creator>
  <cp:lastModifiedBy>Han, Jeehoon</cp:lastModifiedBy>
  <dcterms:created xsi:type="dcterms:W3CDTF">2006-04-01T18:52:59Z</dcterms:created>
  <dcterms:modified xsi:type="dcterms:W3CDTF">2023-10-01T02:47:24Z</dcterms:modified>
</cp:coreProperties>
</file>